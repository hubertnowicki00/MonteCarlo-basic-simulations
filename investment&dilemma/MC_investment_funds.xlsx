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 defaultThemeVersion="124226"/>
  <xr:revisionPtr revIDLastSave="0" documentId="13_ncr:1_{B1045E60-6D8A-4E0D-995B-51BCE37922E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del" sheetId="1" r:id="rId1"/>
    <sheet name="Visualizations" sheetId="2" r:id="rId2"/>
  </sheets>
  <definedNames>
    <definedName name="K29K529">Model!$K$29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9" i="1" l="1"/>
  <c r="O29" i="1"/>
  <c r="M29" i="1"/>
  <c r="K29" i="1"/>
  <c r="D22" i="1"/>
  <c r="D21" i="1"/>
  <c r="D17" i="1"/>
  <c r="D16" i="1"/>
  <c r="D12" i="1"/>
  <c r="T13" i="1"/>
  <c r="W43" i="1" s="1"/>
  <c r="T14" i="1"/>
  <c r="W44" i="1" s="1"/>
  <c r="T15" i="1"/>
  <c r="W45" i="1" s="1"/>
  <c r="T16" i="1"/>
  <c r="W46" i="1" s="1"/>
  <c r="T17" i="1"/>
  <c r="W47" i="1" s="1"/>
  <c r="T18" i="1"/>
  <c r="W48" i="1" s="1"/>
  <c r="T19" i="1"/>
  <c r="W49" i="1" s="1"/>
  <c r="T20" i="1"/>
  <c r="W50" i="1" s="1"/>
  <c r="T21" i="1"/>
  <c r="W51" i="1" s="1"/>
  <c r="T22" i="1"/>
  <c r="W52" i="1" s="1"/>
  <c r="T23" i="1"/>
  <c r="W53" i="1" s="1"/>
  <c r="T12" i="1"/>
  <c r="W42" i="1" s="1"/>
  <c r="P13" i="1"/>
  <c r="V43" i="1" s="1"/>
  <c r="P14" i="1"/>
  <c r="V44" i="1" s="1"/>
  <c r="P15" i="1"/>
  <c r="R15" i="1" s="1"/>
  <c r="P16" i="1"/>
  <c r="V46" i="1" s="1"/>
  <c r="P17" i="1"/>
  <c r="R17" i="1" s="1"/>
  <c r="P18" i="1"/>
  <c r="R18" i="1" s="1"/>
  <c r="P19" i="1"/>
  <c r="R19" i="1" s="1"/>
  <c r="P20" i="1"/>
  <c r="R20" i="1" s="1"/>
  <c r="P21" i="1"/>
  <c r="R21" i="1" s="1"/>
  <c r="P22" i="1"/>
  <c r="R22" i="1" s="1"/>
  <c r="P23" i="1"/>
  <c r="V53" i="1" s="1"/>
  <c r="P12" i="1"/>
  <c r="V42" i="1" s="1"/>
  <c r="L12" i="1"/>
  <c r="L13" i="1"/>
  <c r="L14" i="1"/>
  <c r="L15" i="1"/>
  <c r="L16" i="1"/>
  <c r="L17" i="1"/>
  <c r="L18" i="1"/>
  <c r="L19" i="1"/>
  <c r="L20" i="1"/>
  <c r="L21" i="1"/>
  <c r="L22" i="1"/>
  <c r="L23" i="1"/>
  <c r="K13" i="1"/>
  <c r="K14" i="1"/>
  <c r="K15" i="1"/>
  <c r="K16" i="1"/>
  <c r="K17" i="1"/>
  <c r="K18" i="1"/>
  <c r="K19" i="1"/>
  <c r="K20" i="1"/>
  <c r="K21" i="1"/>
  <c r="K22" i="1"/>
  <c r="K23" i="1"/>
  <c r="K12" i="1"/>
  <c r="G12" i="1"/>
  <c r="I12" i="1" s="1"/>
  <c r="G13" i="1"/>
  <c r="I13" i="1" s="1"/>
  <c r="G14" i="1"/>
  <c r="I14" i="1" s="1"/>
  <c r="G15" i="1"/>
  <c r="I15" i="1" s="1"/>
  <c r="G16" i="1"/>
  <c r="I16" i="1" s="1"/>
  <c r="G17" i="1"/>
  <c r="I17" i="1" s="1"/>
  <c r="G18" i="1"/>
  <c r="I18" i="1" s="1"/>
  <c r="G19" i="1"/>
  <c r="I19" i="1" s="1"/>
  <c r="G20" i="1"/>
  <c r="I20" i="1" s="1"/>
  <c r="G21" i="1"/>
  <c r="I21" i="1" s="1"/>
  <c r="G22" i="1"/>
  <c r="I22" i="1" s="1"/>
  <c r="G23" i="1"/>
  <c r="I23" i="1" s="1"/>
  <c r="W11" i="1"/>
  <c r="U12" i="1" s="1"/>
  <c r="S11" i="1"/>
  <c r="Q12" i="1"/>
  <c r="O11" i="1"/>
  <c r="M12" i="1" s="1"/>
  <c r="J11" i="1"/>
  <c r="X11" i="1" s="1"/>
  <c r="U48" i="1" l="1"/>
  <c r="U42" i="1"/>
  <c r="U46" i="1"/>
  <c r="U53" i="1"/>
  <c r="U52" i="1"/>
  <c r="U50" i="1"/>
  <c r="U49" i="1"/>
  <c r="U47" i="1"/>
  <c r="T49" i="1"/>
  <c r="V45" i="1"/>
  <c r="U45" i="1"/>
  <c r="T53" i="1"/>
  <c r="T51" i="1"/>
  <c r="U51" i="1"/>
  <c r="T42" i="1"/>
  <c r="U44" i="1"/>
  <c r="U43" i="1"/>
  <c r="T52" i="1"/>
  <c r="T50" i="1"/>
  <c r="T47" i="1"/>
  <c r="T46" i="1"/>
  <c r="T44" i="1"/>
  <c r="T43" i="1"/>
  <c r="V48" i="1"/>
  <c r="T48" i="1"/>
  <c r="T45" i="1"/>
  <c r="V52" i="1"/>
  <c r="V51" i="1"/>
  <c r="V50" i="1"/>
  <c r="V49" i="1"/>
  <c r="V47" i="1"/>
  <c r="V12" i="1"/>
  <c r="W12" i="1" s="1"/>
  <c r="V23" i="1"/>
  <c r="V18" i="1"/>
  <c r="V17" i="1"/>
  <c r="V16" i="1"/>
  <c r="V15" i="1"/>
  <c r="V14" i="1"/>
  <c r="J12" i="1"/>
  <c r="J13" i="1" s="1"/>
  <c r="V13" i="1"/>
  <c r="R16" i="1"/>
  <c r="R14" i="1"/>
  <c r="R13" i="1"/>
  <c r="H12" i="1"/>
  <c r="V22" i="1"/>
  <c r="V21" i="1"/>
  <c r="R12" i="1"/>
  <c r="S12" i="1" s="1"/>
  <c r="V20" i="1"/>
  <c r="R23" i="1"/>
  <c r="V19" i="1"/>
  <c r="N23" i="1"/>
  <c r="N22" i="1"/>
  <c r="N21" i="1"/>
  <c r="N20" i="1"/>
  <c r="N19" i="1"/>
  <c r="N18" i="1"/>
  <c r="N12" i="1"/>
  <c r="O12" i="1" s="1"/>
  <c r="N17" i="1"/>
  <c r="N16" i="1"/>
  <c r="N15" i="1"/>
  <c r="N14" i="1"/>
  <c r="N13" i="1"/>
  <c r="B26" i="1" l="1"/>
  <c r="W13" i="1"/>
  <c r="W14" i="1" s="1"/>
  <c r="W15" i="1" s="1"/>
  <c r="W16" i="1" s="1"/>
  <c r="W17" i="1" s="1"/>
  <c r="W18" i="1" s="1"/>
  <c r="W19" i="1" s="1"/>
  <c r="W20" i="1" s="1"/>
  <c r="W21" i="1" s="1"/>
  <c r="W22" i="1" s="1"/>
  <c r="W23" i="1" s="1"/>
  <c r="P29" i="1" s="1"/>
  <c r="S13" i="1"/>
  <c r="S14" i="1" s="1"/>
  <c r="S15" i="1" s="1"/>
  <c r="S16" i="1" s="1"/>
  <c r="S17" i="1" s="1"/>
  <c r="S18" i="1" s="1"/>
  <c r="S19" i="1" s="1"/>
  <c r="S20" i="1" s="1"/>
  <c r="S21" i="1" s="1"/>
  <c r="S22" i="1" s="1"/>
  <c r="S23" i="1" s="1"/>
  <c r="N29" i="1" s="1"/>
  <c r="X12" i="1"/>
  <c r="J14" i="1"/>
  <c r="O13" i="1"/>
  <c r="O14" i="1" s="1"/>
  <c r="O15" i="1" s="1"/>
  <c r="O16" i="1" s="1"/>
  <c r="O17" i="1" s="1"/>
  <c r="O18" i="1" s="1"/>
  <c r="O19" i="1" s="1"/>
  <c r="O20" i="1" s="1"/>
  <c r="O21" i="1" s="1"/>
  <c r="O22" i="1" s="1"/>
  <c r="O23" i="1" s="1"/>
  <c r="L29" i="1" s="1"/>
  <c r="X13" i="1" l="1"/>
  <c r="J15" i="1"/>
  <c r="X14" i="1"/>
  <c r="J16" i="1" l="1"/>
  <c r="X15" i="1"/>
  <c r="J17" i="1" l="1"/>
  <c r="X16" i="1"/>
  <c r="J18" i="1" l="1"/>
  <c r="X17" i="1"/>
  <c r="J19" i="1" l="1"/>
  <c r="X18" i="1"/>
  <c r="J20" i="1" l="1"/>
  <c r="X19" i="1"/>
  <c r="J21" i="1" l="1"/>
  <c r="X20" i="1"/>
  <c r="J22" i="1" l="1"/>
  <c r="X21" i="1"/>
  <c r="J23" i="1" l="1"/>
  <c r="X22" i="1"/>
  <c r="X23" i="1" l="1"/>
  <c r="J29" i="1"/>
  <c r="I29" i="1" l="1"/>
  <c r="T34" i="1" s="1"/>
  <c r="G29" i="1"/>
  <c r="H29" i="1"/>
  <c r="T33" i="1" s="1"/>
  <c r="U28" i="1" l="1"/>
  <c r="U27" i="1"/>
  <c r="T28" i="1"/>
  <c r="T27" i="1"/>
  <c r="V28" i="1"/>
  <c r="V27" i="1"/>
  <c r="V29" i="1" l="1"/>
  <c r="V31" i="1" s="1"/>
  <c r="T29" i="1"/>
  <c r="T31" i="1" s="1"/>
  <c r="U29" i="1"/>
  <c r="U31" i="1" s="1"/>
  <c r="U30" i="1" l="1"/>
  <c r="T30" i="1"/>
  <c r="V30" i="1"/>
</calcChain>
</file>

<file path=xl/sharedStrings.xml><?xml version="1.0" encoding="utf-8"?>
<sst xmlns="http://schemas.openxmlformats.org/spreadsheetml/2006/main" count="79" uniqueCount="68">
  <si>
    <t>A</t>
  </si>
  <si>
    <t>B</t>
  </si>
  <si>
    <t>C</t>
  </si>
  <si>
    <t>D</t>
  </si>
  <si>
    <t>Investments into 4 funds</t>
  </si>
  <si>
    <t>One year simulation</t>
  </si>
  <si>
    <t>Uniform</t>
  </si>
  <si>
    <t>Normal</t>
  </si>
  <si>
    <t>Fund</t>
  </si>
  <si>
    <t>Distribution</t>
  </si>
  <si>
    <t>Parameter 1</t>
  </si>
  <si>
    <t>Parameter 2</t>
  </si>
  <si>
    <t>Parameter 3</t>
  </si>
  <si>
    <t>Your capital</t>
  </si>
  <si>
    <t>Investment in A</t>
  </si>
  <si>
    <t>Investment in B</t>
  </si>
  <si>
    <t>Investment in C</t>
  </si>
  <si>
    <t>Investment in D</t>
  </si>
  <si>
    <t>Results:</t>
  </si>
  <si>
    <t>Average</t>
  </si>
  <si>
    <t>Standar Dev</t>
  </si>
  <si>
    <t>Confidence</t>
  </si>
  <si>
    <t xml:space="preserve">Lower </t>
  </si>
  <si>
    <t>Upper</t>
  </si>
  <si>
    <t>Probability of loss</t>
  </si>
  <si>
    <t>Rand 1</t>
  </si>
  <si>
    <t>Triangular sym.</t>
  </si>
  <si>
    <t>Capital in Fund A</t>
  </si>
  <si>
    <t>Rate of return A</t>
  </si>
  <si>
    <t>Capital + interest in fund A at the end of the month</t>
  </si>
  <si>
    <t>Rand 2</t>
  </si>
  <si>
    <t>Capital in Fund B</t>
  </si>
  <si>
    <t>Rate of return B</t>
  </si>
  <si>
    <t>Rand 3</t>
  </si>
  <si>
    <t>Rand 4</t>
  </si>
  <si>
    <t>Capital in Fund C</t>
  </si>
  <si>
    <t>Rate of return C</t>
  </si>
  <si>
    <t>Capital + interest in fund B at the end of the month</t>
  </si>
  <si>
    <t>Capital + interest in fund C at the end of the month</t>
  </si>
  <si>
    <t>Rand 5</t>
  </si>
  <si>
    <t>Capital in Fund D</t>
  </si>
  <si>
    <t>Rate of return D</t>
  </si>
  <si>
    <t>Capital + interest in fund D at the end of the month</t>
  </si>
  <si>
    <t>Total</t>
  </si>
  <si>
    <t>Month</t>
  </si>
  <si>
    <t>One year simulation of investment: 500 trials</t>
  </si>
  <si>
    <t>Rate of return from investment</t>
  </si>
  <si>
    <t>Iterat.</t>
  </si>
  <si>
    <t>Gain/Loss [zł]</t>
  </si>
  <si>
    <t>Final Capital
[zł]</t>
  </si>
  <si>
    <t>Capital A</t>
  </si>
  <si>
    <t>Capital B</t>
  </si>
  <si>
    <t>Gain/Loss Fund A</t>
  </si>
  <si>
    <t>Gain/Loss Fund B</t>
  </si>
  <si>
    <t>Gain/Loss Fund C</t>
  </si>
  <si>
    <t>Capital C</t>
  </si>
  <si>
    <t>Gain/Loss Fund D</t>
  </si>
  <si>
    <t>Capital D</t>
  </si>
  <si>
    <t>Prob. of Profit &gt;1000</t>
  </si>
  <si>
    <t>Prob.of Result &gt;=21000</t>
  </si>
  <si>
    <t>TRIA P:</t>
  </si>
  <si>
    <t>normal1 mean:</t>
  </si>
  <si>
    <t>normal2 mean:</t>
  </si>
  <si>
    <t>Gain/Loss</t>
  </si>
  <si>
    <t>Final Capital</t>
  </si>
  <si>
    <t>Histogram:</t>
  </si>
  <si>
    <t>OVERALL AVERAGE</t>
  </si>
  <si>
    <t>RATE OF 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</si>
</sst>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5">
    <font>
      <sz val="11"/>
      <color theme="1"/>
      <name val="Czcionka tekstu podstawowego"/>
      <family val="2"/>
      <charset val="238"/>
    </font>
    <font>
      <b/>
      <sz val="11"/>
      <color theme="1"/>
      <name val="Czcionka tekstu podstawowego"/>
      <family val="2"/>
      <charset val="238"/>
    </font>
    <font>
      <sz val="18"/>
      <color theme="1"/>
      <name val="Czcionka tekstu podstawowego"/>
      <family val="2"/>
      <charset val="238"/>
    </font>
    <font>
      <sz val="12"/>
      <color theme="1"/>
      <name val="Arial"/>
      <family val="2"/>
      <charset val="238"/>
    </font>
    <font>
      <b/>
      <sz val="12"/>
      <color theme="1"/>
      <name val="Arial"/>
      <family val="2"/>
      <charset val="238"/>
    </font>
    <font>
      <sz val="11"/>
      <color theme="1"/>
      <name val="Czcionka tekstu podstawowego"/>
      <charset val="238"/>
    </font>
    <font>
      <b/>
      <sz val="14"/>
      <color theme="1"/>
      <name val="Czcionka tekstu podstawowego"/>
      <charset val="238"/>
    </font>
    <font>
      <b/>
      <sz val="24"/>
      <color theme="1"/>
      <name val="Czcionka tekstu podstawowego"/>
      <charset val="238"/>
    </font>
    <font>
      <sz val="14"/>
      <color theme="1"/>
      <name val="Czcionka tekstu podstawowego"/>
      <charset val="238"/>
    </font>
    <font>
      <b/>
      <sz val="11"/>
      <color theme="1"/>
      <name val="Czcionka tekstu podstawowego"/>
      <charset val="238"/>
    </font>
    <font>
      <sz val="10"/>
      <color indexed="8"/>
      <name val="Czcionka tekstu podstawowego"/>
      <charset val="238"/>
    </font>
    <font>
      <b/>
      <sz val="10"/>
      <color indexed="8"/>
      <name val="Czcionka tekstu podstawowego"/>
      <charset val="238"/>
    </font>
    <font>
      <sz val="11"/>
      <color theme="1"/>
      <name val="Czcionka tekstu podstawowego"/>
      <family val="2"/>
      <charset val="238"/>
    </font>
    <font>
      <sz val="11"/>
      <name val="Czcionka tekstu podstawowego"/>
      <family val="2"/>
      <charset val="238"/>
    </font>
    <font>
      <b/>
      <sz val="11"/>
      <color theme="1"/>
      <name val="Czcionka tekstu podstawowego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1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2" fillId="0" borderId="0" applyFont="0" applyFill="0" applyBorder="0" applyAlignment="0" applyProtection="0"/>
  </cellStyleXfs>
  <cellXfs count="60">
    <xf numFmtId="0" fontId="0" fillId="0" borderId="0" xfId="0"/>
    <xf numFmtId="0" fontId="2" fillId="2" borderId="0" xfId="0" applyFont="1" applyFill="1"/>
    <xf numFmtId="10" fontId="3" fillId="0" borderId="1" xfId="0" applyNumberFormat="1" applyFont="1" applyBorder="1" applyAlignment="1">
      <alignment vertical="top" wrapText="1"/>
    </xf>
    <xf numFmtId="9" fontId="3" fillId="0" borderId="1" xfId="0" applyNumberFormat="1" applyFont="1" applyBorder="1" applyAlignment="1">
      <alignment vertical="top" wrapText="1"/>
    </xf>
    <xf numFmtId="0" fontId="2" fillId="0" borderId="0" xfId="0" applyFont="1"/>
    <xf numFmtId="0" fontId="4" fillId="3" borderId="2" xfId="0" applyFont="1" applyFill="1" applyBorder="1" applyAlignment="1">
      <alignment vertical="top" wrapText="1"/>
    </xf>
    <xf numFmtId="0" fontId="4" fillId="3" borderId="3" xfId="0" applyFont="1" applyFill="1" applyBorder="1" applyAlignment="1">
      <alignment vertical="top" wrapText="1"/>
    </xf>
    <xf numFmtId="0" fontId="1" fillId="0" borderId="0" xfId="0" applyFont="1"/>
    <xf numFmtId="0" fontId="4" fillId="3" borderId="4" xfId="0" applyFont="1" applyFill="1" applyBorder="1" applyAlignment="1">
      <alignment vertical="top" wrapText="1"/>
    </xf>
    <xf numFmtId="0" fontId="4" fillId="3" borderId="5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4" fontId="5" fillId="0" borderId="5" xfId="0" applyNumberFormat="1" applyFont="1" applyBorder="1"/>
    <xf numFmtId="0" fontId="0" fillId="3" borderId="0" xfId="0" applyFill="1"/>
    <xf numFmtId="0" fontId="6" fillId="3" borderId="0" xfId="0" applyFont="1" applyFill="1"/>
    <xf numFmtId="0" fontId="7" fillId="2" borderId="0" xfId="0" applyFont="1" applyFill="1"/>
    <xf numFmtId="0" fontId="8" fillId="0" borderId="0" xfId="0" applyFont="1"/>
    <xf numFmtId="0" fontId="9" fillId="2" borderId="5" xfId="0" applyFont="1" applyFill="1" applyBorder="1" applyAlignment="1">
      <alignment wrapText="1"/>
    </xf>
    <xf numFmtId="0" fontId="9" fillId="2" borderId="5" xfId="0" applyFont="1" applyFill="1" applyBorder="1"/>
    <xf numFmtId="0" fontId="0" fillId="4" borderId="5" xfId="0" applyFill="1" applyBorder="1"/>
    <xf numFmtId="4" fontId="0" fillId="4" borderId="5" xfId="0" applyNumberFormat="1" applyFill="1" applyBorder="1"/>
    <xf numFmtId="0" fontId="0" fillId="3" borderId="5" xfId="0" applyFill="1" applyBorder="1"/>
    <xf numFmtId="4" fontId="0" fillId="3" borderId="5" xfId="0" applyNumberFormat="1" applyFill="1" applyBorder="1"/>
    <xf numFmtId="0" fontId="0" fillId="0" borderId="5" xfId="0" applyBorder="1"/>
    <xf numFmtId="0" fontId="0" fillId="2" borderId="5" xfId="0" applyFill="1" applyBorder="1"/>
    <xf numFmtId="4" fontId="9" fillId="4" borderId="5" xfId="0" applyNumberFormat="1" applyFont="1" applyFill="1" applyBorder="1"/>
    <xf numFmtId="4" fontId="9" fillId="3" borderId="5" xfId="0" applyNumberFormat="1" applyFont="1" applyFill="1" applyBorder="1"/>
    <xf numFmtId="4" fontId="9" fillId="0" borderId="5" xfId="0" applyNumberFormat="1" applyFont="1" applyBorder="1"/>
    <xf numFmtId="0" fontId="9" fillId="0" borderId="5" xfId="0" applyFont="1" applyBorder="1"/>
    <xf numFmtId="4" fontId="6" fillId="5" borderId="5" xfId="0" applyNumberFormat="1" applyFont="1" applyFill="1" applyBorder="1"/>
    <xf numFmtId="0" fontId="6" fillId="3" borderId="5" xfId="0" applyFont="1" applyFill="1" applyBorder="1"/>
    <xf numFmtId="10" fontId="0" fillId="6" borderId="5" xfId="0" applyNumberFormat="1" applyFill="1" applyBorder="1"/>
    <xf numFmtId="9" fontId="3" fillId="0" borderId="2" xfId="0" applyNumberFormat="1" applyFont="1" applyBorder="1" applyAlignment="1">
      <alignment vertical="top" wrapText="1"/>
    </xf>
    <xf numFmtId="0" fontId="0" fillId="7" borderId="5" xfId="0" applyFill="1" applyBorder="1"/>
    <xf numFmtId="10" fontId="0" fillId="7" borderId="5" xfId="0" applyNumberFormat="1" applyFill="1" applyBorder="1"/>
    <xf numFmtId="2" fontId="0" fillId="7" borderId="5" xfId="0" applyNumberFormat="1" applyFill="1" applyBorder="1"/>
    <xf numFmtId="0" fontId="10" fillId="3" borderId="5" xfId="0" applyFont="1" applyFill="1" applyBorder="1" applyAlignment="1">
      <alignment horizontal="center"/>
    </xf>
    <xf numFmtId="0" fontId="11" fillId="8" borderId="5" xfId="0" applyFont="1" applyFill="1" applyBorder="1" applyAlignment="1">
      <alignment horizontal="left" wrapText="1"/>
    </xf>
    <xf numFmtId="0" fontId="10" fillId="9" borderId="5" xfId="0" applyFont="1" applyFill="1" applyBorder="1" applyAlignment="1">
      <alignment horizontal="center" wrapText="1"/>
    </xf>
    <xf numFmtId="164" fontId="1" fillId="0" borderId="0" xfId="0" applyNumberFormat="1" applyFont="1"/>
    <xf numFmtId="10" fontId="13" fillId="6" borderId="5" xfId="0" applyNumberFormat="1" applyFont="1" applyFill="1" applyBorder="1"/>
    <xf numFmtId="9" fontId="0" fillId="0" borderId="0" xfId="0" applyNumberFormat="1"/>
    <xf numFmtId="0" fontId="0" fillId="0" borderId="5" xfId="0" applyBorder="1" applyAlignment="1">
      <alignment horizontal="center" vertical="center" wrapText="1"/>
    </xf>
    <xf numFmtId="10" fontId="0" fillId="0" borderId="5" xfId="0" applyNumberFormat="1" applyBorder="1"/>
    <xf numFmtId="2" fontId="0" fillId="0" borderId="5" xfId="0" applyNumberFormat="1" applyBorder="1"/>
    <xf numFmtId="0" fontId="9" fillId="0" borderId="9" xfId="0" applyFont="1" applyBorder="1" applyAlignment="1">
      <alignment wrapText="1"/>
    </xf>
    <xf numFmtId="0" fontId="0" fillId="0" borderId="9" xfId="0" applyBorder="1"/>
    <xf numFmtId="0" fontId="9" fillId="0" borderId="10" xfId="0" applyFont="1" applyBorder="1" applyAlignment="1">
      <alignment wrapText="1"/>
    </xf>
    <xf numFmtId="0" fontId="9" fillId="0" borderId="11" xfId="0" applyFont="1" applyBorder="1" applyAlignment="1">
      <alignment wrapText="1"/>
    </xf>
    <xf numFmtId="0" fontId="14" fillId="0" borderId="0" xfId="0" applyFont="1"/>
    <xf numFmtId="10" fontId="0" fillId="0" borderId="0" xfId="0" applyNumberFormat="1"/>
    <xf numFmtId="9" fontId="0" fillId="0" borderId="15" xfId="1" applyFont="1" applyBorder="1"/>
    <xf numFmtId="9" fontId="0" fillId="0" borderId="16" xfId="1" applyFont="1" applyBorder="1"/>
    <xf numFmtId="9" fontId="0" fillId="0" borderId="17" xfId="1" applyFont="1" applyBorder="1"/>
    <xf numFmtId="0" fontId="7" fillId="2" borderId="6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9" fontId="0" fillId="0" borderId="12" xfId="1" applyFont="1" applyBorder="1"/>
    <xf numFmtId="9" fontId="0" fillId="0" borderId="13" xfId="1" applyFont="1" applyBorder="1"/>
    <xf numFmtId="9" fontId="0" fillId="0" borderId="14" xfId="1" applyFont="1" applyBorder="1"/>
    <xf numFmtId="0" fontId="14" fillId="0" borderId="0" xfId="0" quotePrefix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val>
            <c:numRef>
              <c:f>Model!$G$29:$G$529</c:f>
              <c:numCache>
                <c:formatCode>0.00%</c:formatCode>
                <c:ptCount val="501"/>
                <c:pt idx="0">
                  <c:v>4.9968381871147757E-2</c:v>
                </c:pt>
                <c:pt idx="1">
                  <c:v>4.9427702190948684E-2</c:v>
                </c:pt>
                <c:pt idx="2">
                  <c:v>4.9413346467922017E-2</c:v>
                </c:pt>
                <c:pt idx="3">
                  <c:v>4.6766497758426305E-2</c:v>
                </c:pt>
                <c:pt idx="4">
                  <c:v>5.2282492613132156E-2</c:v>
                </c:pt>
                <c:pt idx="5">
                  <c:v>5.5390591693963431E-2</c:v>
                </c:pt>
                <c:pt idx="6">
                  <c:v>5.4659917000131557E-2</c:v>
                </c:pt>
                <c:pt idx="7">
                  <c:v>5.1166197744245696E-2</c:v>
                </c:pt>
                <c:pt idx="8">
                  <c:v>4.8568148999738055E-2</c:v>
                </c:pt>
                <c:pt idx="9">
                  <c:v>5.3742664902436607E-2</c:v>
                </c:pt>
                <c:pt idx="10">
                  <c:v>5.9267584029760852E-2</c:v>
                </c:pt>
                <c:pt idx="11">
                  <c:v>5.0880765413199601E-2</c:v>
                </c:pt>
                <c:pt idx="12">
                  <c:v>5.3953687118945041E-2</c:v>
                </c:pt>
                <c:pt idx="13">
                  <c:v>5.3118599708886438E-2</c:v>
                </c:pt>
                <c:pt idx="14">
                  <c:v>5.5432152761798685E-2</c:v>
                </c:pt>
                <c:pt idx="15">
                  <c:v>4.973766593357648E-2</c:v>
                </c:pt>
                <c:pt idx="16">
                  <c:v>5.2330204664130554E-2</c:v>
                </c:pt>
                <c:pt idx="17">
                  <c:v>5.5543769863597152E-2</c:v>
                </c:pt>
                <c:pt idx="18">
                  <c:v>5.0530513541877965E-2</c:v>
                </c:pt>
                <c:pt idx="19">
                  <c:v>4.4941283033554311E-2</c:v>
                </c:pt>
                <c:pt idx="20">
                  <c:v>5.0730786029608052E-2</c:v>
                </c:pt>
                <c:pt idx="21">
                  <c:v>4.9199765669553051E-2</c:v>
                </c:pt>
                <c:pt idx="22">
                  <c:v>4.8534441547928082E-2</c:v>
                </c:pt>
                <c:pt idx="23">
                  <c:v>4.5694181036004367E-2</c:v>
                </c:pt>
                <c:pt idx="24">
                  <c:v>4.689177832940436E-2</c:v>
                </c:pt>
                <c:pt idx="25">
                  <c:v>5.290961034662868E-2</c:v>
                </c:pt>
                <c:pt idx="26">
                  <c:v>4.725624834456036E-2</c:v>
                </c:pt>
                <c:pt idx="27">
                  <c:v>5.3825847389646179E-2</c:v>
                </c:pt>
                <c:pt idx="28">
                  <c:v>5.208973143858335E-2</c:v>
                </c:pt>
                <c:pt idx="29">
                  <c:v>5.4827079696069946E-2</c:v>
                </c:pt>
                <c:pt idx="30">
                  <c:v>5.6379840480829981E-2</c:v>
                </c:pt>
                <c:pt idx="31">
                  <c:v>4.7813233147067973E-2</c:v>
                </c:pt>
                <c:pt idx="32">
                  <c:v>5.2735119045423773E-2</c:v>
                </c:pt>
                <c:pt idx="33">
                  <c:v>5.0684748223755599E-2</c:v>
                </c:pt>
                <c:pt idx="34">
                  <c:v>4.876306626011899E-2</c:v>
                </c:pt>
                <c:pt idx="35">
                  <c:v>5.0530251810521704E-2</c:v>
                </c:pt>
                <c:pt idx="36">
                  <c:v>4.964017822576243E-2</c:v>
                </c:pt>
                <c:pt idx="37">
                  <c:v>5.5430495022245584E-2</c:v>
                </c:pt>
                <c:pt idx="38">
                  <c:v>5.8507217143384097E-2</c:v>
                </c:pt>
                <c:pt idx="39">
                  <c:v>5.3192082390969238E-2</c:v>
                </c:pt>
                <c:pt idx="40">
                  <c:v>5.8870346879849496E-2</c:v>
                </c:pt>
                <c:pt idx="41">
                  <c:v>4.3451541098841931E-2</c:v>
                </c:pt>
                <c:pt idx="42">
                  <c:v>5.1111248247366389E-2</c:v>
                </c:pt>
                <c:pt idx="43">
                  <c:v>4.6537491551192106E-2</c:v>
                </c:pt>
                <c:pt idx="44">
                  <c:v>4.1691871967300703E-2</c:v>
                </c:pt>
                <c:pt idx="45">
                  <c:v>4.1391297634399818E-2</c:v>
                </c:pt>
                <c:pt idx="46">
                  <c:v>4.2289531730339537E-2</c:v>
                </c:pt>
                <c:pt idx="47">
                  <c:v>4.7976282593398811E-2</c:v>
                </c:pt>
                <c:pt idx="48">
                  <c:v>4.7678133315112357E-2</c:v>
                </c:pt>
                <c:pt idx="49">
                  <c:v>4.7749920185046188E-2</c:v>
                </c:pt>
                <c:pt idx="50">
                  <c:v>5.6719646433948667E-2</c:v>
                </c:pt>
                <c:pt idx="51">
                  <c:v>5.1735950718744636E-2</c:v>
                </c:pt>
                <c:pt idx="52">
                  <c:v>5.4886438613821142E-2</c:v>
                </c:pt>
                <c:pt idx="53">
                  <c:v>5.0054833999559775E-2</c:v>
                </c:pt>
                <c:pt idx="54">
                  <c:v>4.8015385861691767E-2</c:v>
                </c:pt>
                <c:pt idx="55">
                  <c:v>4.8651688817788454E-2</c:v>
                </c:pt>
                <c:pt idx="56">
                  <c:v>5.1246780582389032E-2</c:v>
                </c:pt>
                <c:pt idx="57">
                  <c:v>4.7322714544095056E-2</c:v>
                </c:pt>
                <c:pt idx="58">
                  <c:v>4.8970958243887544E-2</c:v>
                </c:pt>
                <c:pt idx="59">
                  <c:v>4.6719714257725926E-2</c:v>
                </c:pt>
                <c:pt idx="60">
                  <c:v>4.8693556636472457E-2</c:v>
                </c:pt>
                <c:pt idx="61">
                  <c:v>4.7502456156983466E-2</c:v>
                </c:pt>
                <c:pt idx="62">
                  <c:v>5.3005364738277577E-2</c:v>
                </c:pt>
                <c:pt idx="63">
                  <c:v>5.0302077041830526E-2</c:v>
                </c:pt>
                <c:pt idx="64">
                  <c:v>4.9244547300649442E-2</c:v>
                </c:pt>
                <c:pt idx="65">
                  <c:v>5.4333997383238422E-2</c:v>
                </c:pt>
                <c:pt idx="66">
                  <c:v>4.2148698101606499E-2</c:v>
                </c:pt>
                <c:pt idx="67">
                  <c:v>5.1450173688534336E-2</c:v>
                </c:pt>
                <c:pt idx="68">
                  <c:v>5.4577959475032564E-2</c:v>
                </c:pt>
                <c:pt idx="69">
                  <c:v>6.1767152140988414E-2</c:v>
                </c:pt>
                <c:pt idx="70">
                  <c:v>4.5840615853208137E-2</c:v>
                </c:pt>
                <c:pt idx="71">
                  <c:v>4.9038015623568278E-2</c:v>
                </c:pt>
                <c:pt idx="72">
                  <c:v>5.299433798782209E-2</c:v>
                </c:pt>
                <c:pt idx="73">
                  <c:v>5.2590119216750615E-2</c:v>
                </c:pt>
                <c:pt idx="74">
                  <c:v>5.3777061463096021E-2</c:v>
                </c:pt>
                <c:pt idx="75">
                  <c:v>4.4489088701588186E-2</c:v>
                </c:pt>
                <c:pt idx="76">
                  <c:v>5.4160316827840192E-2</c:v>
                </c:pt>
                <c:pt idx="77">
                  <c:v>4.6026400486593823E-2</c:v>
                </c:pt>
                <c:pt idx="78">
                  <c:v>4.3707549126785386E-2</c:v>
                </c:pt>
                <c:pt idx="79">
                  <c:v>5.4485404067270829E-2</c:v>
                </c:pt>
                <c:pt idx="80">
                  <c:v>4.9726851789915108E-2</c:v>
                </c:pt>
                <c:pt idx="81">
                  <c:v>4.6242633588178227E-2</c:v>
                </c:pt>
                <c:pt idx="82">
                  <c:v>5.7506006283830881E-2</c:v>
                </c:pt>
                <c:pt idx="83">
                  <c:v>5.3728319463411105E-2</c:v>
                </c:pt>
                <c:pt idx="84">
                  <c:v>4.8654955878059611E-2</c:v>
                </c:pt>
                <c:pt idx="85">
                  <c:v>4.8274033424197622E-2</c:v>
                </c:pt>
                <c:pt idx="86">
                  <c:v>4.7582626468213339E-2</c:v>
                </c:pt>
                <c:pt idx="87">
                  <c:v>5.1258694115034878E-2</c:v>
                </c:pt>
                <c:pt idx="88">
                  <c:v>4.9638018478769211E-2</c:v>
                </c:pt>
                <c:pt idx="89">
                  <c:v>5.1360108447367082E-2</c:v>
                </c:pt>
                <c:pt idx="90">
                  <c:v>4.3577255090608044E-2</c:v>
                </c:pt>
                <c:pt idx="91">
                  <c:v>4.8438298055107111E-2</c:v>
                </c:pt>
                <c:pt idx="92">
                  <c:v>4.5638966046606604E-2</c:v>
                </c:pt>
                <c:pt idx="93">
                  <c:v>5.41851505652459E-2</c:v>
                </c:pt>
                <c:pt idx="94">
                  <c:v>5.3350926667810258E-2</c:v>
                </c:pt>
                <c:pt idx="95">
                  <c:v>5.4023126021204307E-2</c:v>
                </c:pt>
                <c:pt idx="96">
                  <c:v>4.9845152839585516E-2</c:v>
                </c:pt>
                <c:pt idx="97">
                  <c:v>5.0674325183437195E-2</c:v>
                </c:pt>
                <c:pt idx="98">
                  <c:v>5.1053487524043588E-2</c:v>
                </c:pt>
                <c:pt idx="99">
                  <c:v>5.5072589667063208E-2</c:v>
                </c:pt>
                <c:pt idx="100">
                  <c:v>5.2592517578689942E-2</c:v>
                </c:pt>
                <c:pt idx="101">
                  <c:v>4.6053017111564662E-2</c:v>
                </c:pt>
                <c:pt idx="102">
                  <c:v>5.0316203272250351E-2</c:v>
                </c:pt>
                <c:pt idx="103">
                  <c:v>4.841143588811337E-2</c:v>
                </c:pt>
                <c:pt idx="104">
                  <c:v>4.6699230045110326E-2</c:v>
                </c:pt>
                <c:pt idx="105">
                  <c:v>5.5249752618464501E-2</c:v>
                </c:pt>
                <c:pt idx="106">
                  <c:v>4.8797073489390545E-2</c:v>
                </c:pt>
                <c:pt idx="107">
                  <c:v>5.5638628957723174E-2</c:v>
                </c:pt>
                <c:pt idx="108">
                  <c:v>4.5340108510558384E-2</c:v>
                </c:pt>
                <c:pt idx="109">
                  <c:v>4.9808365259846145E-2</c:v>
                </c:pt>
                <c:pt idx="110">
                  <c:v>5.2115426927012855E-2</c:v>
                </c:pt>
                <c:pt idx="111">
                  <c:v>5.9660655393278091E-2</c:v>
                </c:pt>
                <c:pt idx="112">
                  <c:v>5.4941387659385423E-2</c:v>
                </c:pt>
                <c:pt idx="113">
                  <c:v>5.0603424443338582E-2</c:v>
                </c:pt>
                <c:pt idx="114">
                  <c:v>5.2968457397725523E-2</c:v>
                </c:pt>
                <c:pt idx="115">
                  <c:v>4.4360865095748735E-2</c:v>
                </c:pt>
                <c:pt idx="116">
                  <c:v>5.2223617549859498E-2</c:v>
                </c:pt>
                <c:pt idx="117">
                  <c:v>5.0735658127240672E-2</c:v>
                </c:pt>
                <c:pt idx="118">
                  <c:v>4.8683372552611265E-2</c:v>
                </c:pt>
                <c:pt idx="119">
                  <c:v>4.7665442951786527E-2</c:v>
                </c:pt>
                <c:pt idx="120">
                  <c:v>4.7181092990882627E-2</c:v>
                </c:pt>
                <c:pt idx="121">
                  <c:v>4.5850571638024945E-2</c:v>
                </c:pt>
                <c:pt idx="122">
                  <c:v>5.3099404230178053E-2</c:v>
                </c:pt>
                <c:pt idx="123">
                  <c:v>4.3090010893394454E-2</c:v>
                </c:pt>
                <c:pt idx="124">
                  <c:v>5.0524602223242371E-2</c:v>
                </c:pt>
                <c:pt idx="125">
                  <c:v>5.1161536780961428E-2</c:v>
                </c:pt>
                <c:pt idx="126">
                  <c:v>4.9329723681992441E-2</c:v>
                </c:pt>
                <c:pt idx="127">
                  <c:v>5.3908823585403311E-2</c:v>
                </c:pt>
                <c:pt idx="128">
                  <c:v>5.1368108167341227E-2</c:v>
                </c:pt>
                <c:pt idx="129">
                  <c:v>5.2269013913450596E-2</c:v>
                </c:pt>
                <c:pt idx="130">
                  <c:v>5.4006643742445896E-2</c:v>
                </c:pt>
                <c:pt idx="131">
                  <c:v>5.5613824169203761E-2</c:v>
                </c:pt>
                <c:pt idx="132">
                  <c:v>4.6957893484043098E-2</c:v>
                </c:pt>
                <c:pt idx="133">
                  <c:v>4.960147020296897E-2</c:v>
                </c:pt>
                <c:pt idx="134">
                  <c:v>4.5527065667056325E-2</c:v>
                </c:pt>
                <c:pt idx="135">
                  <c:v>5.7549628993025341E-2</c:v>
                </c:pt>
                <c:pt idx="136">
                  <c:v>4.9214186278916654E-2</c:v>
                </c:pt>
                <c:pt idx="137">
                  <c:v>5.4837361304502029E-2</c:v>
                </c:pt>
                <c:pt idx="138">
                  <c:v>5.5044827759691842E-2</c:v>
                </c:pt>
                <c:pt idx="139">
                  <c:v>5.012586987146285E-2</c:v>
                </c:pt>
                <c:pt idx="140">
                  <c:v>4.6988721459263381E-2</c:v>
                </c:pt>
                <c:pt idx="141">
                  <c:v>4.3577703775507869E-2</c:v>
                </c:pt>
                <c:pt idx="142">
                  <c:v>4.7821461130865363E-2</c:v>
                </c:pt>
                <c:pt idx="143">
                  <c:v>5.8730663466828932E-2</c:v>
                </c:pt>
                <c:pt idx="144">
                  <c:v>4.7124691763739179E-2</c:v>
                </c:pt>
                <c:pt idx="145">
                  <c:v>5.3823119708113064E-2</c:v>
                </c:pt>
                <c:pt idx="146">
                  <c:v>5.1020811804825504E-2</c:v>
                </c:pt>
                <c:pt idx="147">
                  <c:v>5.3110904816758918E-2</c:v>
                </c:pt>
                <c:pt idx="148">
                  <c:v>5.2690545802074162E-2</c:v>
                </c:pt>
                <c:pt idx="149">
                  <c:v>5.9693955765552545E-2</c:v>
                </c:pt>
                <c:pt idx="150">
                  <c:v>5.2191867247739707E-2</c:v>
                </c:pt>
                <c:pt idx="151">
                  <c:v>5.0121846888593502E-2</c:v>
                </c:pt>
                <c:pt idx="152">
                  <c:v>4.8266763305201403E-2</c:v>
                </c:pt>
                <c:pt idx="153">
                  <c:v>5.4119237907961554E-2</c:v>
                </c:pt>
                <c:pt idx="154">
                  <c:v>4.7779183610183865E-2</c:v>
                </c:pt>
                <c:pt idx="155">
                  <c:v>5.0053512125968931E-2</c:v>
                </c:pt>
                <c:pt idx="156">
                  <c:v>5.2145971228724837E-2</c:v>
                </c:pt>
                <c:pt idx="157">
                  <c:v>5.4203454678815398E-2</c:v>
                </c:pt>
                <c:pt idx="158">
                  <c:v>4.3592619234090677E-2</c:v>
                </c:pt>
                <c:pt idx="159">
                  <c:v>5.1596443514268363E-2</c:v>
                </c:pt>
                <c:pt idx="160">
                  <c:v>4.7825638765858949E-2</c:v>
                </c:pt>
                <c:pt idx="161">
                  <c:v>4.8249409509118053E-2</c:v>
                </c:pt>
                <c:pt idx="162">
                  <c:v>4.9239068383821361E-2</c:v>
                </c:pt>
                <c:pt idx="163">
                  <c:v>5.2659116297769558E-2</c:v>
                </c:pt>
                <c:pt idx="164">
                  <c:v>5.8653720128899425E-2</c:v>
                </c:pt>
                <c:pt idx="165">
                  <c:v>4.9141194591007631E-2</c:v>
                </c:pt>
                <c:pt idx="166">
                  <c:v>4.5879220568616964E-2</c:v>
                </c:pt>
                <c:pt idx="167">
                  <c:v>5.4347184606661783E-2</c:v>
                </c:pt>
                <c:pt idx="168">
                  <c:v>5.3651561749086508E-2</c:v>
                </c:pt>
                <c:pt idx="169">
                  <c:v>5.5983550064402657E-2</c:v>
                </c:pt>
                <c:pt idx="170">
                  <c:v>4.864550519923775E-2</c:v>
                </c:pt>
                <c:pt idx="171">
                  <c:v>5.5672401829927373E-2</c:v>
                </c:pt>
                <c:pt idx="172">
                  <c:v>4.685791070134547E-2</c:v>
                </c:pt>
                <c:pt idx="173">
                  <c:v>5.8394275414508576E-2</c:v>
                </c:pt>
                <c:pt idx="174">
                  <c:v>4.9098762771436655E-2</c:v>
                </c:pt>
                <c:pt idx="175">
                  <c:v>4.575782896195596E-2</c:v>
                </c:pt>
                <c:pt idx="176">
                  <c:v>5.5410704128157011E-2</c:v>
                </c:pt>
                <c:pt idx="177">
                  <c:v>5.0694176655574207E-2</c:v>
                </c:pt>
                <c:pt idx="178">
                  <c:v>5.4477259392706173E-2</c:v>
                </c:pt>
                <c:pt idx="179">
                  <c:v>5.1295791600620082E-2</c:v>
                </c:pt>
                <c:pt idx="180">
                  <c:v>5.0494123122868516E-2</c:v>
                </c:pt>
                <c:pt idx="181">
                  <c:v>5.7981723600350032E-2</c:v>
                </c:pt>
                <c:pt idx="182">
                  <c:v>5.3200305534763577E-2</c:v>
                </c:pt>
                <c:pt idx="183">
                  <c:v>5.4203235378047936E-2</c:v>
                </c:pt>
                <c:pt idx="184">
                  <c:v>5.113537649824991E-2</c:v>
                </c:pt>
                <c:pt idx="185">
                  <c:v>4.8383417345525405E-2</c:v>
                </c:pt>
                <c:pt idx="186">
                  <c:v>5.031274660551089E-2</c:v>
                </c:pt>
                <c:pt idx="187">
                  <c:v>5.3209828117049551E-2</c:v>
                </c:pt>
                <c:pt idx="188">
                  <c:v>4.4767878798345213E-2</c:v>
                </c:pt>
                <c:pt idx="189">
                  <c:v>5.6754630113508078E-2</c:v>
                </c:pt>
                <c:pt idx="190">
                  <c:v>4.618988491936863E-2</c:v>
                </c:pt>
                <c:pt idx="191">
                  <c:v>5.4294248388277497E-2</c:v>
                </c:pt>
                <c:pt idx="192">
                  <c:v>4.6493827652098647E-2</c:v>
                </c:pt>
                <c:pt idx="193">
                  <c:v>5.4615850384734689E-2</c:v>
                </c:pt>
                <c:pt idx="194">
                  <c:v>5.9374152082911039E-2</c:v>
                </c:pt>
                <c:pt idx="195">
                  <c:v>5.4603282935016983E-2</c:v>
                </c:pt>
                <c:pt idx="196">
                  <c:v>5.5386804328839849E-2</c:v>
                </c:pt>
                <c:pt idx="197">
                  <c:v>5.4457545204855608E-2</c:v>
                </c:pt>
                <c:pt idx="198">
                  <c:v>5.2931838722870446E-2</c:v>
                </c:pt>
                <c:pt idx="199">
                  <c:v>4.6056174564119888E-2</c:v>
                </c:pt>
                <c:pt idx="200">
                  <c:v>5.3647887093609202E-2</c:v>
                </c:pt>
                <c:pt idx="201">
                  <c:v>4.6869805667361868E-2</c:v>
                </c:pt>
                <c:pt idx="202">
                  <c:v>5.4043687241245641E-2</c:v>
                </c:pt>
                <c:pt idx="203">
                  <c:v>5.044447416066955E-2</c:v>
                </c:pt>
                <c:pt idx="204">
                  <c:v>5.8867506603202086E-2</c:v>
                </c:pt>
                <c:pt idx="205">
                  <c:v>5.0738067927050788E-2</c:v>
                </c:pt>
                <c:pt idx="206">
                  <c:v>5.0537286643478015E-2</c:v>
                </c:pt>
                <c:pt idx="207">
                  <c:v>4.7894360505304941E-2</c:v>
                </c:pt>
                <c:pt idx="208">
                  <c:v>5.7308937449348937E-2</c:v>
                </c:pt>
                <c:pt idx="209">
                  <c:v>4.7276286423015977E-2</c:v>
                </c:pt>
                <c:pt idx="210">
                  <c:v>5.5715241773405123E-2</c:v>
                </c:pt>
                <c:pt idx="211">
                  <c:v>5.3501059579245933E-2</c:v>
                </c:pt>
                <c:pt idx="212">
                  <c:v>4.7950296328370508E-2</c:v>
                </c:pt>
                <c:pt idx="213">
                  <c:v>5.2372269769709982E-2</c:v>
                </c:pt>
                <c:pt idx="214">
                  <c:v>5.3211971713627307E-2</c:v>
                </c:pt>
                <c:pt idx="215">
                  <c:v>4.7360676287243629E-2</c:v>
                </c:pt>
                <c:pt idx="216">
                  <c:v>4.9839659489166702E-2</c:v>
                </c:pt>
                <c:pt idx="217">
                  <c:v>5.1588109802357361E-2</c:v>
                </c:pt>
                <c:pt idx="218">
                  <c:v>4.3822599191974662E-2</c:v>
                </c:pt>
                <c:pt idx="219">
                  <c:v>5.4132491520762625E-2</c:v>
                </c:pt>
                <c:pt idx="220">
                  <c:v>5.6401987709257188E-2</c:v>
                </c:pt>
                <c:pt idx="221">
                  <c:v>5.4978229582235381E-2</c:v>
                </c:pt>
                <c:pt idx="222">
                  <c:v>4.781466771760072E-2</c:v>
                </c:pt>
                <c:pt idx="223">
                  <c:v>5.8952443444537254E-2</c:v>
                </c:pt>
                <c:pt idx="224">
                  <c:v>5.0619272007011315E-2</c:v>
                </c:pt>
                <c:pt idx="225">
                  <c:v>5.2230297826301272E-2</c:v>
                </c:pt>
                <c:pt idx="226">
                  <c:v>5.7878462182293949E-2</c:v>
                </c:pt>
                <c:pt idx="227">
                  <c:v>5.3382548108628358E-2</c:v>
                </c:pt>
                <c:pt idx="228">
                  <c:v>4.7130054109122591E-2</c:v>
                </c:pt>
                <c:pt idx="229">
                  <c:v>5.1064925185026137E-2</c:v>
                </c:pt>
                <c:pt idx="230">
                  <c:v>4.9649686045244501E-2</c:v>
                </c:pt>
                <c:pt idx="231">
                  <c:v>5.7030488575854306E-2</c:v>
                </c:pt>
                <c:pt idx="232">
                  <c:v>5.282143156426708E-2</c:v>
                </c:pt>
                <c:pt idx="233">
                  <c:v>5.4971397020779571E-2</c:v>
                </c:pt>
                <c:pt idx="234">
                  <c:v>5.410335364372177E-2</c:v>
                </c:pt>
                <c:pt idx="235">
                  <c:v>4.7067776902836846E-2</c:v>
                </c:pt>
                <c:pt idx="236">
                  <c:v>4.8416386880335331E-2</c:v>
                </c:pt>
                <c:pt idx="237">
                  <c:v>4.9511096055645971E-2</c:v>
                </c:pt>
                <c:pt idx="238">
                  <c:v>5.8329528763262604E-2</c:v>
                </c:pt>
                <c:pt idx="239">
                  <c:v>5.326478951340189E-2</c:v>
                </c:pt>
                <c:pt idx="240">
                  <c:v>5.235893468751978E-2</c:v>
                </c:pt>
                <c:pt idx="241">
                  <c:v>5.1025520148657647E-2</c:v>
                </c:pt>
                <c:pt idx="242">
                  <c:v>5.3193040231373417E-2</c:v>
                </c:pt>
                <c:pt idx="243">
                  <c:v>4.5118487154392956E-2</c:v>
                </c:pt>
                <c:pt idx="244">
                  <c:v>5.7750275061864254E-2</c:v>
                </c:pt>
                <c:pt idx="245">
                  <c:v>5.0644247834086116E-2</c:v>
                </c:pt>
                <c:pt idx="246">
                  <c:v>4.6142267410477868E-2</c:v>
                </c:pt>
                <c:pt idx="247">
                  <c:v>5.582807569939275E-2</c:v>
                </c:pt>
                <c:pt idx="248">
                  <c:v>5.6100630386568255E-2</c:v>
                </c:pt>
                <c:pt idx="249">
                  <c:v>5.4756137791038481E-2</c:v>
                </c:pt>
                <c:pt idx="250">
                  <c:v>5.4954057278445725E-2</c:v>
                </c:pt>
                <c:pt idx="251">
                  <c:v>4.6310230687148457E-2</c:v>
                </c:pt>
                <c:pt idx="252">
                  <c:v>5.1054349159160586E-2</c:v>
                </c:pt>
                <c:pt idx="253">
                  <c:v>4.6392299761089377E-2</c:v>
                </c:pt>
                <c:pt idx="254">
                  <c:v>5.1511660832775946E-2</c:v>
                </c:pt>
                <c:pt idx="255">
                  <c:v>5.1506766621066812E-2</c:v>
                </c:pt>
                <c:pt idx="256">
                  <c:v>5.4697400351075565E-2</c:v>
                </c:pt>
                <c:pt idx="257">
                  <c:v>5.1819697979116078E-2</c:v>
                </c:pt>
                <c:pt idx="258">
                  <c:v>5.3325157861462982E-2</c:v>
                </c:pt>
                <c:pt idx="259">
                  <c:v>5.2769351615221741E-2</c:v>
                </c:pt>
                <c:pt idx="260">
                  <c:v>4.7837538860701398E-2</c:v>
                </c:pt>
                <c:pt idx="261">
                  <c:v>4.6516437051624032E-2</c:v>
                </c:pt>
                <c:pt idx="262">
                  <c:v>4.7527424832589697E-2</c:v>
                </c:pt>
                <c:pt idx="263">
                  <c:v>4.6827412346785773E-2</c:v>
                </c:pt>
                <c:pt idx="264">
                  <c:v>4.5125457494802144E-2</c:v>
                </c:pt>
                <c:pt idx="265">
                  <c:v>4.2161646664450679E-2</c:v>
                </c:pt>
                <c:pt idx="266">
                  <c:v>5.4474652475851711E-2</c:v>
                </c:pt>
                <c:pt idx="267">
                  <c:v>4.6700842680567838E-2</c:v>
                </c:pt>
                <c:pt idx="268">
                  <c:v>4.979469339536708E-2</c:v>
                </c:pt>
                <c:pt idx="269">
                  <c:v>4.3514705827362853E-2</c:v>
                </c:pt>
                <c:pt idx="270">
                  <c:v>5.5525373585583959E-2</c:v>
                </c:pt>
                <c:pt idx="271">
                  <c:v>5.3862459158581448E-2</c:v>
                </c:pt>
                <c:pt idx="272">
                  <c:v>4.5748088718287998E-2</c:v>
                </c:pt>
                <c:pt idx="273">
                  <c:v>5.3735146389090077E-2</c:v>
                </c:pt>
                <c:pt idx="274">
                  <c:v>5.332454367010294E-2</c:v>
                </c:pt>
                <c:pt idx="275">
                  <c:v>5.6155203524922544E-2</c:v>
                </c:pt>
                <c:pt idx="276">
                  <c:v>4.9039967942268989E-2</c:v>
                </c:pt>
                <c:pt idx="277">
                  <c:v>5.7883736418995003E-2</c:v>
                </c:pt>
                <c:pt idx="278">
                  <c:v>5.3058895558112364E-2</c:v>
                </c:pt>
                <c:pt idx="279">
                  <c:v>5.2812866485831514E-2</c:v>
                </c:pt>
                <c:pt idx="280">
                  <c:v>4.4271536708167754E-2</c:v>
                </c:pt>
                <c:pt idx="281">
                  <c:v>5.4075093322217632E-2</c:v>
                </c:pt>
                <c:pt idx="282">
                  <c:v>4.8073909968244309E-2</c:v>
                </c:pt>
                <c:pt idx="283">
                  <c:v>5.7745334932142074E-2</c:v>
                </c:pt>
                <c:pt idx="284">
                  <c:v>4.9030927538356216E-2</c:v>
                </c:pt>
                <c:pt idx="285">
                  <c:v>5.100328000505059E-2</c:v>
                </c:pt>
                <c:pt idx="286">
                  <c:v>4.9923547767461267E-2</c:v>
                </c:pt>
                <c:pt idx="287">
                  <c:v>4.3229956665856537E-2</c:v>
                </c:pt>
                <c:pt idx="288">
                  <c:v>4.9835633770925411E-2</c:v>
                </c:pt>
                <c:pt idx="289">
                  <c:v>5.4079063681920767E-2</c:v>
                </c:pt>
                <c:pt idx="290">
                  <c:v>4.7244364340441963E-2</c:v>
                </c:pt>
                <c:pt idx="291">
                  <c:v>4.9560540189086781E-2</c:v>
                </c:pt>
                <c:pt idx="292">
                  <c:v>5.588810121437978E-2</c:v>
                </c:pt>
                <c:pt idx="293">
                  <c:v>5.2732382968451071E-2</c:v>
                </c:pt>
                <c:pt idx="294">
                  <c:v>5.072316619795985E-2</c:v>
                </c:pt>
                <c:pt idx="295">
                  <c:v>4.8023762879629478E-2</c:v>
                </c:pt>
                <c:pt idx="296">
                  <c:v>4.9729812689462055E-2</c:v>
                </c:pt>
                <c:pt idx="297">
                  <c:v>5.2091519842737695E-2</c:v>
                </c:pt>
                <c:pt idx="298">
                  <c:v>5.7881079686802533E-2</c:v>
                </c:pt>
                <c:pt idx="299">
                  <c:v>4.3705122873293478E-2</c:v>
                </c:pt>
                <c:pt idx="300">
                  <c:v>5.4292081935919244E-2</c:v>
                </c:pt>
                <c:pt idx="301">
                  <c:v>5.3471991408637384E-2</c:v>
                </c:pt>
                <c:pt idx="302">
                  <c:v>4.6644290509945369E-2</c:v>
                </c:pt>
                <c:pt idx="303">
                  <c:v>6.4904852667180865E-2</c:v>
                </c:pt>
                <c:pt idx="304">
                  <c:v>4.6450230436701483E-2</c:v>
                </c:pt>
                <c:pt idx="305">
                  <c:v>4.9692951860957686E-2</c:v>
                </c:pt>
                <c:pt idx="306">
                  <c:v>4.8399534760325436E-2</c:v>
                </c:pt>
                <c:pt idx="307">
                  <c:v>4.9003172094085577E-2</c:v>
                </c:pt>
                <c:pt idx="308">
                  <c:v>4.6847763161558406E-2</c:v>
                </c:pt>
                <c:pt idx="309">
                  <c:v>4.4387450763354659E-2</c:v>
                </c:pt>
                <c:pt idx="310">
                  <c:v>5.7737310361859029E-2</c:v>
                </c:pt>
                <c:pt idx="311">
                  <c:v>5.832157904327985E-2</c:v>
                </c:pt>
                <c:pt idx="312">
                  <c:v>4.3423759989849549E-2</c:v>
                </c:pt>
                <c:pt idx="313">
                  <c:v>4.6382750544783642E-2</c:v>
                </c:pt>
                <c:pt idx="314">
                  <c:v>4.741248090789954E-2</c:v>
                </c:pt>
                <c:pt idx="315">
                  <c:v>4.7299407260724312E-2</c:v>
                </c:pt>
                <c:pt idx="316">
                  <c:v>5.15359841225798E-2</c:v>
                </c:pt>
                <c:pt idx="317">
                  <c:v>5.1174389092224958E-2</c:v>
                </c:pt>
                <c:pt idx="318">
                  <c:v>4.8789440864443298E-2</c:v>
                </c:pt>
                <c:pt idx="319">
                  <c:v>4.7736842990249391E-2</c:v>
                </c:pt>
                <c:pt idx="320">
                  <c:v>5.1139553448743033E-2</c:v>
                </c:pt>
                <c:pt idx="321">
                  <c:v>4.9778011888850754E-2</c:v>
                </c:pt>
                <c:pt idx="322">
                  <c:v>4.9116313224175583E-2</c:v>
                </c:pt>
                <c:pt idx="323">
                  <c:v>5.4033958813720674E-2</c:v>
                </c:pt>
                <c:pt idx="324">
                  <c:v>5.4035785529689843E-2</c:v>
                </c:pt>
                <c:pt idx="325">
                  <c:v>4.6513523840621983E-2</c:v>
                </c:pt>
                <c:pt idx="326">
                  <c:v>5.2406125809214492E-2</c:v>
                </c:pt>
                <c:pt idx="327">
                  <c:v>4.3994913317467771E-2</c:v>
                </c:pt>
                <c:pt idx="328">
                  <c:v>5.3508504120653506E-2</c:v>
                </c:pt>
                <c:pt idx="329">
                  <c:v>5.1939903630795571E-2</c:v>
                </c:pt>
                <c:pt idx="330">
                  <c:v>5.353709230344713E-2</c:v>
                </c:pt>
                <c:pt idx="331">
                  <c:v>4.8976427187468023E-2</c:v>
                </c:pt>
                <c:pt idx="332">
                  <c:v>4.6921016449827831E-2</c:v>
                </c:pt>
                <c:pt idx="333">
                  <c:v>5.3738133154448774E-2</c:v>
                </c:pt>
                <c:pt idx="334">
                  <c:v>4.7708438960587893E-2</c:v>
                </c:pt>
                <c:pt idx="335">
                  <c:v>5.6690592147819692E-2</c:v>
                </c:pt>
                <c:pt idx="336">
                  <c:v>5.083975628450467E-2</c:v>
                </c:pt>
                <c:pt idx="337">
                  <c:v>5.6927210139201621E-2</c:v>
                </c:pt>
                <c:pt idx="338">
                  <c:v>4.4493196299927359E-2</c:v>
                </c:pt>
                <c:pt idx="339">
                  <c:v>5.1502867371400002E-2</c:v>
                </c:pt>
                <c:pt idx="340">
                  <c:v>5.1386441032188507E-2</c:v>
                </c:pt>
                <c:pt idx="341">
                  <c:v>6.0460222503267762E-2</c:v>
                </c:pt>
                <c:pt idx="342">
                  <c:v>5.6099886529116592E-2</c:v>
                </c:pt>
                <c:pt idx="343">
                  <c:v>5.2064770323616304E-2</c:v>
                </c:pt>
                <c:pt idx="344">
                  <c:v>5.3106005955812073E-2</c:v>
                </c:pt>
                <c:pt idx="345">
                  <c:v>4.7217681611257174E-2</c:v>
                </c:pt>
                <c:pt idx="346">
                  <c:v>4.563688734723987E-2</c:v>
                </c:pt>
                <c:pt idx="347">
                  <c:v>4.8124611873185244E-2</c:v>
                </c:pt>
                <c:pt idx="348">
                  <c:v>5.5037989908849699E-2</c:v>
                </c:pt>
                <c:pt idx="349">
                  <c:v>5.4293204606681959E-2</c:v>
                </c:pt>
                <c:pt idx="350">
                  <c:v>5.3528604040752471E-2</c:v>
                </c:pt>
                <c:pt idx="351">
                  <c:v>4.9987591510143078E-2</c:v>
                </c:pt>
                <c:pt idx="352">
                  <c:v>5.2651763201268603E-2</c:v>
                </c:pt>
                <c:pt idx="353">
                  <c:v>4.9801082742949872E-2</c:v>
                </c:pt>
                <c:pt idx="354">
                  <c:v>5.0316624804032414E-2</c:v>
                </c:pt>
                <c:pt idx="355">
                  <c:v>4.1641178030058699E-2</c:v>
                </c:pt>
                <c:pt idx="356">
                  <c:v>5.4990415349659032E-2</c:v>
                </c:pt>
                <c:pt idx="357">
                  <c:v>4.8142563843005533E-2</c:v>
                </c:pt>
                <c:pt idx="358">
                  <c:v>4.6700358608698138E-2</c:v>
                </c:pt>
                <c:pt idx="359">
                  <c:v>4.8054428378746399E-2</c:v>
                </c:pt>
                <c:pt idx="360">
                  <c:v>4.9818545654590304E-2</c:v>
                </c:pt>
                <c:pt idx="361">
                  <c:v>5.183043648353225E-2</c:v>
                </c:pt>
                <c:pt idx="362">
                  <c:v>5.0837260238451851E-2</c:v>
                </c:pt>
                <c:pt idx="363">
                  <c:v>4.8882705618093249E-2</c:v>
                </c:pt>
                <c:pt idx="364">
                  <c:v>5.3461406383498881E-2</c:v>
                </c:pt>
                <c:pt idx="365">
                  <c:v>5.1765951029623773E-2</c:v>
                </c:pt>
                <c:pt idx="366">
                  <c:v>4.8899958840800666E-2</c:v>
                </c:pt>
                <c:pt idx="367">
                  <c:v>5.6071366540799715E-2</c:v>
                </c:pt>
                <c:pt idx="368">
                  <c:v>4.3618229139804572E-2</c:v>
                </c:pt>
                <c:pt idx="369">
                  <c:v>4.9841066915775549E-2</c:v>
                </c:pt>
                <c:pt idx="370">
                  <c:v>5.6260160257048393E-2</c:v>
                </c:pt>
                <c:pt idx="371">
                  <c:v>5.0398214670584071E-2</c:v>
                </c:pt>
                <c:pt idx="372">
                  <c:v>4.8681659694435345E-2</c:v>
                </c:pt>
                <c:pt idx="373">
                  <c:v>5.0124533982801159E-2</c:v>
                </c:pt>
                <c:pt idx="374">
                  <c:v>4.8148873547708915E-2</c:v>
                </c:pt>
                <c:pt idx="375">
                  <c:v>5.0172605502461942E-2</c:v>
                </c:pt>
                <c:pt idx="376">
                  <c:v>5.9338040137625205E-2</c:v>
                </c:pt>
                <c:pt idx="377">
                  <c:v>4.6197174778770243E-2</c:v>
                </c:pt>
                <c:pt idx="378">
                  <c:v>5.055187652417116E-2</c:v>
                </c:pt>
                <c:pt idx="379">
                  <c:v>5.6555659644092912E-2</c:v>
                </c:pt>
                <c:pt idx="380">
                  <c:v>5.3824778050491288E-2</c:v>
                </c:pt>
                <c:pt idx="381">
                  <c:v>4.7340086428446296E-2</c:v>
                </c:pt>
                <c:pt idx="382">
                  <c:v>4.6715824483889369E-2</c:v>
                </c:pt>
                <c:pt idx="383">
                  <c:v>4.9325747962603472E-2</c:v>
                </c:pt>
                <c:pt idx="384">
                  <c:v>4.8582248932872246E-2</c:v>
                </c:pt>
                <c:pt idx="385">
                  <c:v>5.1093873077089312E-2</c:v>
                </c:pt>
                <c:pt idx="386">
                  <c:v>4.423859436918845E-2</c:v>
                </c:pt>
                <c:pt idx="387">
                  <c:v>4.7343120201533778E-2</c:v>
                </c:pt>
                <c:pt idx="388">
                  <c:v>5.4824591913410242E-2</c:v>
                </c:pt>
                <c:pt idx="389">
                  <c:v>4.3959027912355113E-2</c:v>
                </c:pt>
                <c:pt idx="390">
                  <c:v>5.2728618088140389E-2</c:v>
                </c:pt>
                <c:pt idx="391">
                  <c:v>4.958461315413467E-2</c:v>
                </c:pt>
                <c:pt idx="392">
                  <c:v>4.4216347031637689E-2</c:v>
                </c:pt>
                <c:pt idx="393">
                  <c:v>5.4031773411027835E-2</c:v>
                </c:pt>
                <c:pt idx="394">
                  <c:v>4.559313708230614E-2</c:v>
                </c:pt>
                <c:pt idx="395">
                  <c:v>4.6461763289683621E-2</c:v>
                </c:pt>
                <c:pt idx="396">
                  <c:v>5.094832343389917E-2</c:v>
                </c:pt>
                <c:pt idx="397">
                  <c:v>5.7261236696463741E-2</c:v>
                </c:pt>
                <c:pt idx="398">
                  <c:v>5.031546215392288E-2</c:v>
                </c:pt>
                <c:pt idx="399">
                  <c:v>4.9589062494677157E-2</c:v>
                </c:pt>
                <c:pt idx="400">
                  <c:v>5.3506572680987366E-2</c:v>
                </c:pt>
                <c:pt idx="401">
                  <c:v>4.6307243986934289E-2</c:v>
                </c:pt>
                <c:pt idx="402">
                  <c:v>5.4509756817798564E-2</c:v>
                </c:pt>
                <c:pt idx="403">
                  <c:v>5.1318479243500498E-2</c:v>
                </c:pt>
                <c:pt idx="404">
                  <c:v>5.9223650198198197E-2</c:v>
                </c:pt>
                <c:pt idx="405">
                  <c:v>5.1345776193015578E-2</c:v>
                </c:pt>
                <c:pt idx="406">
                  <c:v>5.4729146839428852E-2</c:v>
                </c:pt>
                <c:pt idx="407">
                  <c:v>5.5673413464855458E-2</c:v>
                </c:pt>
                <c:pt idx="408">
                  <c:v>5.4772651909842408E-2</c:v>
                </c:pt>
                <c:pt idx="409">
                  <c:v>4.886993214478335E-2</c:v>
                </c:pt>
                <c:pt idx="410">
                  <c:v>4.8857180011843353E-2</c:v>
                </c:pt>
                <c:pt idx="411">
                  <c:v>5.2725405497510092E-2</c:v>
                </c:pt>
                <c:pt idx="412">
                  <c:v>4.4472387211429362E-2</c:v>
                </c:pt>
                <c:pt idx="413">
                  <c:v>5.2124949604269243E-2</c:v>
                </c:pt>
                <c:pt idx="414">
                  <c:v>4.7274912233399198E-2</c:v>
                </c:pt>
                <c:pt idx="415">
                  <c:v>5.1263072664519502E-2</c:v>
                </c:pt>
                <c:pt idx="416">
                  <c:v>4.7204598280747155E-2</c:v>
                </c:pt>
                <c:pt idx="417">
                  <c:v>4.8094603649773103E-2</c:v>
                </c:pt>
                <c:pt idx="418">
                  <c:v>4.8562620206881367E-2</c:v>
                </c:pt>
                <c:pt idx="419">
                  <c:v>5.1687496067812602E-2</c:v>
                </c:pt>
                <c:pt idx="420">
                  <c:v>4.6723266459611043E-2</c:v>
                </c:pt>
                <c:pt idx="421">
                  <c:v>5.2794581282823147E-2</c:v>
                </c:pt>
                <c:pt idx="422">
                  <c:v>4.7043815286309611E-2</c:v>
                </c:pt>
                <c:pt idx="423">
                  <c:v>5.8168762653715414E-2</c:v>
                </c:pt>
                <c:pt idx="424">
                  <c:v>5.2908988598156098E-2</c:v>
                </c:pt>
                <c:pt idx="425">
                  <c:v>5.5808085096474294E-2</c:v>
                </c:pt>
                <c:pt idx="426">
                  <c:v>5.7839359199113878E-2</c:v>
                </c:pt>
                <c:pt idx="427">
                  <c:v>5.7581982710702473E-2</c:v>
                </c:pt>
                <c:pt idx="428">
                  <c:v>5.4193438300836165E-2</c:v>
                </c:pt>
                <c:pt idx="429">
                  <c:v>5.3983396871337672E-2</c:v>
                </c:pt>
                <c:pt idx="430">
                  <c:v>5.2211609520850501E-2</c:v>
                </c:pt>
                <c:pt idx="431">
                  <c:v>4.6999762746318133E-2</c:v>
                </c:pt>
                <c:pt idx="432">
                  <c:v>5.0780075544666223E-2</c:v>
                </c:pt>
                <c:pt idx="433">
                  <c:v>5.8769707325664278E-2</c:v>
                </c:pt>
                <c:pt idx="434">
                  <c:v>5.1760543010455747E-2</c:v>
                </c:pt>
                <c:pt idx="435">
                  <c:v>5.6085079192416259E-2</c:v>
                </c:pt>
                <c:pt idx="436">
                  <c:v>4.4203564878653664E-2</c:v>
                </c:pt>
                <c:pt idx="437">
                  <c:v>4.7929248332426684E-2</c:v>
                </c:pt>
                <c:pt idx="438">
                  <c:v>5.1072106236424136E-2</c:v>
                </c:pt>
                <c:pt idx="439">
                  <c:v>5.3576079219091514E-2</c:v>
                </c:pt>
                <c:pt idx="440">
                  <c:v>5.502886850449959E-2</c:v>
                </c:pt>
                <c:pt idx="441">
                  <c:v>4.8853287190921788E-2</c:v>
                </c:pt>
                <c:pt idx="442">
                  <c:v>5.7849103479881189E-2</c:v>
                </c:pt>
                <c:pt idx="443">
                  <c:v>4.7437925314356394E-2</c:v>
                </c:pt>
                <c:pt idx="444">
                  <c:v>5.9473031858466176E-2</c:v>
                </c:pt>
                <c:pt idx="445">
                  <c:v>5.8752722335446948E-2</c:v>
                </c:pt>
                <c:pt idx="446">
                  <c:v>5.0001126159254117E-2</c:v>
                </c:pt>
                <c:pt idx="447">
                  <c:v>4.3209613664008641E-2</c:v>
                </c:pt>
                <c:pt idx="448">
                  <c:v>4.9555413877547264E-2</c:v>
                </c:pt>
                <c:pt idx="449">
                  <c:v>5.2538930544995179E-2</c:v>
                </c:pt>
                <c:pt idx="450">
                  <c:v>4.7473730343955037E-2</c:v>
                </c:pt>
                <c:pt idx="451">
                  <c:v>5.4732197159217011E-2</c:v>
                </c:pt>
                <c:pt idx="452">
                  <c:v>4.6496234048358197E-2</c:v>
                </c:pt>
                <c:pt idx="453">
                  <c:v>5.0812588847045995E-2</c:v>
                </c:pt>
                <c:pt idx="454">
                  <c:v>5.1655676879455457E-2</c:v>
                </c:pt>
                <c:pt idx="455">
                  <c:v>5.6779060119746219E-2</c:v>
                </c:pt>
                <c:pt idx="456">
                  <c:v>4.3223087862173708E-2</c:v>
                </c:pt>
                <c:pt idx="457">
                  <c:v>5.0190962856557803E-2</c:v>
                </c:pt>
                <c:pt idx="458">
                  <c:v>4.6740995255203491E-2</c:v>
                </c:pt>
                <c:pt idx="459">
                  <c:v>5.2321453106969611E-2</c:v>
                </c:pt>
                <c:pt idx="460">
                  <c:v>6.1708152561846669E-2</c:v>
                </c:pt>
                <c:pt idx="461">
                  <c:v>5.1050454077270171E-2</c:v>
                </c:pt>
                <c:pt idx="462">
                  <c:v>5.4137447384740724E-2</c:v>
                </c:pt>
                <c:pt idx="463">
                  <c:v>4.5824361033966657E-2</c:v>
                </c:pt>
                <c:pt idx="464">
                  <c:v>4.6352345212387222E-2</c:v>
                </c:pt>
                <c:pt idx="465">
                  <c:v>5.311745693618064E-2</c:v>
                </c:pt>
                <c:pt idx="466">
                  <c:v>4.9585596463393208E-2</c:v>
                </c:pt>
                <c:pt idx="467">
                  <c:v>5.110906503538349E-2</c:v>
                </c:pt>
                <c:pt idx="468">
                  <c:v>4.8400578461652834E-2</c:v>
                </c:pt>
                <c:pt idx="469">
                  <c:v>5.2966285568588178E-2</c:v>
                </c:pt>
                <c:pt idx="470">
                  <c:v>5.136814633408824E-2</c:v>
                </c:pt>
                <c:pt idx="471">
                  <c:v>4.6838576879370847E-2</c:v>
                </c:pt>
                <c:pt idx="472">
                  <c:v>4.6184668856275576E-2</c:v>
                </c:pt>
                <c:pt idx="473">
                  <c:v>5.7460946904431251E-2</c:v>
                </c:pt>
                <c:pt idx="474">
                  <c:v>5.1811193194569338E-2</c:v>
                </c:pt>
                <c:pt idx="475">
                  <c:v>4.9822461387305159E-2</c:v>
                </c:pt>
                <c:pt idx="476">
                  <c:v>4.9104868909860669E-2</c:v>
                </c:pt>
                <c:pt idx="477">
                  <c:v>4.8933391838752505E-2</c:v>
                </c:pt>
                <c:pt idx="478">
                  <c:v>4.8173979900734978E-2</c:v>
                </c:pt>
                <c:pt idx="479">
                  <c:v>4.8573755482068597E-2</c:v>
                </c:pt>
                <c:pt idx="480">
                  <c:v>4.8585629611320791E-2</c:v>
                </c:pt>
                <c:pt idx="481">
                  <c:v>4.3133334980684203E-2</c:v>
                </c:pt>
                <c:pt idx="482">
                  <c:v>4.7873879982983092E-2</c:v>
                </c:pt>
                <c:pt idx="483">
                  <c:v>4.7023699396996028E-2</c:v>
                </c:pt>
                <c:pt idx="484">
                  <c:v>4.5504819284881516E-2</c:v>
                </c:pt>
                <c:pt idx="485">
                  <c:v>5.1609812033855562E-2</c:v>
                </c:pt>
                <c:pt idx="486">
                  <c:v>5.0962525322173227E-2</c:v>
                </c:pt>
                <c:pt idx="487">
                  <c:v>4.5151630263871603E-2</c:v>
                </c:pt>
                <c:pt idx="488">
                  <c:v>4.5732681522373544E-2</c:v>
                </c:pt>
                <c:pt idx="489">
                  <c:v>5.4416105310017747E-2</c:v>
                </c:pt>
                <c:pt idx="490">
                  <c:v>5.3194373630306747E-2</c:v>
                </c:pt>
                <c:pt idx="491">
                  <c:v>5.4950065689810382E-2</c:v>
                </c:pt>
                <c:pt idx="492">
                  <c:v>4.5488451044008206E-2</c:v>
                </c:pt>
                <c:pt idx="493">
                  <c:v>4.8143832540726045E-2</c:v>
                </c:pt>
                <c:pt idx="494">
                  <c:v>5.0661550375038625E-2</c:v>
                </c:pt>
                <c:pt idx="495">
                  <c:v>4.7646738505385137E-2</c:v>
                </c:pt>
                <c:pt idx="496">
                  <c:v>4.1670286594137268E-2</c:v>
                </c:pt>
                <c:pt idx="497">
                  <c:v>5.364173006331794E-2</c:v>
                </c:pt>
                <c:pt idx="498">
                  <c:v>5.1420804746455807E-2</c:v>
                </c:pt>
                <c:pt idx="499">
                  <c:v>4.3114055571643987E-2</c:v>
                </c:pt>
                <c:pt idx="500">
                  <c:v>5.0806026780943266E-2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Model!$G$28</c15:sqref>
                        </c15:formulaRef>
                      </c:ext>
                    </c:extLst>
                    <c:strCache>
                      <c:ptCount val="1"/>
                      <c:pt idx="0">
                        <c:v>Rate of return from investment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Model!$F$29:$F$529</c15:sqref>
                        </c15:formulaRef>
                      </c:ext>
                    </c:extLst>
                    <c:numCache>
                      <c:formatCode>General</c:formatCode>
                      <c:ptCount val="501"/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04C8-4876-9B18-339C360AC2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748237440"/>
        <c:axId val="748231680"/>
      </c:barChart>
      <c:catAx>
        <c:axId val="748237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8231680"/>
        <c:crosses val="autoZero"/>
        <c:auto val="1"/>
        <c:lblAlgn val="ctr"/>
        <c:lblOffset val="100"/>
        <c:noMultiLvlLbl val="0"/>
      </c:catAx>
      <c:valAx>
        <c:axId val="748231680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8237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Return</a:t>
            </a:r>
            <a:r>
              <a:rPr lang="pl-PL" baseline="0"/>
              <a:t> of investment on fund A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Model!$F$11:$F$23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numCache>
            </c:numRef>
          </c:xVal>
          <c:yVal>
            <c:numRef>
              <c:f>Model!$I$11:$I$23</c:f>
              <c:numCache>
                <c:formatCode>0.00%</c:formatCode>
                <c:ptCount val="13"/>
                <c:pt idx="1">
                  <c:v>1.2928665643433389E-3</c:v>
                </c:pt>
                <c:pt idx="2">
                  <c:v>2.0637489133394915E-3</c:v>
                </c:pt>
                <c:pt idx="3">
                  <c:v>1.7427242464286656E-3</c:v>
                </c:pt>
                <c:pt idx="4">
                  <c:v>2.43612542921252E-3</c:v>
                </c:pt>
                <c:pt idx="5">
                  <c:v>1.8516643852316856E-3</c:v>
                </c:pt>
                <c:pt idx="6">
                  <c:v>1.4400061645321325E-3</c:v>
                </c:pt>
                <c:pt idx="7">
                  <c:v>1.4264635120599816E-3</c:v>
                </c:pt>
                <c:pt idx="8">
                  <c:v>1.9024051946869586E-3</c:v>
                </c:pt>
                <c:pt idx="9">
                  <c:v>1.4969841380156708E-3</c:v>
                </c:pt>
                <c:pt idx="10">
                  <c:v>2.2223760242863692E-3</c:v>
                </c:pt>
                <c:pt idx="11">
                  <c:v>1.6346100362375274E-3</c:v>
                </c:pt>
                <c:pt idx="12">
                  <c:v>1.3574463698959427E-3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E1C-477D-AC97-078B38C626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8198560"/>
        <c:axId val="748199040"/>
      </c:scatterChart>
      <c:valAx>
        <c:axId val="748198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8199040"/>
        <c:crosses val="autoZero"/>
        <c:crossBetween val="midCat"/>
      </c:valAx>
      <c:valAx>
        <c:axId val="748199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81985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Return of investment on fund B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Model!$F$11:$F$23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numCache>
            </c:numRef>
          </c:xVal>
          <c:yVal>
            <c:numRef>
              <c:f>Model!$N$11:$N$23</c:f>
              <c:numCache>
                <c:formatCode>0.00%</c:formatCode>
                <c:ptCount val="13"/>
                <c:pt idx="1">
                  <c:v>5.0237096081283761E-3</c:v>
                </c:pt>
                <c:pt idx="2">
                  <c:v>-5.0576979857706643E-5</c:v>
                </c:pt>
                <c:pt idx="3">
                  <c:v>-1.3263267333222967E-4</c:v>
                </c:pt>
                <c:pt idx="4">
                  <c:v>2.7045970151839331E-3</c:v>
                </c:pt>
                <c:pt idx="5">
                  <c:v>-1.5996953098509324E-3</c:v>
                </c:pt>
                <c:pt idx="6">
                  <c:v>6.5507674794070382E-3</c:v>
                </c:pt>
                <c:pt idx="7">
                  <c:v>6.1033050321882831E-3</c:v>
                </c:pt>
                <c:pt idx="8">
                  <c:v>4.6963482529391145E-3</c:v>
                </c:pt>
                <c:pt idx="9">
                  <c:v>6.5589902397452564E-3</c:v>
                </c:pt>
                <c:pt idx="10">
                  <c:v>5.115641663256656E-3</c:v>
                </c:pt>
                <c:pt idx="11">
                  <c:v>4.1823847523148553E-3</c:v>
                </c:pt>
                <c:pt idx="12">
                  <c:v>4.9599853521355517E-3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813-456C-824C-5BDC90D7B6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7049552"/>
        <c:axId val="657047152"/>
      </c:scatterChart>
      <c:valAx>
        <c:axId val="657049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7047152"/>
        <c:crosses val="autoZero"/>
        <c:crossBetween val="midCat"/>
      </c:valAx>
      <c:valAx>
        <c:axId val="657047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70495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Return of investment on fund C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Model!$F$11:$F$23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numCache>
            </c:numRef>
          </c:xVal>
          <c:yVal>
            <c:numRef>
              <c:f>Model!$R$11:$R$23</c:f>
              <c:numCache>
                <c:formatCode>0.00%</c:formatCode>
                <c:ptCount val="13"/>
                <c:pt idx="1">
                  <c:v>1.0452680374344532E-2</c:v>
                </c:pt>
                <c:pt idx="2">
                  <c:v>1.1899023598620564E-3</c:v>
                </c:pt>
                <c:pt idx="3">
                  <c:v>6.5491811019087022E-3</c:v>
                </c:pt>
                <c:pt idx="4">
                  <c:v>6.6369789555122015E-3</c:v>
                </c:pt>
                <c:pt idx="5">
                  <c:v>1.0676006504308366E-2</c:v>
                </c:pt>
                <c:pt idx="6">
                  <c:v>5.2483471494567989E-3</c:v>
                </c:pt>
                <c:pt idx="7">
                  <c:v>1.5699336466005308E-3</c:v>
                </c:pt>
                <c:pt idx="8">
                  <c:v>4.9889288454718237E-3</c:v>
                </c:pt>
                <c:pt idx="9">
                  <c:v>1.1308732062003205E-2</c:v>
                </c:pt>
                <c:pt idx="10">
                  <c:v>4.1322941857093584E-3</c:v>
                </c:pt>
                <c:pt idx="11">
                  <c:v>1.0311581282979635E-2</c:v>
                </c:pt>
                <c:pt idx="12">
                  <c:v>1.1372826398644327E-2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0B8-4B2D-B124-F07A820B7A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8229760"/>
        <c:axId val="748231200"/>
      </c:scatterChart>
      <c:valAx>
        <c:axId val="748229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8231200"/>
        <c:crosses val="autoZero"/>
        <c:crossBetween val="midCat"/>
      </c:valAx>
      <c:valAx>
        <c:axId val="748231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82297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Return of investment on fund D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Model!$F$11:$F$23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numCache>
            </c:numRef>
          </c:xVal>
          <c:yVal>
            <c:numRef>
              <c:f>Model!$V$11:$V$23</c:f>
              <c:numCache>
                <c:formatCode>0.00%</c:formatCode>
                <c:ptCount val="13"/>
                <c:pt idx="1">
                  <c:v>5.5467313221183789E-3</c:v>
                </c:pt>
                <c:pt idx="2">
                  <c:v>4.411093167440391E-3</c:v>
                </c:pt>
                <c:pt idx="3">
                  <c:v>4.0794695754146843E-3</c:v>
                </c:pt>
                <c:pt idx="4">
                  <c:v>4.7689357075981547E-3</c:v>
                </c:pt>
                <c:pt idx="5">
                  <c:v>4.9731480329458294E-3</c:v>
                </c:pt>
                <c:pt idx="6">
                  <c:v>4.3564036549345805E-3</c:v>
                </c:pt>
                <c:pt idx="7">
                  <c:v>4.969446416062214E-3</c:v>
                </c:pt>
                <c:pt idx="8">
                  <c:v>5.220667534906776E-3</c:v>
                </c:pt>
                <c:pt idx="9">
                  <c:v>3.4737636301256972E-3</c:v>
                </c:pt>
                <c:pt idx="10">
                  <c:v>3.8223802718863275E-3</c:v>
                </c:pt>
                <c:pt idx="11">
                  <c:v>3.9970144484566808E-3</c:v>
                </c:pt>
                <c:pt idx="12">
                  <c:v>5.6109288827872264E-3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4A-40DA-AE43-BE686FAAC5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3899712"/>
        <c:axId val="363883392"/>
      </c:scatterChart>
      <c:valAx>
        <c:axId val="363899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3883392"/>
        <c:crosses val="autoZero"/>
        <c:crossBetween val="midCat"/>
      </c:valAx>
      <c:valAx>
        <c:axId val="36388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38997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Rate of returns combined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Model!$T$40</c:f>
              <c:strCache>
                <c:ptCount val="1"/>
                <c:pt idx="0">
                  <c:v>Rate of return 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Model!$S$41:$S$53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numCache>
            </c:numRef>
          </c:cat>
          <c:val>
            <c:numRef>
              <c:f>Model!$T$41:$T$53</c:f>
              <c:numCache>
                <c:formatCode>0.00%</c:formatCode>
                <c:ptCount val="13"/>
                <c:pt idx="1">
                  <c:v>1.2928665643433389E-3</c:v>
                </c:pt>
                <c:pt idx="2">
                  <c:v>2.0637489133394915E-3</c:v>
                </c:pt>
                <c:pt idx="3">
                  <c:v>1.7427242464286656E-3</c:v>
                </c:pt>
                <c:pt idx="4">
                  <c:v>2.43612542921252E-3</c:v>
                </c:pt>
                <c:pt idx="5">
                  <c:v>1.8516643852316856E-3</c:v>
                </c:pt>
                <c:pt idx="6">
                  <c:v>1.4400061645321325E-3</c:v>
                </c:pt>
                <c:pt idx="7">
                  <c:v>1.4264635120599816E-3</c:v>
                </c:pt>
                <c:pt idx="8">
                  <c:v>1.9024051946869586E-3</c:v>
                </c:pt>
                <c:pt idx="9">
                  <c:v>1.4969841380156708E-3</c:v>
                </c:pt>
                <c:pt idx="10">
                  <c:v>2.2223760242863692E-3</c:v>
                </c:pt>
                <c:pt idx="11">
                  <c:v>1.6346100362375274E-3</c:v>
                </c:pt>
                <c:pt idx="12">
                  <c:v>1.3574463698959427E-3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4E-4CEE-932F-630D5CB26317}"/>
            </c:ext>
          </c:extLst>
        </c:ser>
        <c:ser>
          <c:idx val="1"/>
          <c:order val="1"/>
          <c:tx>
            <c:strRef>
              <c:f>Model!$U$40</c:f>
              <c:strCache>
                <c:ptCount val="1"/>
                <c:pt idx="0">
                  <c:v>Rate of return 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Model!$S$41:$S$53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numCache>
            </c:numRef>
          </c:cat>
          <c:val>
            <c:numRef>
              <c:f>Model!$U$41:$U$53</c:f>
              <c:numCache>
                <c:formatCode>0.00%</c:formatCode>
                <c:ptCount val="13"/>
                <c:pt idx="1">
                  <c:v>5.0237096081283761E-3</c:v>
                </c:pt>
                <c:pt idx="2">
                  <c:v>-5.0576979857706643E-5</c:v>
                </c:pt>
                <c:pt idx="3">
                  <c:v>-1.3263267333222967E-4</c:v>
                </c:pt>
                <c:pt idx="4">
                  <c:v>2.7045970151839331E-3</c:v>
                </c:pt>
                <c:pt idx="5">
                  <c:v>-1.5996953098509324E-3</c:v>
                </c:pt>
                <c:pt idx="6">
                  <c:v>6.5507674794070382E-3</c:v>
                </c:pt>
                <c:pt idx="7">
                  <c:v>6.1033050321882831E-3</c:v>
                </c:pt>
                <c:pt idx="8">
                  <c:v>4.6963482529391145E-3</c:v>
                </c:pt>
                <c:pt idx="9">
                  <c:v>6.5589902397452564E-3</c:v>
                </c:pt>
                <c:pt idx="10">
                  <c:v>5.115641663256656E-3</c:v>
                </c:pt>
                <c:pt idx="11">
                  <c:v>4.1823847523148553E-3</c:v>
                </c:pt>
                <c:pt idx="12">
                  <c:v>4.9599853521355517E-3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04E-4CEE-932F-630D5CB26317}"/>
            </c:ext>
          </c:extLst>
        </c:ser>
        <c:ser>
          <c:idx val="2"/>
          <c:order val="2"/>
          <c:tx>
            <c:strRef>
              <c:f>Model!$V$40</c:f>
              <c:strCache>
                <c:ptCount val="1"/>
                <c:pt idx="0">
                  <c:v>Rate of return 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Model!$S$41:$S$53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numCache>
            </c:numRef>
          </c:cat>
          <c:val>
            <c:numRef>
              <c:f>Model!$V$41:$V$53</c:f>
              <c:numCache>
                <c:formatCode>0.00%</c:formatCode>
                <c:ptCount val="13"/>
                <c:pt idx="1">
                  <c:v>1.0452680374344532E-2</c:v>
                </c:pt>
                <c:pt idx="2">
                  <c:v>1.1899023598620564E-3</c:v>
                </c:pt>
                <c:pt idx="3">
                  <c:v>6.5491811019087022E-3</c:v>
                </c:pt>
                <c:pt idx="4">
                  <c:v>6.6369789555122015E-3</c:v>
                </c:pt>
                <c:pt idx="5">
                  <c:v>1.0676006504308366E-2</c:v>
                </c:pt>
                <c:pt idx="6">
                  <c:v>5.2483471494567989E-3</c:v>
                </c:pt>
                <c:pt idx="7">
                  <c:v>1.5699336466005308E-3</c:v>
                </c:pt>
                <c:pt idx="8">
                  <c:v>4.9889288454718237E-3</c:v>
                </c:pt>
                <c:pt idx="9">
                  <c:v>1.1308732062003205E-2</c:v>
                </c:pt>
                <c:pt idx="10">
                  <c:v>4.1322941857093584E-3</c:v>
                </c:pt>
                <c:pt idx="11">
                  <c:v>1.0311581282979635E-2</c:v>
                </c:pt>
                <c:pt idx="12">
                  <c:v>1.1372826398644327E-2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04E-4CEE-932F-630D5CB26317}"/>
            </c:ext>
          </c:extLst>
        </c:ser>
        <c:ser>
          <c:idx val="3"/>
          <c:order val="3"/>
          <c:tx>
            <c:strRef>
              <c:f>Model!$W$40</c:f>
              <c:strCache>
                <c:ptCount val="1"/>
                <c:pt idx="0">
                  <c:v>Rate of return 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Model!$S$41:$S$53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numCache>
            </c:numRef>
          </c:cat>
          <c:val>
            <c:numRef>
              <c:f>Model!$W$41:$W$53</c:f>
              <c:numCache>
                <c:formatCode>0.00%</c:formatCode>
                <c:ptCount val="13"/>
                <c:pt idx="1">
                  <c:v>5.5467313221183789E-3</c:v>
                </c:pt>
                <c:pt idx="2">
                  <c:v>4.411093167440391E-3</c:v>
                </c:pt>
                <c:pt idx="3">
                  <c:v>4.0794695754146843E-3</c:v>
                </c:pt>
                <c:pt idx="4">
                  <c:v>4.7689357075981547E-3</c:v>
                </c:pt>
                <c:pt idx="5">
                  <c:v>4.9731480329458294E-3</c:v>
                </c:pt>
                <c:pt idx="6">
                  <c:v>4.3564036549345805E-3</c:v>
                </c:pt>
                <c:pt idx="7">
                  <c:v>4.969446416062214E-3</c:v>
                </c:pt>
                <c:pt idx="8">
                  <c:v>5.220667534906776E-3</c:v>
                </c:pt>
                <c:pt idx="9">
                  <c:v>3.4737636301256972E-3</c:v>
                </c:pt>
                <c:pt idx="10">
                  <c:v>3.8223802718863275E-3</c:v>
                </c:pt>
                <c:pt idx="11">
                  <c:v>3.9970144484566808E-3</c:v>
                </c:pt>
                <c:pt idx="12">
                  <c:v>5.6109288827872264E-3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04E-4CEE-932F-630D5CB263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73231104"/>
        <c:axId val="1173232544"/>
      </c:lineChart>
      <c:catAx>
        <c:axId val="1173231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3232544"/>
        <c:crosses val="autoZero"/>
        <c:auto val="1"/>
        <c:lblAlgn val="ctr"/>
        <c:lblOffset val="100"/>
        <c:noMultiLvlLbl val="0"/>
      </c:catAx>
      <c:valAx>
        <c:axId val="1173232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3231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28574</xdr:colOff>
      <xdr:row>3</xdr:row>
      <xdr:rowOff>114300</xdr:rowOff>
    </xdr:from>
    <xdr:to>
      <xdr:col>9</xdr:col>
      <xdr:colOff>1047750</xdr:colOff>
      <xdr:row>6</xdr:row>
      <xdr:rowOff>200025</xdr:rowOff>
    </xdr:to>
    <xdr:sp macro="" textlink="">
      <xdr:nvSpPr>
        <xdr:cNvPr id="2" name="Objaśnienie liniowe 1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7381874" y="1079500"/>
          <a:ext cx="2809876" cy="873125"/>
        </a:xfrm>
        <a:prstGeom prst="borderCallout1">
          <a:avLst>
            <a:gd name="adj1" fmla="val 96070"/>
            <a:gd name="adj2" fmla="val 50730"/>
            <a:gd name="adj3" fmla="val 192719"/>
            <a:gd name="adj4" fmla="val 51064"/>
          </a:avLst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pl-PL" sz="1800"/>
            <a:t>Uniform</a:t>
          </a:r>
        </a:p>
      </xdr:txBody>
    </xdr:sp>
    <xdr:clientData/>
  </xdr:twoCellAnchor>
  <xdr:twoCellAnchor>
    <xdr:from>
      <xdr:col>16</xdr:col>
      <xdr:colOff>0</xdr:colOff>
      <xdr:row>3</xdr:row>
      <xdr:rowOff>171450</xdr:rowOff>
    </xdr:from>
    <xdr:to>
      <xdr:col>18</xdr:col>
      <xdr:colOff>828675</xdr:colOff>
      <xdr:row>7</xdr:row>
      <xdr:rowOff>47625</xdr:rowOff>
    </xdr:to>
    <xdr:sp macro="" textlink="">
      <xdr:nvSpPr>
        <xdr:cNvPr id="3" name="Objaśnienie liniowe 1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5633700" y="1136650"/>
          <a:ext cx="2428875" cy="866775"/>
        </a:xfrm>
        <a:prstGeom prst="borderCallout1">
          <a:avLst>
            <a:gd name="adj1" fmla="val 96070"/>
            <a:gd name="adj2" fmla="val 50730"/>
            <a:gd name="adj3" fmla="val 187735"/>
            <a:gd name="adj4" fmla="val 50804"/>
          </a:avLst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l-PL" sz="1800"/>
            <a:t>Normal</a:t>
          </a:r>
        </a:p>
      </xdr:txBody>
    </xdr:sp>
    <xdr:clientData/>
  </xdr:twoCellAnchor>
  <xdr:twoCellAnchor>
    <xdr:from>
      <xdr:col>12</xdr:col>
      <xdr:colOff>317500</xdr:colOff>
      <xdr:row>4</xdr:row>
      <xdr:rowOff>0</xdr:rowOff>
    </xdr:from>
    <xdr:to>
      <xdr:col>14</xdr:col>
      <xdr:colOff>1128659</xdr:colOff>
      <xdr:row>7</xdr:row>
      <xdr:rowOff>63828</xdr:rowOff>
    </xdr:to>
    <xdr:sp macro="" textlink="">
      <xdr:nvSpPr>
        <xdr:cNvPr id="7" name="Objaśnienie liniowe 1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12204700" y="1143000"/>
          <a:ext cx="2474859" cy="876628"/>
        </a:xfrm>
        <a:prstGeom prst="borderCallout1">
          <a:avLst>
            <a:gd name="adj1" fmla="val 96070"/>
            <a:gd name="adj2" fmla="val 50730"/>
            <a:gd name="adj3" fmla="val 186057"/>
            <a:gd name="adj4" fmla="val 43357"/>
          </a:avLst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pl-PL" sz="1800"/>
            <a:t>Triangular symmetrical</a:t>
          </a:r>
        </a:p>
      </xdr:txBody>
    </xdr:sp>
    <xdr:clientData/>
  </xdr:twoCellAnchor>
  <xdr:twoCellAnchor>
    <xdr:from>
      <xdr:col>20</xdr:col>
      <xdr:colOff>383190</xdr:colOff>
      <xdr:row>4</xdr:row>
      <xdr:rowOff>10949</xdr:rowOff>
    </xdr:from>
    <xdr:to>
      <xdr:col>23</xdr:col>
      <xdr:colOff>987</xdr:colOff>
      <xdr:row>7</xdr:row>
      <xdr:rowOff>74777</xdr:rowOff>
    </xdr:to>
    <xdr:sp macro="" textlink="">
      <xdr:nvSpPr>
        <xdr:cNvPr id="10" name="Objaśnienie liniowe 1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19826890" y="1153949"/>
          <a:ext cx="2894397" cy="876628"/>
        </a:xfrm>
        <a:prstGeom prst="borderCallout1">
          <a:avLst>
            <a:gd name="adj1" fmla="val 96070"/>
            <a:gd name="adj2" fmla="val 50730"/>
            <a:gd name="adj3" fmla="val 193301"/>
            <a:gd name="adj4" fmla="val 50296"/>
          </a:avLst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pl-PL" sz="1800"/>
            <a:t>Normal</a:t>
          </a:r>
        </a:p>
      </xdr:txBody>
    </xdr:sp>
    <xdr:clientData/>
  </xdr:twoCellAnchor>
  <xdr:twoCellAnchor>
    <xdr:from>
      <xdr:col>0</xdr:col>
      <xdr:colOff>114300</xdr:colOff>
      <xdr:row>27</xdr:row>
      <xdr:rowOff>38100</xdr:rowOff>
    </xdr:from>
    <xdr:to>
      <xdr:col>4</xdr:col>
      <xdr:colOff>927100</xdr:colOff>
      <xdr:row>59</xdr:row>
      <xdr:rowOff>139700</xdr:rowOff>
    </xdr:to>
    <xdr:sp macro="" textlink="">
      <xdr:nvSpPr>
        <xdr:cNvPr id="4" name="pole tekstowe 1">
          <a:extLst>
            <a:ext uri="{FF2B5EF4-FFF2-40B4-BE49-F238E27FC236}">
              <a16:creationId xmlns:a16="http://schemas.microsoft.com/office/drawing/2014/main" id="{5E3C6289-BEDF-42E1-A76F-DCE2B38D1AD0}"/>
            </a:ext>
          </a:extLst>
        </xdr:cNvPr>
        <xdr:cNvSpPr txBox="1"/>
      </xdr:nvSpPr>
      <xdr:spPr>
        <a:xfrm>
          <a:off x="114300" y="7150100"/>
          <a:ext cx="5803900" cy="6858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l-PL" sz="2400"/>
            <a:t>Ann</a:t>
          </a:r>
          <a:r>
            <a:rPr lang="en-US" sz="2400"/>
            <a:t> decided to save for a trip to Asia and chose 4 investment funds: A, B, C and D</a:t>
          </a:r>
          <a:endParaRPr lang="pl-PL" sz="2400"/>
        </a:p>
        <a:p>
          <a:r>
            <a:rPr lang="pl-PL" sz="2400"/>
            <a:t>Ann</a:t>
          </a:r>
          <a:r>
            <a:rPr lang="en-US" sz="2400"/>
            <a:t> wants to put 20,000 PLN in the funds, depositing 5,000 PLN in each fund and save for a year.</a:t>
          </a:r>
          <a:endParaRPr lang="pl-PL" sz="2400"/>
        </a:p>
        <a:p>
          <a:r>
            <a:rPr lang="en-US" sz="2400"/>
            <a:t>According to historical data:</a:t>
          </a:r>
          <a:endParaRPr lang="pl-PL" sz="2400"/>
        </a:p>
        <a:p>
          <a:r>
            <a:rPr lang="en-US" sz="2400"/>
            <a:t>Fund A: the rate to date has varied according to a uniform distribution from 1.5% to 3%</a:t>
          </a:r>
          <a:endParaRPr lang="pl-PL" sz="2400"/>
        </a:p>
        <a:p>
          <a:r>
            <a:rPr lang="en-US" sz="2400"/>
            <a:t>Fund B: the rate to date has changed according to a triangular symmetric distribution with parameters of -4%, </a:t>
          </a:r>
          <a:r>
            <a:rPr lang="pl-PL" sz="2400"/>
            <a:t>2</a:t>
          </a:r>
          <a:r>
            <a:rPr lang="en-US" sz="2400"/>
            <a:t>% and 8%,</a:t>
          </a:r>
          <a:endParaRPr lang="pl-PL" sz="2400"/>
        </a:p>
        <a:p>
          <a:r>
            <a:rPr lang="en-US" sz="2400"/>
            <a:t>Fund C: the existing rate changed according to a normal distribution with a mean of 4% and a deviation of 12%</a:t>
          </a:r>
          <a:endParaRPr lang="pl-PL" sz="2400"/>
        </a:p>
        <a:p>
          <a:r>
            <a:rPr lang="en-US" sz="2400"/>
            <a:t>Fund D: the existing rate changed according to a normal distribution with a mean of 5% and a deviation of 6</a:t>
          </a:r>
          <a:r>
            <a:rPr lang="pl-PL" sz="2400"/>
            <a:t>%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20</xdr:col>
      <xdr:colOff>7620</xdr:colOff>
      <xdr:row>28</xdr:row>
      <xdr:rowOff>15240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707086A-561C-4795-9D37-129F2C3441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594360</xdr:colOff>
      <xdr:row>28</xdr:row>
      <xdr:rowOff>7620</xdr:rowOff>
    </xdr:from>
    <xdr:to>
      <xdr:col>18</xdr:col>
      <xdr:colOff>472440</xdr:colOff>
      <xdr:row>43</xdr:row>
      <xdr:rowOff>121920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DE1B325-4F0C-4B85-906E-DBB931E813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601980</xdr:colOff>
      <xdr:row>43</xdr:row>
      <xdr:rowOff>121920</xdr:rowOff>
    </xdr:from>
    <xdr:to>
      <xdr:col>18</xdr:col>
      <xdr:colOff>480060</xdr:colOff>
      <xdr:row>59</xdr:row>
      <xdr:rowOff>60960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3CE1322-44DC-4AA3-92BE-826214C3E2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22860</xdr:colOff>
      <xdr:row>59</xdr:row>
      <xdr:rowOff>68580</xdr:rowOff>
    </xdr:from>
    <xdr:to>
      <xdr:col>6</xdr:col>
      <xdr:colOff>571500</xdr:colOff>
      <xdr:row>75</xdr:row>
      <xdr:rowOff>7620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32A2F0F-59E0-42CD-B18C-77158398D5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563880</xdr:colOff>
      <xdr:row>59</xdr:row>
      <xdr:rowOff>60960</xdr:rowOff>
    </xdr:from>
    <xdr:to>
      <xdr:col>13</xdr:col>
      <xdr:colOff>441960</xdr:colOff>
      <xdr:row>75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F844E07B-B446-4A38-9A0E-BFE46FEA3F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28</xdr:row>
      <xdr:rowOff>7620</xdr:rowOff>
    </xdr:from>
    <xdr:to>
      <xdr:col>11</xdr:col>
      <xdr:colOff>617220</xdr:colOff>
      <xdr:row>58</xdr:row>
      <xdr:rowOff>121920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988F81FE-2001-4B35-83DC-ABAD85B73C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29"/>
  <sheetViews>
    <sheetView tabSelected="1" zoomScale="60" zoomScaleNormal="60" workbookViewId="0">
      <selection activeCell="B19" sqref="B19"/>
    </sheetView>
  </sheetViews>
  <sheetFormatPr defaultRowHeight="13.8"/>
  <cols>
    <col min="1" max="1" width="20.8984375" customWidth="1"/>
    <col min="2" max="2" width="17" customWidth="1"/>
    <col min="3" max="3" width="12.59765625" customWidth="1"/>
    <col min="4" max="4" width="15" customWidth="1"/>
    <col min="5" max="5" width="12.296875" customWidth="1"/>
    <col min="6" max="6" width="8.09765625" customWidth="1"/>
    <col min="7" max="7" width="10.5" customWidth="1"/>
    <col min="8" max="8" width="10.59765625" customWidth="1"/>
    <col min="9" max="9" width="12.8984375" customWidth="1"/>
    <col min="10" max="10" width="16" customWidth="1"/>
    <col min="11" max="12" width="10" customWidth="1"/>
    <col min="13" max="13" width="11.796875" customWidth="1"/>
    <col min="14" max="14" width="10" customWidth="1"/>
    <col min="15" max="15" width="16.09765625" customWidth="1"/>
    <col min="16" max="16" width="11.19921875" customWidth="1"/>
    <col min="17" max="17" width="11.796875" customWidth="1"/>
    <col min="18" max="18" width="9.19921875" customWidth="1"/>
    <col min="19" max="19" width="17" customWidth="1"/>
    <col min="20" max="20" width="12" customWidth="1"/>
    <col min="21" max="21" width="11.69921875" customWidth="1"/>
    <col min="22" max="22" width="14.5" customWidth="1"/>
    <col min="23" max="23" width="16.796875" customWidth="1"/>
    <col min="24" max="24" width="13.19921875" bestFit="1" customWidth="1"/>
  </cols>
  <sheetData>
    <row r="1" spans="1:24" ht="30">
      <c r="A1" s="14" t="s">
        <v>4</v>
      </c>
      <c r="B1" s="1"/>
      <c r="C1" s="1"/>
      <c r="D1" s="1"/>
      <c r="E1" s="1"/>
    </row>
    <row r="2" spans="1:24" ht="22.8">
      <c r="A2" s="1"/>
      <c r="B2" s="1"/>
      <c r="C2" s="1"/>
      <c r="D2" s="1"/>
      <c r="E2" s="1"/>
      <c r="G2" s="13" t="s">
        <v>5</v>
      </c>
      <c r="H2" s="12"/>
      <c r="I2" s="13"/>
      <c r="J2" s="13"/>
      <c r="K2" s="15"/>
      <c r="L2" s="15"/>
    </row>
    <row r="3" spans="1:24" ht="22.8">
      <c r="A3" s="4"/>
      <c r="B3" s="4"/>
      <c r="C3" s="4"/>
      <c r="D3" s="4"/>
      <c r="E3" s="4"/>
    </row>
    <row r="4" spans="1:24" ht="14.4" thickBot="1"/>
    <row r="5" spans="1:24" ht="31.8" thickBot="1">
      <c r="A5" s="5" t="s">
        <v>8</v>
      </c>
      <c r="B5" s="6" t="s">
        <v>9</v>
      </c>
      <c r="C5" s="6" t="s">
        <v>10</v>
      </c>
      <c r="D5" s="6" t="s">
        <v>11</v>
      </c>
      <c r="E5" s="6" t="s">
        <v>12</v>
      </c>
    </row>
    <row r="6" spans="1:24" ht="16.2" thickBot="1">
      <c r="A6" s="8" t="s">
        <v>0</v>
      </c>
      <c r="B6" s="10" t="s">
        <v>6</v>
      </c>
      <c r="C6" s="2">
        <v>1.4999999999999999E-2</v>
      </c>
      <c r="D6" s="3">
        <v>0.03</v>
      </c>
    </row>
    <row r="7" spans="1:24" ht="16.2" thickBot="1">
      <c r="A7" s="8" t="s">
        <v>1</v>
      </c>
      <c r="B7" s="10" t="s">
        <v>26</v>
      </c>
      <c r="C7" s="3">
        <v>-0.04</v>
      </c>
      <c r="D7" s="3">
        <v>0.08</v>
      </c>
      <c r="E7" s="31">
        <v>0.02</v>
      </c>
    </row>
    <row r="8" spans="1:24" ht="16.2" thickBot="1">
      <c r="A8" s="8" t="s">
        <v>2</v>
      </c>
      <c r="B8" s="10" t="s">
        <v>7</v>
      </c>
      <c r="C8" s="3">
        <v>0.04</v>
      </c>
      <c r="D8" s="3">
        <v>0.12</v>
      </c>
    </row>
    <row r="9" spans="1:24" ht="30.6" thickBot="1">
      <c r="A9" s="8" t="s">
        <v>3</v>
      </c>
      <c r="B9" s="10" t="s">
        <v>7</v>
      </c>
      <c r="C9" s="3">
        <v>0.05</v>
      </c>
      <c r="D9" s="3">
        <v>0.06</v>
      </c>
      <c r="F9" s="23"/>
      <c r="G9" s="53" t="s">
        <v>0</v>
      </c>
      <c r="H9" s="54"/>
      <c r="I9" s="54"/>
      <c r="J9" s="55"/>
      <c r="K9" s="53" t="s">
        <v>1</v>
      </c>
      <c r="L9" s="54"/>
      <c r="M9" s="54"/>
      <c r="N9" s="54"/>
      <c r="O9" s="55"/>
      <c r="P9" s="53" t="s">
        <v>2</v>
      </c>
      <c r="Q9" s="54"/>
      <c r="R9" s="54"/>
      <c r="S9" s="55"/>
      <c r="T9" s="53" t="s">
        <v>3</v>
      </c>
      <c r="U9" s="54"/>
      <c r="V9" s="54"/>
      <c r="W9" s="55"/>
      <c r="X9" s="23"/>
    </row>
    <row r="10" spans="1:24" ht="55.2">
      <c r="A10" s="7"/>
      <c r="B10" s="7"/>
      <c r="C10" s="7"/>
      <c r="D10" s="7"/>
      <c r="F10" s="16" t="s">
        <v>44</v>
      </c>
      <c r="G10" s="16" t="s">
        <v>25</v>
      </c>
      <c r="H10" s="16" t="s">
        <v>27</v>
      </c>
      <c r="I10" s="16" t="s">
        <v>28</v>
      </c>
      <c r="J10" s="16" t="s">
        <v>29</v>
      </c>
      <c r="K10" s="16" t="s">
        <v>30</v>
      </c>
      <c r="L10" s="16" t="s">
        <v>33</v>
      </c>
      <c r="M10" s="16" t="s">
        <v>31</v>
      </c>
      <c r="N10" s="16" t="s">
        <v>32</v>
      </c>
      <c r="O10" s="16" t="s">
        <v>37</v>
      </c>
      <c r="P10" s="16" t="s">
        <v>34</v>
      </c>
      <c r="Q10" s="16" t="s">
        <v>35</v>
      </c>
      <c r="R10" s="16" t="s">
        <v>36</v>
      </c>
      <c r="S10" s="16" t="s">
        <v>38</v>
      </c>
      <c r="T10" s="16" t="s">
        <v>39</v>
      </c>
      <c r="U10" s="16" t="s">
        <v>40</v>
      </c>
      <c r="V10" s="16" t="s">
        <v>41</v>
      </c>
      <c r="W10" s="16" t="s">
        <v>42</v>
      </c>
      <c r="X10" s="16" t="s">
        <v>43</v>
      </c>
    </row>
    <row r="11" spans="1:24" ht="17.399999999999999">
      <c r="A11" s="9" t="s">
        <v>13</v>
      </c>
      <c r="B11" s="26">
        <v>20000</v>
      </c>
      <c r="C11" s="7"/>
      <c r="D11" s="7" t="s">
        <v>60</v>
      </c>
      <c r="F11" s="23">
        <v>0</v>
      </c>
      <c r="G11" s="18"/>
      <c r="H11" s="18"/>
      <c r="I11" s="18"/>
      <c r="J11" s="24">
        <f>B12</f>
        <v>5000</v>
      </c>
      <c r="K11" s="20"/>
      <c r="L11" s="20"/>
      <c r="M11" s="20"/>
      <c r="N11" s="20"/>
      <c r="O11" s="25">
        <f>B13</f>
        <v>5000</v>
      </c>
      <c r="P11" s="18"/>
      <c r="Q11" s="18"/>
      <c r="R11" s="18"/>
      <c r="S11" s="24">
        <f>B14</f>
        <v>5000</v>
      </c>
      <c r="T11" s="20"/>
      <c r="U11" s="20"/>
      <c r="V11" s="20"/>
      <c r="W11" s="25">
        <f>B15</f>
        <v>5000</v>
      </c>
      <c r="X11" s="28">
        <f t="shared" ref="X11:X22" si="0">SUM(J11,O11,S11,W11)</f>
        <v>20000</v>
      </c>
    </row>
    <row r="12" spans="1:24" ht="17.399999999999999">
      <c r="A12" s="9" t="s">
        <v>14</v>
      </c>
      <c r="B12" s="11">
        <v>5000</v>
      </c>
      <c r="C12" s="7"/>
      <c r="D12" s="38">
        <f>(E7-C7)/(D7-C7)</f>
        <v>0.5</v>
      </c>
      <c r="F12" s="17">
        <v>1</v>
      </c>
      <c r="G12" s="18">
        <f t="shared" ref="G12:G23" ca="1" si="1">RAND()</f>
        <v>3.4293251474671105E-2</v>
      </c>
      <c r="H12" s="19">
        <f>J11</f>
        <v>5000</v>
      </c>
      <c r="I12" s="30">
        <f ca="1">($C$6+($D$6-$C$6)*G12)/12</f>
        <v>1.2928665643433389E-3</v>
      </c>
      <c r="J12" s="24">
        <f ca="1">J11+(J11*I12)</f>
        <v>5006.4643328217171</v>
      </c>
      <c r="K12" s="20">
        <f ca="1">RAND()</f>
        <v>0.5188374092330611</v>
      </c>
      <c r="L12" s="20">
        <f ca="1">RAND()</f>
        <v>0.45078949243271549</v>
      </c>
      <c r="M12" s="21">
        <f>O11</f>
        <v>5000</v>
      </c>
      <c r="N12" s="39">
        <f ca="1">(IF(K12&lt;$D$12,$C$7+($D$7-$C$7)*SQRT(L12),$E$7-($E$7-$D$7)*SQRT(L12)))/12</f>
        <v>5.0237096081283761E-3</v>
      </c>
      <c r="O12" s="25">
        <f ca="1">O11+(O11*N12)</f>
        <v>5025.1185480406421</v>
      </c>
      <c r="P12" s="18">
        <f ca="1">RAND()</f>
        <v>0.78905158433089084</v>
      </c>
      <c r="Q12" s="19">
        <f>S11</f>
        <v>5000</v>
      </c>
      <c r="R12" s="30">
        <f ca="1">(_xlfn.NORM.INV(P12,$D$16,$D$17))/12</f>
        <v>1.0452680374344532E-2</v>
      </c>
      <c r="S12" s="24">
        <f ca="1">S11+(S11*R12)</f>
        <v>5052.2634018717226</v>
      </c>
      <c r="T12" s="21">
        <f ca="1">RAND()</f>
        <v>0.94896925004382693</v>
      </c>
      <c r="U12" s="21">
        <f>W11</f>
        <v>5000</v>
      </c>
      <c r="V12" s="30">
        <f ca="1">(_xlfn.NORM.INV(T12,$D$21,$D$22))/12</f>
        <v>5.5467313221183789E-3</v>
      </c>
      <c r="W12" s="25">
        <f ca="1">W11+(W11*V12)</f>
        <v>5027.7336566105923</v>
      </c>
      <c r="X12" s="28">
        <f t="shared" ca="1" si="0"/>
        <v>20111.579939344672</v>
      </c>
    </row>
    <row r="13" spans="1:24" ht="17.399999999999999">
      <c r="A13" s="9" t="s">
        <v>15</v>
      </c>
      <c r="B13" s="11">
        <v>5000</v>
      </c>
      <c r="C13" s="7"/>
      <c r="D13" s="7"/>
      <c r="F13" s="17">
        <v>2</v>
      </c>
      <c r="G13" s="18">
        <f t="shared" ca="1" si="1"/>
        <v>0.65099913067159332</v>
      </c>
      <c r="H13" s="19"/>
      <c r="I13" s="30">
        <f t="shared" ref="I13:I23" ca="1" si="2">($C$6+($D$6-$C$6)*G13)/12</f>
        <v>2.0637489133394915E-3</v>
      </c>
      <c r="J13" s="24">
        <f t="shared" ref="J13:J23" ca="1" si="3">J12+(J12*I13)</f>
        <v>5016.7964181482512</v>
      </c>
      <c r="K13" s="20">
        <f t="shared" ref="K13:L23" ca="1" si="4">RAND()</f>
        <v>0.4175936782627333</v>
      </c>
      <c r="L13" s="20">
        <f t="shared" ca="1" si="4"/>
        <v>0.10776489276284595</v>
      </c>
      <c r="M13" s="21"/>
      <c r="N13" s="39">
        <f t="shared" ref="N13:N23" ca="1" si="5">(IF(K13&lt;$D$12,$C$7+($D$7-$C$7)*SQRT(L13),$E$7-($E$7-$D$7)*SQRT(L13)))/12</f>
        <v>-5.0576979857706643E-5</v>
      </c>
      <c r="O13" s="25">
        <f t="shared" ref="O13:O23" ca="1" si="6">O12+(O12*N13)</f>
        <v>5024.8643927210551</v>
      </c>
      <c r="P13" s="18">
        <f t="shared" ref="P13:P23" ca="1" si="7">RAND()</f>
        <v>0.12265893517255366</v>
      </c>
      <c r="Q13" s="19"/>
      <c r="R13" s="30">
        <f t="shared" ref="R13:R23" ca="1" si="8">(_xlfn.NORM.INV(P13,$D$16,$D$17))/12</f>
        <v>1.1899023598620564E-3</v>
      </c>
      <c r="S13" s="24">
        <f t="shared" ref="S13:S23" ca="1" si="9">S12+(S12*R13)</f>
        <v>5058.2751020162541</v>
      </c>
      <c r="T13" s="21">
        <f t="shared" ref="T13:T23" ca="1" si="10">RAND()</f>
        <v>0.38502814993610068</v>
      </c>
      <c r="U13" s="21"/>
      <c r="V13" s="30">
        <f t="shared" ref="V13:V23" ca="1" si="11">(_xlfn.NORM.INV(T13,$D$21,$D$22))/12</f>
        <v>4.411093167440391E-3</v>
      </c>
      <c r="W13" s="25">
        <f t="shared" ref="W13:W23" ca="1" si="12">W12+(W12*V13)</f>
        <v>5049.9114581909771</v>
      </c>
      <c r="X13" s="28">
        <f t="shared" ca="1" si="0"/>
        <v>20149.847371076539</v>
      </c>
    </row>
    <row r="14" spans="1:24" ht="17.399999999999999">
      <c r="A14" s="9" t="s">
        <v>16</v>
      </c>
      <c r="B14" s="11">
        <v>5000</v>
      </c>
      <c r="C14" s="7"/>
      <c r="D14" s="7"/>
      <c r="F14" s="17">
        <v>3</v>
      </c>
      <c r="G14" s="18">
        <f t="shared" ca="1" si="1"/>
        <v>0.39417939714293249</v>
      </c>
      <c r="H14" s="19"/>
      <c r="I14" s="30">
        <f t="shared" ca="1" si="2"/>
        <v>1.7427242464286656E-3</v>
      </c>
      <c r="J14" s="24">
        <f t="shared" ca="1" si="3"/>
        <v>5025.5393109055549</v>
      </c>
      <c r="K14" s="20">
        <f t="shared" ca="1" si="4"/>
        <v>0.12565597796545425</v>
      </c>
      <c r="L14" s="20">
        <f t="shared" ca="1" si="4"/>
        <v>0.10244484714931501</v>
      </c>
      <c r="M14" s="21"/>
      <c r="N14" s="39">
        <f t="shared" ca="1" si="5"/>
        <v>-1.3263267333222967E-4</v>
      </c>
      <c r="O14" s="25">
        <f t="shared" ca="1" si="6"/>
        <v>5024.1979315235167</v>
      </c>
      <c r="P14" s="18">
        <f t="shared" ca="1" si="7"/>
        <v>0.49005840940032164</v>
      </c>
      <c r="Q14" s="19"/>
      <c r="R14" s="30">
        <f t="shared" ca="1" si="8"/>
        <v>6.5491811019087022E-3</v>
      </c>
      <c r="S14" s="24">
        <f t="shared" ca="1" si="9"/>
        <v>5091.4026617226345</v>
      </c>
      <c r="T14" s="21">
        <f t="shared" ca="1" si="10"/>
        <v>0.19625200443408608</v>
      </c>
      <c r="U14" s="21"/>
      <c r="V14" s="30">
        <f t="shared" ca="1" si="11"/>
        <v>4.0794695754146843E-3</v>
      </c>
      <c r="W14" s="25">
        <f t="shared" ca="1" si="12"/>
        <v>5070.5124183432054</v>
      </c>
      <c r="X14" s="28">
        <f t="shared" ca="1" si="0"/>
        <v>20211.652322494912</v>
      </c>
    </row>
    <row r="15" spans="1:24" ht="17.399999999999999">
      <c r="A15" s="9" t="s">
        <v>17</v>
      </c>
      <c r="B15" s="11">
        <v>5000</v>
      </c>
      <c r="C15" s="7"/>
      <c r="D15" s="7" t="s">
        <v>61</v>
      </c>
      <c r="F15" s="17">
        <v>4</v>
      </c>
      <c r="G15" s="18">
        <f t="shared" ca="1" si="1"/>
        <v>0.94890034337001616</v>
      </c>
      <c r="H15" s="19"/>
      <c r="I15" s="30">
        <f t="shared" ca="1" si="2"/>
        <v>2.43612542921252E-3</v>
      </c>
      <c r="J15" s="24">
        <f t="shared" ca="1" si="3"/>
        <v>5037.782155016359</v>
      </c>
      <c r="K15" s="20">
        <f t="shared" ca="1" si="4"/>
        <v>6.9660899677965737E-2</v>
      </c>
      <c r="L15" s="20">
        <f t="shared" ca="1" si="4"/>
        <v>0.36456602893545842</v>
      </c>
      <c r="M15" s="21"/>
      <c r="N15" s="39">
        <f t="shared" ca="1" si="5"/>
        <v>2.7045970151839331E-3</v>
      </c>
      <c r="O15" s="25">
        <f t="shared" ca="1" si="6"/>
        <v>5037.7863622528084</v>
      </c>
      <c r="P15" s="18">
        <f t="shared" ca="1" si="7"/>
        <v>0.49748759199862536</v>
      </c>
      <c r="Q15" s="19"/>
      <c r="R15" s="30">
        <f t="shared" ca="1" si="8"/>
        <v>6.6369789555122015E-3</v>
      </c>
      <c r="S15" s="24">
        <f t="shared" ca="1" si="9"/>
        <v>5125.1941940425268</v>
      </c>
      <c r="T15" s="21">
        <f t="shared" ca="1" si="10"/>
        <v>0.62361069730934515</v>
      </c>
      <c r="U15" s="21"/>
      <c r="V15" s="30">
        <f t="shared" ca="1" si="11"/>
        <v>4.7689357075981547E-3</v>
      </c>
      <c r="W15" s="25">
        <f t="shared" ca="1" si="12"/>
        <v>5094.6933660708619</v>
      </c>
      <c r="X15" s="28">
        <f t="shared" ca="1" si="0"/>
        <v>20295.456077382558</v>
      </c>
    </row>
    <row r="16" spans="1:24" ht="17.399999999999999">
      <c r="D16" s="40">
        <f>AVERAGE(C8:D8)</f>
        <v>0.08</v>
      </c>
      <c r="F16" s="17">
        <v>5</v>
      </c>
      <c r="G16" s="18">
        <f t="shared" ca="1" si="1"/>
        <v>0.48133150818534853</v>
      </c>
      <c r="H16" s="19"/>
      <c r="I16" s="30">
        <f t="shared" ca="1" si="2"/>
        <v>1.8516643852316856E-3</v>
      </c>
      <c r="J16" s="24">
        <f t="shared" ca="1" si="3"/>
        <v>5047.1104368133583</v>
      </c>
      <c r="K16" s="20">
        <f t="shared" ca="1" si="4"/>
        <v>0.38071002812683075</v>
      </c>
      <c r="L16" s="20">
        <f t="shared" ca="1" si="4"/>
        <v>3.0055007964639668E-2</v>
      </c>
      <c r="M16" s="21"/>
      <c r="N16" s="39">
        <f t="shared" ca="1" si="5"/>
        <v>-1.5996953098509324E-3</v>
      </c>
      <c r="O16" s="25">
        <f t="shared" ca="1" si="6"/>
        <v>5029.7274390370812</v>
      </c>
      <c r="P16" s="18">
        <f t="shared" ca="1" si="7"/>
        <v>0.80247903621649908</v>
      </c>
      <c r="Q16" s="19"/>
      <c r="R16" s="30">
        <f t="shared" ca="1" si="8"/>
        <v>1.0676006504308366E-2</v>
      </c>
      <c r="S16" s="24">
        <f t="shared" ca="1" si="9"/>
        <v>5179.9108005939679</v>
      </c>
      <c r="T16" s="21">
        <f t="shared" ca="1" si="10"/>
        <v>0.74586615724704886</v>
      </c>
      <c r="U16" s="21"/>
      <c r="V16" s="30">
        <f t="shared" ca="1" si="11"/>
        <v>4.9731480329458294E-3</v>
      </c>
      <c r="W16" s="25">
        <f t="shared" ca="1" si="12"/>
        <v>5120.0300303627992</v>
      </c>
      <c r="X16" s="28">
        <f t="shared" ca="1" si="0"/>
        <v>20376.778706807207</v>
      </c>
    </row>
    <row r="17" spans="1:24" ht="17.399999999999999">
      <c r="D17">
        <f>_xlfn.STDEV.S(C8:D8)</f>
        <v>5.6568542494923803E-2</v>
      </c>
      <c r="F17" s="17">
        <v>6</v>
      </c>
      <c r="G17" s="18">
        <f t="shared" ca="1" si="1"/>
        <v>0.15200493162570594</v>
      </c>
      <c r="H17" s="19"/>
      <c r="I17" s="30">
        <f t="shared" ca="1" si="2"/>
        <v>1.4400061645321325E-3</v>
      </c>
      <c r="J17" s="24">
        <f t="shared" ca="1" si="3"/>
        <v>5054.3783069554438</v>
      </c>
      <c r="K17" s="20">
        <f t="shared" ca="1" si="4"/>
        <v>0.6259341853671645</v>
      </c>
      <c r="L17" s="20">
        <f t="shared" ca="1" si="4"/>
        <v>0.95417762996044664</v>
      </c>
      <c r="M17" s="21"/>
      <c r="N17" s="39">
        <f t="shared" ca="1" si="5"/>
        <v>6.5507674794070382E-3</v>
      </c>
      <c r="O17" s="25">
        <f t="shared" ca="1" si="6"/>
        <v>5062.6760139750068</v>
      </c>
      <c r="P17" s="18">
        <f t="shared" ca="1" si="7"/>
        <v>0.38175643072664711</v>
      </c>
      <c r="Q17" s="19"/>
      <c r="R17" s="30">
        <f t="shared" ca="1" si="8"/>
        <v>5.2483471494567989E-3</v>
      </c>
      <c r="S17" s="24">
        <f t="shared" ca="1" si="9"/>
        <v>5207.096770678706</v>
      </c>
      <c r="T17" s="21">
        <f t="shared" ca="1" si="10"/>
        <v>0.35007705783417653</v>
      </c>
      <c r="U17" s="21"/>
      <c r="V17" s="30">
        <f t="shared" ca="1" si="11"/>
        <v>4.3564036549345805E-3</v>
      </c>
      <c r="W17" s="25">
        <f t="shared" ca="1" si="12"/>
        <v>5142.3349479004464</v>
      </c>
      <c r="X17" s="28">
        <f t="shared" ca="1" si="0"/>
        <v>20466.486039509604</v>
      </c>
    </row>
    <row r="18" spans="1:24" ht="17.399999999999999">
      <c r="F18" s="17">
        <v>7</v>
      </c>
      <c r="G18" s="18">
        <f t="shared" ca="1" si="1"/>
        <v>0.14117080964798545</v>
      </c>
      <c r="H18" s="19"/>
      <c r="I18" s="30">
        <f t="shared" ca="1" si="2"/>
        <v>1.4264635120599816E-3</v>
      </c>
      <c r="J18" s="24">
        <f t="shared" ca="1" si="3"/>
        <v>5061.5881931864633</v>
      </c>
      <c r="K18" s="20">
        <f t="shared" ca="1" si="4"/>
        <v>0.31037684453636782</v>
      </c>
      <c r="L18" s="20">
        <f t="shared" ca="1" si="4"/>
        <v>0.89050143641634483</v>
      </c>
      <c r="M18" s="21"/>
      <c r="N18" s="39">
        <f t="shared" ca="1" si="5"/>
        <v>6.1033050321882831E-3</v>
      </c>
      <c r="O18" s="25">
        <f t="shared" ca="1" si="6"/>
        <v>5093.575069967439</v>
      </c>
      <c r="P18" s="18">
        <f t="shared" ca="1" si="7"/>
        <v>0.13980844984138663</v>
      </c>
      <c r="Q18" s="19"/>
      <c r="R18" s="30">
        <f t="shared" ca="1" si="8"/>
        <v>1.5699336466005308E-3</v>
      </c>
      <c r="S18" s="24">
        <f t="shared" ca="1" si="9"/>
        <v>5215.2715671000997</v>
      </c>
      <c r="T18" s="21">
        <f t="shared" ca="1" si="10"/>
        <v>0.74384840853739176</v>
      </c>
      <c r="U18" s="21"/>
      <c r="V18" s="30">
        <f t="shared" ca="1" si="11"/>
        <v>4.969446416062214E-3</v>
      </c>
      <c r="W18" s="25">
        <f t="shared" ca="1" si="12"/>
        <v>5167.8895058774815</v>
      </c>
      <c r="X18" s="28">
        <f t="shared" ca="1" si="0"/>
        <v>20538.324336131482</v>
      </c>
    </row>
    <row r="19" spans="1:24" ht="17.399999999999999">
      <c r="F19" s="17">
        <v>8</v>
      </c>
      <c r="G19" s="18">
        <f t="shared" ca="1" si="1"/>
        <v>0.52192415574956708</v>
      </c>
      <c r="H19" s="19"/>
      <c r="I19" s="30">
        <f t="shared" ca="1" si="2"/>
        <v>1.9024051946869586E-3</v>
      </c>
      <c r="J19" s="24">
        <f t="shared" ca="1" si="3"/>
        <v>5071.2173848585471</v>
      </c>
      <c r="K19" s="20">
        <f t="shared" ca="1" si="4"/>
        <v>0.8047431652029533</v>
      </c>
      <c r="L19" s="20">
        <f t="shared" ca="1" si="4"/>
        <v>0.36715882056793347</v>
      </c>
      <c r="M19" s="21"/>
      <c r="N19" s="39">
        <f t="shared" ca="1" si="5"/>
        <v>4.6963482529391145E-3</v>
      </c>
      <c r="O19" s="25">
        <f t="shared" ca="1" si="6"/>
        <v>5117.496272348495</v>
      </c>
      <c r="P19" s="18">
        <f t="shared" ca="1" si="7"/>
        <v>0.36095700252431251</v>
      </c>
      <c r="Q19" s="19"/>
      <c r="R19" s="30">
        <f t="shared" ca="1" si="8"/>
        <v>4.9889288454718237E-3</v>
      </c>
      <c r="S19" s="24">
        <f t="shared" ca="1" si="9"/>
        <v>5241.2901858581745</v>
      </c>
      <c r="T19" s="21">
        <f t="shared" ca="1" si="10"/>
        <v>0.86028307090402911</v>
      </c>
      <c r="U19" s="21"/>
      <c r="V19" s="30">
        <f t="shared" ca="1" si="11"/>
        <v>5.220667534906776E-3</v>
      </c>
      <c r="W19" s="25">
        <f t="shared" ca="1" si="12"/>
        <v>5194.8693388448019</v>
      </c>
      <c r="X19" s="28">
        <f t="shared" ca="1" si="0"/>
        <v>20624.873181910018</v>
      </c>
    </row>
    <row r="20" spans="1:24" ht="17.399999999999999">
      <c r="D20" t="s">
        <v>62</v>
      </c>
      <c r="F20" s="17">
        <v>9</v>
      </c>
      <c r="G20" s="18">
        <f t="shared" ca="1" si="1"/>
        <v>0.19758731041253663</v>
      </c>
      <c r="H20" s="19"/>
      <c r="I20" s="30">
        <f t="shared" ca="1" si="2"/>
        <v>1.4969841380156708E-3</v>
      </c>
      <c r="J20" s="24">
        <f t="shared" ca="1" si="3"/>
        <v>5078.8089168441093</v>
      </c>
      <c r="K20" s="20">
        <f t="shared" ca="1" si="4"/>
        <v>0.33495708412483383</v>
      </c>
      <c r="L20" s="20">
        <f t="shared" ca="1" si="4"/>
        <v>0.9785806567448635</v>
      </c>
      <c r="M20" s="21"/>
      <c r="N20" s="39">
        <f t="shared" ca="1" si="5"/>
        <v>6.5589902397452564E-3</v>
      </c>
      <c r="O20" s="25">
        <f t="shared" ca="1" si="6"/>
        <v>5151.0618804507612</v>
      </c>
      <c r="P20" s="18">
        <f t="shared" ca="1" si="7"/>
        <v>0.83762183431508663</v>
      </c>
      <c r="Q20" s="19"/>
      <c r="R20" s="30">
        <f t="shared" ca="1" si="8"/>
        <v>1.1308732062003205E-2</v>
      </c>
      <c r="S20" s="24">
        <f t="shared" ca="1" si="9"/>
        <v>5300.5625322292517</v>
      </c>
      <c r="T20" s="21">
        <f t="shared" ca="1" si="10"/>
        <v>2.9850033065109582E-2</v>
      </c>
      <c r="U20" s="21"/>
      <c r="V20" s="30">
        <f t="shared" ca="1" si="11"/>
        <v>3.4737636301256972E-3</v>
      </c>
      <c r="W20" s="25">
        <f t="shared" ca="1" si="12"/>
        <v>5212.9150870173362</v>
      </c>
      <c r="X20" s="28">
        <f t="shared" ca="1" si="0"/>
        <v>20743.348416541459</v>
      </c>
    </row>
    <row r="21" spans="1:24" ht="17.399999999999999">
      <c r="D21" s="40">
        <f>AVERAGE(C9:D9)</f>
        <v>5.5E-2</v>
      </c>
      <c r="F21" s="17">
        <v>10</v>
      </c>
      <c r="G21" s="18">
        <f t="shared" ca="1" si="1"/>
        <v>0.77790081942909517</v>
      </c>
      <c r="H21" s="19"/>
      <c r="I21" s="30">
        <f t="shared" ca="1" si="2"/>
        <v>2.2223760242863692E-3</v>
      </c>
      <c r="J21" s="24">
        <f t="shared" ca="1" si="3"/>
        <v>5090.0959400128359</v>
      </c>
      <c r="K21" s="20">
        <f t="shared" ca="1" si="4"/>
        <v>0.531289348292871</v>
      </c>
      <c r="L21" s="20">
        <f t="shared" ca="1" si="4"/>
        <v>0.47581714108411688</v>
      </c>
      <c r="M21" s="21"/>
      <c r="N21" s="39">
        <f t="shared" ca="1" si="5"/>
        <v>5.115641663256656E-3</v>
      </c>
      <c r="O21" s="25">
        <f t="shared" ca="1" si="6"/>
        <v>5177.4128672164079</v>
      </c>
      <c r="P21" s="18">
        <f t="shared" ca="1" si="7"/>
        <v>0.2954191608367277</v>
      </c>
      <c r="Q21" s="19"/>
      <c r="R21" s="30">
        <f t="shared" ca="1" si="8"/>
        <v>4.1322941857093584E-3</v>
      </c>
      <c r="S21" s="24">
        <f t="shared" ca="1" si="9"/>
        <v>5322.4660159621717</v>
      </c>
      <c r="T21" s="21">
        <f t="shared" ca="1" si="10"/>
        <v>9.8285942063121357E-2</v>
      </c>
      <c r="U21" s="21"/>
      <c r="V21" s="30">
        <f t="shared" ca="1" si="11"/>
        <v>3.8223802718863275E-3</v>
      </c>
      <c r="W21" s="25">
        <f t="shared" ca="1" si="12"/>
        <v>5232.8408308049702</v>
      </c>
      <c r="X21" s="28">
        <f t="shared" ca="1" si="0"/>
        <v>20822.815653996386</v>
      </c>
    </row>
    <row r="22" spans="1:24" ht="17.399999999999999">
      <c r="D22">
        <f>_xlfn.STDEV.S(C9:D9)</f>
        <v>7.0710678118654719E-3</v>
      </c>
      <c r="F22" s="17">
        <v>11</v>
      </c>
      <c r="G22" s="18">
        <f t="shared" ca="1" si="1"/>
        <v>0.30768802899002179</v>
      </c>
      <c r="H22" s="19"/>
      <c r="I22" s="30">
        <f t="shared" ca="1" si="2"/>
        <v>1.6346100362375274E-3</v>
      </c>
      <c r="J22" s="24">
        <f t="shared" ca="1" si="3"/>
        <v>5098.4162619217923</v>
      </c>
      <c r="K22" s="20">
        <f t="shared" ca="1" si="4"/>
        <v>0.15469439053640788</v>
      </c>
      <c r="L22" s="20">
        <f t="shared" ca="1" si="4"/>
        <v>0.5648601834293927</v>
      </c>
      <c r="M22" s="21"/>
      <c r="N22" s="39">
        <f t="shared" ca="1" si="5"/>
        <v>4.1823847523148553E-3</v>
      </c>
      <c r="O22" s="25">
        <f t="shared" ca="1" si="6"/>
        <v>5199.0667998486924</v>
      </c>
      <c r="P22" s="18">
        <f t="shared" ca="1" si="7"/>
        <v>0.78029891966237364</v>
      </c>
      <c r="Q22" s="19"/>
      <c r="R22" s="30">
        <f t="shared" ca="1" si="8"/>
        <v>1.0311581282979635E-2</v>
      </c>
      <c r="S22" s="24">
        <f t="shared" ca="1" si="9"/>
        <v>5377.349056911662</v>
      </c>
      <c r="T22" s="21">
        <f t="shared" ca="1" si="10"/>
        <v>0.1598642066302568</v>
      </c>
      <c r="U22" s="21"/>
      <c r="V22" s="30">
        <f t="shared" ca="1" si="11"/>
        <v>3.9970144484566808E-3</v>
      </c>
      <c r="W22" s="25">
        <f t="shared" ca="1" si="12"/>
        <v>5253.7565712121714</v>
      </c>
      <c r="X22" s="28">
        <f t="shared" ca="1" si="0"/>
        <v>20928.588689894317</v>
      </c>
    </row>
    <row r="23" spans="1:24" ht="17.399999999999999">
      <c r="F23" s="17">
        <v>12</v>
      </c>
      <c r="G23" s="18">
        <f t="shared" ca="1" si="1"/>
        <v>8.5957095916754156E-2</v>
      </c>
      <c r="H23" s="19"/>
      <c r="I23" s="30">
        <f t="shared" ca="1" si="2"/>
        <v>1.3574463698959427E-3</v>
      </c>
      <c r="J23" s="24">
        <f t="shared" ca="1" si="3"/>
        <v>5105.3370885687564</v>
      </c>
      <c r="K23" s="20">
        <f t="shared" ca="1" si="4"/>
        <v>1.6555106283376864E-2</v>
      </c>
      <c r="L23" s="20">
        <f t="shared" ca="1" si="4"/>
        <v>0.68779134818747367</v>
      </c>
      <c r="M23" s="21"/>
      <c r="N23" s="39">
        <f t="shared" ca="1" si="5"/>
        <v>4.9599853521355517E-3</v>
      </c>
      <c r="O23" s="25">
        <f t="shared" ca="1" si="6"/>
        <v>5224.8540950207162</v>
      </c>
      <c r="P23" s="18">
        <f t="shared" ca="1" si="7"/>
        <v>0.84093964809004118</v>
      </c>
      <c r="Q23" s="19"/>
      <c r="R23" s="30">
        <f t="shared" ca="1" si="8"/>
        <v>1.1372826398644327E-2</v>
      </c>
      <c r="S23" s="24">
        <f t="shared" ca="1" si="9"/>
        <v>5438.5047142208323</v>
      </c>
      <c r="T23" s="21">
        <f t="shared" ca="1" si="10"/>
        <v>0.95941064348293459</v>
      </c>
      <c r="U23" s="21"/>
      <c r="V23" s="30">
        <f t="shared" ca="1" si="11"/>
        <v>5.6109288827872264E-3</v>
      </c>
      <c r="W23" s="25">
        <f t="shared" ca="1" si="12"/>
        <v>5283.2350257007192</v>
      </c>
      <c r="X23" s="28">
        <f ca="1">SUM(J23,O23,S23,W23)</f>
        <v>21051.930923511023</v>
      </c>
    </row>
    <row r="26" spans="1:24" ht="41.4">
      <c r="A26" t="s">
        <v>66</v>
      </c>
      <c r="B26" s="49">
        <f ca="1">AVERAGE(I12:I23,N12:N23,R12:R23,V12:V23)</f>
        <v>4.2634921025418116E-3</v>
      </c>
      <c r="F26" s="13" t="s">
        <v>45</v>
      </c>
      <c r="G26" s="12"/>
      <c r="H26" s="12"/>
      <c r="I26" s="12"/>
      <c r="J26" s="12"/>
      <c r="K26" s="12"/>
      <c r="L26" s="12"/>
      <c r="S26" s="29" t="s">
        <v>18</v>
      </c>
      <c r="T26" s="41" t="s">
        <v>46</v>
      </c>
      <c r="U26" s="41" t="s">
        <v>63</v>
      </c>
      <c r="V26" s="41" t="s">
        <v>64</v>
      </c>
    </row>
    <row r="27" spans="1:24">
      <c r="A27" t="s">
        <v>67</v>
      </c>
      <c r="S27" s="27" t="s">
        <v>19</v>
      </c>
      <c r="T27" s="42">
        <f ca="1">AVERAGE(G29:G529)</f>
        <v>5.0879355786495495E-2</v>
      </c>
      <c r="U27" s="43">
        <f ca="1">AVERAGE(H29:H529)</f>
        <v>1072.5295199771178</v>
      </c>
      <c r="V27" s="43">
        <f ca="1">AVERAGE(I29:I529)</f>
        <v>21072.529519977128</v>
      </c>
    </row>
    <row r="28" spans="1:24" ht="56.55" customHeight="1">
      <c r="F28" s="35" t="s">
        <v>47</v>
      </c>
      <c r="G28" s="36" t="s">
        <v>46</v>
      </c>
      <c r="H28" s="36" t="s">
        <v>48</v>
      </c>
      <c r="I28" s="36" t="s">
        <v>49</v>
      </c>
      <c r="J28" s="37" t="s">
        <v>52</v>
      </c>
      <c r="K28" s="37" t="s">
        <v>50</v>
      </c>
      <c r="L28" s="37" t="s">
        <v>53</v>
      </c>
      <c r="M28" s="37" t="s">
        <v>51</v>
      </c>
      <c r="N28" s="37" t="s">
        <v>54</v>
      </c>
      <c r="O28" s="37" t="s">
        <v>55</v>
      </c>
      <c r="P28" s="37" t="s">
        <v>56</v>
      </c>
      <c r="Q28" s="37" t="s">
        <v>57</v>
      </c>
      <c r="S28" s="27" t="s">
        <v>20</v>
      </c>
      <c r="T28" s="22">
        <f ca="1">_xlfn.STDEV.S(G29:G529)</f>
        <v>4.1003592358644213E-3</v>
      </c>
      <c r="U28" s="22">
        <f t="shared" ref="U28:V28" ca="1" si="13">_xlfn.STDEV.S(H29:H529)</f>
        <v>91.100452454325506</v>
      </c>
      <c r="V28" s="22">
        <f t="shared" ca="1" si="13"/>
        <v>91.10045245432552</v>
      </c>
    </row>
    <row r="29" spans="1:24">
      <c r="F29" s="32"/>
      <c r="G29" s="33">
        <f ca="1">(X23-B11)/X23</f>
        <v>4.9968381871147757E-2</v>
      </c>
      <c r="H29" s="34">
        <f ca="1">X23-B11</f>
        <v>1051.9309235110231</v>
      </c>
      <c r="I29" s="34">
        <f ca="1">X23</f>
        <v>21051.930923511023</v>
      </c>
      <c r="J29" s="34">
        <f ca="1">J23-B12</f>
        <v>105.33708856875637</v>
      </c>
      <c r="K29" s="34">
        <f>B12</f>
        <v>5000</v>
      </c>
      <c r="L29" s="34">
        <f ca="1">O23-B13</f>
        <v>224.85409502071616</v>
      </c>
      <c r="M29" s="34">
        <f>B13</f>
        <v>5000</v>
      </c>
      <c r="N29" s="34">
        <f ca="1">S23-Q12</f>
        <v>438.50471422083228</v>
      </c>
      <c r="O29" s="34">
        <f>B14</f>
        <v>5000</v>
      </c>
      <c r="P29" s="34">
        <f ca="1">W23-U12</f>
        <v>283.23502570071923</v>
      </c>
      <c r="Q29" s="34">
        <f>B15</f>
        <v>5000</v>
      </c>
      <c r="S29" s="27" t="s">
        <v>21</v>
      </c>
      <c r="T29" s="22">
        <f ca="1">_xlfn.CONFIDENCE.T(0.05,T27,500)</f>
        <v>4.4705333967538681E-3</v>
      </c>
      <c r="U29" s="22">
        <f t="shared" ref="U29:V29" ca="1" si="14">_xlfn.CONFIDENCE.T(0.05,U27,500)</f>
        <v>94.238202586180179</v>
      </c>
      <c r="V29" s="22">
        <f t="shared" ca="1" si="14"/>
        <v>1851.5455928422689</v>
      </c>
    </row>
    <row r="30" spans="1:24">
      <c r="F30" s="32">
        <v>1</v>
      </c>
      <c r="G30" s="33">
        <f t="dataTable" ref="G30:Q529" dt2D="0" dtr="0" r1="S42" ca="1"/>
        <v>4.9427702190948684E-2</v>
      </c>
      <c r="H30" s="34">
        <v>1039.9567145996843</v>
      </c>
      <c r="I30" s="34">
        <v>21039.956714599684</v>
      </c>
      <c r="J30" s="34">
        <v>120.04631822364718</v>
      </c>
      <c r="K30" s="34">
        <v>5000</v>
      </c>
      <c r="L30" s="34">
        <v>294.15127558297991</v>
      </c>
      <c r="M30" s="34">
        <v>5000</v>
      </c>
      <c r="N30" s="34">
        <v>340.65470070282572</v>
      </c>
      <c r="O30" s="34">
        <v>5000</v>
      </c>
      <c r="P30" s="34">
        <v>285.10442009022972</v>
      </c>
      <c r="Q30" s="34">
        <v>5000</v>
      </c>
      <c r="S30" s="27" t="s">
        <v>22</v>
      </c>
      <c r="T30" s="42">
        <f ca="1">T27-T29</f>
        <v>4.640882238974163E-2</v>
      </c>
      <c r="U30" s="43">
        <f t="shared" ref="U30:V30" ca="1" si="15">U27-U29</f>
        <v>978.29131739093771</v>
      </c>
      <c r="V30" s="43">
        <f t="shared" ca="1" si="15"/>
        <v>19220.983927134861</v>
      </c>
    </row>
    <row r="31" spans="1:24">
      <c r="F31" s="32">
        <v>2</v>
      </c>
      <c r="G31" s="33">
        <v>4.9413346467922017E-2</v>
      </c>
      <c r="H31" s="34">
        <v>1039.6389699838037</v>
      </c>
      <c r="I31" s="34">
        <v>21039.638969983804</v>
      </c>
      <c r="J31" s="34">
        <v>117.79522286255906</v>
      </c>
      <c r="K31" s="34">
        <v>5000</v>
      </c>
      <c r="L31" s="34">
        <v>296.07882503634482</v>
      </c>
      <c r="M31" s="34">
        <v>5000</v>
      </c>
      <c r="N31" s="34">
        <v>361.49296051082365</v>
      </c>
      <c r="O31" s="34">
        <v>5000</v>
      </c>
      <c r="P31" s="34">
        <v>264.27196157407616</v>
      </c>
      <c r="Q31" s="34">
        <v>5000</v>
      </c>
      <c r="S31" s="27" t="s">
        <v>23</v>
      </c>
      <c r="T31" s="42">
        <f ca="1">T27+T29</f>
        <v>5.5349889183249359E-2</v>
      </c>
      <c r="U31" s="43">
        <f t="shared" ref="U31:V31" ca="1" si="16">U27+U29</f>
        <v>1166.7677225632981</v>
      </c>
      <c r="V31" s="43">
        <f t="shared" ca="1" si="16"/>
        <v>22924.075112819395</v>
      </c>
    </row>
    <row r="32" spans="1:24" ht="14.4" thickBot="1">
      <c r="F32" s="32">
        <v>3</v>
      </c>
      <c r="G32" s="33">
        <v>4.6766497758426305E-2</v>
      </c>
      <c r="H32" s="34">
        <v>981.21808871494068</v>
      </c>
      <c r="I32" s="34">
        <v>20981.218088714941</v>
      </c>
      <c r="J32" s="34">
        <v>110.52033756366291</v>
      </c>
      <c r="K32" s="34">
        <v>5000</v>
      </c>
      <c r="L32" s="34">
        <v>264.22401664556855</v>
      </c>
      <c r="M32" s="34">
        <v>5000</v>
      </c>
      <c r="N32" s="34">
        <v>331.90575609050029</v>
      </c>
      <c r="O32" s="34">
        <v>5000</v>
      </c>
      <c r="P32" s="34">
        <v>274.56797841520984</v>
      </c>
      <c r="Q32" s="34">
        <v>5000</v>
      </c>
      <c r="S32" s="44" t="s">
        <v>24</v>
      </c>
      <c r="T32" s="45"/>
      <c r="U32" s="45"/>
      <c r="V32" s="45"/>
    </row>
    <row r="33" spans="6:23" ht="27.6">
      <c r="F33" s="32">
        <v>4</v>
      </c>
      <c r="G33" s="33">
        <v>5.2282492613132156E-2</v>
      </c>
      <c r="H33" s="34">
        <v>1103.3349538364055</v>
      </c>
      <c r="I33" s="34">
        <v>21103.334953836405</v>
      </c>
      <c r="J33" s="34">
        <v>114.00363083528373</v>
      </c>
      <c r="K33" s="34">
        <v>5000</v>
      </c>
      <c r="L33" s="34">
        <v>246.91121123213998</v>
      </c>
      <c r="M33" s="34">
        <v>5000</v>
      </c>
      <c r="N33" s="34">
        <v>473.96279939353099</v>
      </c>
      <c r="O33" s="34">
        <v>5000</v>
      </c>
      <c r="P33" s="34">
        <v>268.45731237544987</v>
      </c>
      <c r="Q33" s="34">
        <v>5000</v>
      </c>
      <c r="S33" s="46" t="s">
        <v>58</v>
      </c>
      <c r="T33" s="56">
        <f ca="1">(COUNTIF(H29:H529,"&gt;1000"))/500</f>
        <v>0.77</v>
      </c>
      <c r="U33" s="57"/>
      <c r="V33" s="58"/>
    </row>
    <row r="34" spans="6:23" ht="28.2" thickBot="1">
      <c r="F34" s="32">
        <v>5</v>
      </c>
      <c r="G34" s="33">
        <v>5.5390591693963431E-2</v>
      </c>
      <c r="H34" s="34">
        <v>1172.7723905120765</v>
      </c>
      <c r="I34" s="34">
        <v>21172.772390512077</v>
      </c>
      <c r="J34" s="34">
        <v>117.7743643870599</v>
      </c>
      <c r="K34" s="34">
        <v>5000</v>
      </c>
      <c r="L34" s="34">
        <v>230.91467246765751</v>
      </c>
      <c r="M34" s="34">
        <v>5000</v>
      </c>
      <c r="N34" s="34">
        <v>542.10334053182305</v>
      </c>
      <c r="O34" s="34">
        <v>5000</v>
      </c>
      <c r="P34" s="34">
        <v>281.98001312553606</v>
      </c>
      <c r="Q34" s="34">
        <v>5000</v>
      </c>
      <c r="S34" s="47" t="s">
        <v>59</v>
      </c>
      <c r="T34" s="50">
        <f ca="1">(COUNTIF(I29:I529,"&gt;=21000"))/500</f>
        <v>0.77</v>
      </c>
      <c r="U34" s="51"/>
      <c r="V34" s="52"/>
    </row>
    <row r="35" spans="6:23">
      <c r="F35" s="32">
        <v>6</v>
      </c>
      <c r="G35" s="33">
        <v>5.4659917000131557E-2</v>
      </c>
      <c r="H35" s="34">
        <v>1156.4074766972335</v>
      </c>
      <c r="I35" s="34">
        <v>21156.407476697234</v>
      </c>
      <c r="J35" s="34">
        <v>111.45732865947957</v>
      </c>
      <c r="K35" s="34">
        <v>5000</v>
      </c>
      <c r="L35" s="34">
        <v>241.61892304959747</v>
      </c>
      <c r="M35" s="34">
        <v>5000</v>
      </c>
      <c r="N35" s="34">
        <v>511.41416323823887</v>
      </c>
      <c r="O35" s="34">
        <v>5000</v>
      </c>
      <c r="P35" s="34">
        <v>291.91706174992032</v>
      </c>
      <c r="Q35" s="34">
        <v>5000</v>
      </c>
    </row>
    <row r="36" spans="6:23">
      <c r="F36" s="32">
        <v>7</v>
      </c>
      <c r="G36" s="33">
        <v>5.1166197744245696E-2</v>
      </c>
      <c r="H36" s="34">
        <v>1078.5070604062239</v>
      </c>
      <c r="I36" s="34">
        <v>21078.507060406224</v>
      </c>
      <c r="J36" s="34">
        <v>104.83572760175775</v>
      </c>
      <c r="K36" s="34">
        <v>5000</v>
      </c>
      <c r="L36" s="34">
        <v>244.15034435314556</v>
      </c>
      <c r="M36" s="34">
        <v>5000</v>
      </c>
      <c r="N36" s="34">
        <v>437.37203767147003</v>
      </c>
      <c r="O36" s="34">
        <v>5000</v>
      </c>
      <c r="P36" s="34">
        <v>292.14895077984966</v>
      </c>
      <c r="Q36" s="34">
        <v>5000</v>
      </c>
    </row>
    <row r="37" spans="6:23">
      <c r="F37" s="32">
        <v>8</v>
      </c>
      <c r="G37" s="33">
        <v>4.8568148999738055E-2</v>
      </c>
      <c r="H37" s="34">
        <v>1020.9485618686667</v>
      </c>
      <c r="I37" s="34">
        <v>21020.948561868667</v>
      </c>
      <c r="J37" s="34">
        <v>117.78750006789505</v>
      </c>
      <c r="K37" s="34">
        <v>5000</v>
      </c>
      <c r="L37" s="34">
        <v>269.46561178555112</v>
      </c>
      <c r="M37" s="34">
        <v>5000</v>
      </c>
      <c r="N37" s="34">
        <v>345.34457794332047</v>
      </c>
      <c r="O37" s="34">
        <v>5000</v>
      </c>
      <c r="P37" s="34">
        <v>288.35087207189918</v>
      </c>
      <c r="Q37" s="34">
        <v>5000</v>
      </c>
    </row>
    <row r="38" spans="6:23">
      <c r="F38" s="32">
        <v>9</v>
      </c>
      <c r="G38" s="33">
        <v>5.3742664902436607E-2</v>
      </c>
      <c r="H38" s="34">
        <v>1135.8995678885913</v>
      </c>
      <c r="I38" s="34">
        <v>21135.899567888591</v>
      </c>
      <c r="J38" s="34">
        <v>116.05420455750391</v>
      </c>
      <c r="K38" s="34">
        <v>5000</v>
      </c>
      <c r="L38" s="34">
        <v>240.39992192396676</v>
      </c>
      <c r="M38" s="34">
        <v>5000</v>
      </c>
      <c r="N38" s="34">
        <v>478.19818012158066</v>
      </c>
      <c r="O38" s="34">
        <v>5000</v>
      </c>
      <c r="P38" s="34">
        <v>301.24726128553993</v>
      </c>
      <c r="Q38" s="34">
        <v>5000</v>
      </c>
    </row>
    <row r="39" spans="6:23">
      <c r="F39" s="32">
        <v>10</v>
      </c>
      <c r="G39" s="33">
        <v>5.9267584029760852E-2</v>
      </c>
      <c r="H39" s="34">
        <v>1260.0306532146933</v>
      </c>
      <c r="I39" s="34">
        <v>21260.030653214693</v>
      </c>
      <c r="J39" s="34">
        <v>112.25573424457252</v>
      </c>
      <c r="K39" s="34">
        <v>5000</v>
      </c>
      <c r="L39" s="34">
        <v>309.37681298257576</v>
      </c>
      <c r="M39" s="34">
        <v>5000</v>
      </c>
      <c r="N39" s="34">
        <v>559.77864362155469</v>
      </c>
      <c r="O39" s="34">
        <v>5000</v>
      </c>
      <c r="P39" s="34">
        <v>278.61946236599033</v>
      </c>
      <c r="Q39" s="34">
        <v>5000</v>
      </c>
    </row>
    <row r="40" spans="6:23" ht="27.6">
      <c r="F40" s="32">
        <v>11</v>
      </c>
      <c r="G40" s="33">
        <v>5.0880765413199601E-2</v>
      </c>
      <c r="H40" s="34">
        <v>1072.1680387259366</v>
      </c>
      <c r="I40" s="34">
        <v>21072.168038725937</v>
      </c>
      <c r="J40" s="34">
        <v>106.15772013424976</v>
      </c>
      <c r="K40" s="34">
        <v>5000</v>
      </c>
      <c r="L40" s="34">
        <v>235.75037694635103</v>
      </c>
      <c r="M40" s="34">
        <v>5000</v>
      </c>
      <c r="N40" s="34">
        <v>446.18082506213796</v>
      </c>
      <c r="O40" s="34">
        <v>5000</v>
      </c>
      <c r="P40" s="34">
        <v>284.07911658319881</v>
      </c>
      <c r="Q40" s="34">
        <v>5000</v>
      </c>
      <c r="S40" s="16" t="s">
        <v>44</v>
      </c>
      <c r="T40" s="16" t="s">
        <v>28</v>
      </c>
      <c r="U40" s="16" t="s">
        <v>32</v>
      </c>
      <c r="V40" s="16" t="s">
        <v>36</v>
      </c>
      <c r="W40" s="16" t="s">
        <v>41</v>
      </c>
    </row>
    <row r="41" spans="6:23">
      <c r="F41" s="32">
        <v>12</v>
      </c>
      <c r="G41" s="33">
        <v>5.3953687118945041E-2</v>
      </c>
      <c r="H41" s="34">
        <v>1140.6140774363666</v>
      </c>
      <c r="I41" s="34">
        <v>21140.614077436367</v>
      </c>
      <c r="J41" s="34">
        <v>117.3777968081431</v>
      </c>
      <c r="K41" s="34">
        <v>5000</v>
      </c>
      <c r="L41" s="34">
        <v>220.56117606481439</v>
      </c>
      <c r="M41" s="34">
        <v>5000</v>
      </c>
      <c r="N41" s="34">
        <v>506.52611403898482</v>
      </c>
      <c r="O41" s="34">
        <v>5000</v>
      </c>
      <c r="P41" s="34">
        <v>296.14899052442433</v>
      </c>
      <c r="Q41" s="34">
        <v>5000</v>
      </c>
      <c r="S41" s="23">
        <v>0</v>
      </c>
      <c r="T41" s="18"/>
      <c r="U41" s="20"/>
      <c r="V41" s="18"/>
      <c r="W41" s="20"/>
    </row>
    <row r="42" spans="6:23">
      <c r="F42" s="32">
        <v>13</v>
      </c>
      <c r="G42" s="33">
        <v>5.3118599708886438E-2</v>
      </c>
      <c r="H42" s="34">
        <v>1121.969439732482</v>
      </c>
      <c r="I42" s="34">
        <v>21121.969439732482</v>
      </c>
      <c r="J42" s="34">
        <v>115.77160949274548</v>
      </c>
      <c r="K42" s="34">
        <v>5000</v>
      </c>
      <c r="L42" s="34">
        <v>240.55214746950514</v>
      </c>
      <c r="M42" s="34">
        <v>5000</v>
      </c>
      <c r="N42" s="34">
        <v>484.29836535366849</v>
      </c>
      <c r="O42" s="34">
        <v>5000</v>
      </c>
      <c r="P42" s="34">
        <v>281.34731741656196</v>
      </c>
      <c r="Q42" s="34">
        <v>5000</v>
      </c>
      <c r="S42" s="17">
        <v>1</v>
      </c>
      <c r="T42" s="30">
        <f ca="1">($C$6+($D$6-$C$6)*G12)/12</f>
        <v>1.2928665643433389E-3</v>
      </c>
      <c r="U42" s="39">
        <f ca="1">(IF(K12&lt;$D$12,$C$7+($D$7-$C$7)*SQRT(L12),$E$7-($E$7-$D$7)*SQRT(L12)))/12</f>
        <v>5.0237096081283761E-3</v>
      </c>
      <c r="V42" s="30">
        <f ca="1">(_xlfn.NORM.INV(P12,$D$16,$D$17))/12</f>
        <v>1.0452680374344532E-2</v>
      </c>
      <c r="W42" s="30">
        <f ca="1">(_xlfn.NORM.INV(T12,$D$21,$D$22))/12</f>
        <v>5.5467313221183789E-3</v>
      </c>
    </row>
    <row r="43" spans="6:23">
      <c r="F43" s="32">
        <v>14</v>
      </c>
      <c r="G43" s="33">
        <v>5.5432152761798685E-2</v>
      </c>
      <c r="H43" s="34">
        <v>1173.7039943477939</v>
      </c>
      <c r="I43" s="34">
        <v>21173.703994347794</v>
      </c>
      <c r="J43" s="34">
        <v>112.44114851344693</v>
      </c>
      <c r="K43" s="34">
        <v>5000</v>
      </c>
      <c r="L43" s="34">
        <v>276.4378742069257</v>
      </c>
      <c r="M43" s="34">
        <v>5000</v>
      </c>
      <c r="N43" s="34">
        <v>519.40958852504446</v>
      </c>
      <c r="O43" s="34">
        <v>5000</v>
      </c>
      <c r="P43" s="34">
        <v>265.41538310237593</v>
      </c>
      <c r="Q43" s="34">
        <v>5000</v>
      </c>
      <c r="S43" s="17">
        <v>2</v>
      </c>
      <c r="T43" s="30">
        <f t="shared" ref="T43:T53" ca="1" si="17">($C$6+($D$6-$C$6)*G13)/12</f>
        <v>2.0637489133394915E-3</v>
      </c>
      <c r="U43" s="39">
        <f t="shared" ref="U43:U53" ca="1" si="18">(IF(K13&lt;$D$12,$C$7+($D$7-$C$7)*SQRT(L13),$E$7-($E$7-$D$7)*SQRT(L13)))/12</f>
        <v>-5.0576979857706643E-5</v>
      </c>
      <c r="V43" s="30">
        <f t="shared" ref="V43:V53" ca="1" si="19">(_xlfn.NORM.INV(P13,$D$16,$D$17))/12</f>
        <v>1.1899023598620564E-3</v>
      </c>
      <c r="W43" s="30">
        <f t="shared" ref="W43:W53" ca="1" si="20">(_xlfn.NORM.INV(T13,$D$21,$D$22))/12</f>
        <v>4.411093167440391E-3</v>
      </c>
    </row>
    <row r="44" spans="6:23">
      <c r="F44" s="32">
        <v>15</v>
      </c>
      <c r="G44" s="33">
        <v>4.973766593357648E-2</v>
      </c>
      <c r="H44" s="34">
        <v>1046.8196865329992</v>
      </c>
      <c r="I44" s="34">
        <v>21046.819686532999</v>
      </c>
      <c r="J44" s="34">
        <v>104.29227099474883</v>
      </c>
      <c r="K44" s="34">
        <v>5000</v>
      </c>
      <c r="L44" s="34">
        <v>252.67536386990832</v>
      </c>
      <c r="M44" s="34">
        <v>5000</v>
      </c>
      <c r="N44" s="34">
        <v>405.09713636409379</v>
      </c>
      <c r="O44" s="34">
        <v>5000</v>
      </c>
      <c r="P44" s="34">
        <v>284.75491530424824</v>
      </c>
      <c r="Q44" s="34">
        <v>5000</v>
      </c>
      <c r="S44" s="17">
        <v>3</v>
      </c>
      <c r="T44" s="30">
        <f t="shared" ca="1" si="17"/>
        <v>1.7427242464286656E-3</v>
      </c>
      <c r="U44" s="39">
        <f t="shared" ca="1" si="18"/>
        <v>-1.3263267333222967E-4</v>
      </c>
      <c r="V44" s="30">
        <f t="shared" ca="1" si="19"/>
        <v>6.5491811019087022E-3</v>
      </c>
      <c r="W44" s="30">
        <f t="shared" ca="1" si="20"/>
        <v>4.0794695754146843E-3</v>
      </c>
    </row>
    <row r="45" spans="6:23">
      <c r="F45" s="32">
        <v>16</v>
      </c>
      <c r="G45" s="33">
        <v>5.2330204664130554E-2</v>
      </c>
      <c r="H45" s="34">
        <v>1104.3974372019293</v>
      </c>
      <c r="I45" s="34">
        <v>21104.397437201929</v>
      </c>
      <c r="J45" s="34">
        <v>107.78176502720999</v>
      </c>
      <c r="K45" s="34">
        <v>5000</v>
      </c>
      <c r="L45" s="34">
        <v>215.68757138202272</v>
      </c>
      <c r="M45" s="34">
        <v>5000</v>
      </c>
      <c r="N45" s="34">
        <v>498.93656304399701</v>
      </c>
      <c r="O45" s="34">
        <v>5000</v>
      </c>
      <c r="P45" s="34">
        <v>281.99153774870138</v>
      </c>
      <c r="Q45" s="34">
        <v>5000</v>
      </c>
      <c r="S45" s="17">
        <v>4</v>
      </c>
      <c r="T45" s="30">
        <f t="shared" ca="1" si="17"/>
        <v>2.43612542921252E-3</v>
      </c>
      <c r="U45" s="39">
        <f t="shared" ca="1" si="18"/>
        <v>2.7045970151839331E-3</v>
      </c>
      <c r="V45" s="30">
        <f t="shared" ca="1" si="19"/>
        <v>6.6369789555122015E-3</v>
      </c>
      <c r="W45" s="30">
        <f t="shared" ca="1" si="20"/>
        <v>4.7689357075981547E-3</v>
      </c>
    </row>
    <row r="46" spans="6:23">
      <c r="F46" s="32">
        <v>17</v>
      </c>
      <c r="G46" s="33">
        <v>5.5543769863597152E-2</v>
      </c>
      <c r="H46" s="34">
        <v>1176.2063310350604</v>
      </c>
      <c r="I46" s="34">
        <v>21176.20633103506</v>
      </c>
      <c r="J46" s="34">
        <v>106.49042155426832</v>
      </c>
      <c r="K46" s="34">
        <v>5000</v>
      </c>
      <c r="L46" s="34">
        <v>299.91512236585277</v>
      </c>
      <c r="M46" s="34">
        <v>5000</v>
      </c>
      <c r="N46" s="34">
        <v>483.28519117926407</v>
      </c>
      <c r="O46" s="34">
        <v>5000</v>
      </c>
      <c r="P46" s="34">
        <v>286.51559593567526</v>
      </c>
      <c r="Q46" s="34">
        <v>5000</v>
      </c>
      <c r="S46" s="17">
        <v>5</v>
      </c>
      <c r="T46" s="30">
        <f t="shared" ca="1" si="17"/>
        <v>1.8516643852316856E-3</v>
      </c>
      <c r="U46" s="39">
        <f t="shared" ca="1" si="18"/>
        <v>-1.5996953098509324E-3</v>
      </c>
      <c r="V46" s="30">
        <f t="shared" ca="1" si="19"/>
        <v>1.0676006504308366E-2</v>
      </c>
      <c r="W46" s="30">
        <f t="shared" ca="1" si="20"/>
        <v>4.9731480329458294E-3</v>
      </c>
    </row>
    <row r="47" spans="6:23">
      <c r="F47" s="32">
        <v>18</v>
      </c>
      <c r="G47" s="33">
        <v>5.0530513541877965E-2</v>
      </c>
      <c r="H47" s="34">
        <v>1064.3946806626882</v>
      </c>
      <c r="I47" s="34">
        <v>21064.394680662688</v>
      </c>
      <c r="J47" s="34">
        <v>112.13177240192817</v>
      </c>
      <c r="K47" s="34">
        <v>5000</v>
      </c>
      <c r="L47" s="34">
        <v>256.81071054353924</v>
      </c>
      <c r="M47" s="34">
        <v>5000</v>
      </c>
      <c r="N47" s="34">
        <v>406.62070873439188</v>
      </c>
      <c r="O47" s="34">
        <v>5000</v>
      </c>
      <c r="P47" s="34">
        <v>288.83148898282889</v>
      </c>
      <c r="Q47" s="34">
        <v>5000</v>
      </c>
      <c r="S47" s="17">
        <v>6</v>
      </c>
      <c r="T47" s="30">
        <f t="shared" ca="1" si="17"/>
        <v>1.4400061645321325E-3</v>
      </c>
      <c r="U47" s="39">
        <f t="shared" ca="1" si="18"/>
        <v>6.5507674794070382E-3</v>
      </c>
      <c r="V47" s="30">
        <f t="shared" ca="1" si="19"/>
        <v>5.2483471494567989E-3</v>
      </c>
      <c r="W47" s="30">
        <f t="shared" ca="1" si="20"/>
        <v>4.3564036549345805E-3</v>
      </c>
    </row>
    <row r="48" spans="6:23">
      <c r="F48" s="32">
        <v>19</v>
      </c>
      <c r="G48" s="33">
        <v>4.4941283033554311E-2</v>
      </c>
      <c r="H48" s="34">
        <v>941.1208386496146</v>
      </c>
      <c r="I48" s="34">
        <v>20941.120838649615</v>
      </c>
      <c r="J48" s="34">
        <v>103.72776038935808</v>
      </c>
      <c r="K48" s="34">
        <v>5000</v>
      </c>
      <c r="L48" s="34">
        <v>242.74854116774713</v>
      </c>
      <c r="M48" s="34">
        <v>5000</v>
      </c>
      <c r="N48" s="34">
        <v>316.54226501630274</v>
      </c>
      <c r="O48" s="34">
        <v>5000</v>
      </c>
      <c r="P48" s="34">
        <v>278.10227207620756</v>
      </c>
      <c r="Q48" s="34">
        <v>5000</v>
      </c>
      <c r="S48" s="17">
        <v>7</v>
      </c>
      <c r="T48" s="30">
        <f t="shared" ca="1" si="17"/>
        <v>1.4264635120599816E-3</v>
      </c>
      <c r="U48" s="39">
        <f t="shared" ca="1" si="18"/>
        <v>6.1033050321882831E-3</v>
      </c>
      <c r="V48" s="30">
        <f t="shared" ca="1" si="19"/>
        <v>1.5699336466005308E-3</v>
      </c>
      <c r="W48" s="30">
        <f t="shared" ca="1" si="20"/>
        <v>4.969446416062214E-3</v>
      </c>
    </row>
    <row r="49" spans="6:23">
      <c r="F49" s="32">
        <v>20</v>
      </c>
      <c r="G49" s="33">
        <v>5.0730786029608052E-2</v>
      </c>
      <c r="H49" s="34">
        <v>1068.8387505462779</v>
      </c>
      <c r="I49" s="34">
        <v>21068.838750546278</v>
      </c>
      <c r="J49" s="34">
        <v>121.05512948404794</v>
      </c>
      <c r="K49" s="34">
        <v>5000</v>
      </c>
      <c r="L49" s="34">
        <v>239.66389584284479</v>
      </c>
      <c r="M49" s="34">
        <v>5000</v>
      </c>
      <c r="N49" s="34">
        <v>443.57069701800992</v>
      </c>
      <c r="O49" s="34">
        <v>5000</v>
      </c>
      <c r="P49" s="34">
        <v>264.54902820137522</v>
      </c>
      <c r="Q49" s="34">
        <v>5000</v>
      </c>
      <c r="S49" s="17">
        <v>8</v>
      </c>
      <c r="T49" s="30">
        <f t="shared" ca="1" si="17"/>
        <v>1.9024051946869586E-3</v>
      </c>
      <c r="U49" s="39">
        <f t="shared" ca="1" si="18"/>
        <v>4.6963482529391145E-3</v>
      </c>
      <c r="V49" s="30">
        <f t="shared" ca="1" si="19"/>
        <v>4.9889288454718237E-3</v>
      </c>
      <c r="W49" s="30">
        <f t="shared" ca="1" si="20"/>
        <v>5.220667534906776E-3</v>
      </c>
    </row>
    <row r="50" spans="6:23">
      <c r="F50" s="32">
        <v>21</v>
      </c>
      <c r="G50" s="33">
        <v>4.9199765669553051E-2</v>
      </c>
      <c r="H50" s="34">
        <v>1034.9127796376597</v>
      </c>
      <c r="I50" s="34">
        <v>21034.91277963766</v>
      </c>
      <c r="J50" s="34">
        <v>117.23463861958226</v>
      </c>
      <c r="K50" s="34">
        <v>5000</v>
      </c>
      <c r="L50" s="34">
        <v>253.55412203781725</v>
      </c>
      <c r="M50" s="34">
        <v>5000</v>
      </c>
      <c r="N50" s="34">
        <v>370.73498690790984</v>
      </c>
      <c r="O50" s="34">
        <v>5000</v>
      </c>
      <c r="P50" s="34">
        <v>293.38903207235035</v>
      </c>
      <c r="Q50" s="34">
        <v>5000</v>
      </c>
      <c r="S50" s="17">
        <v>9</v>
      </c>
      <c r="T50" s="30">
        <f t="shared" ca="1" si="17"/>
        <v>1.4969841380156708E-3</v>
      </c>
      <c r="U50" s="39">
        <f t="shared" ca="1" si="18"/>
        <v>6.5589902397452564E-3</v>
      </c>
      <c r="V50" s="30">
        <f t="shared" ca="1" si="19"/>
        <v>1.1308732062003205E-2</v>
      </c>
      <c r="W50" s="30">
        <f t="shared" ca="1" si="20"/>
        <v>3.4737636301256972E-3</v>
      </c>
    </row>
    <row r="51" spans="6:23">
      <c r="F51" s="32">
        <v>22</v>
      </c>
      <c r="G51" s="33">
        <v>4.8534441547928082E-2</v>
      </c>
      <c r="H51" s="34">
        <v>1020.203855342661</v>
      </c>
      <c r="I51" s="34">
        <v>21020.203855342661</v>
      </c>
      <c r="J51" s="34">
        <v>108.28493871755745</v>
      </c>
      <c r="K51" s="34">
        <v>5000</v>
      </c>
      <c r="L51" s="34">
        <v>215.19574584041948</v>
      </c>
      <c r="M51" s="34">
        <v>5000</v>
      </c>
      <c r="N51" s="34">
        <v>425.34152143166102</v>
      </c>
      <c r="O51" s="34">
        <v>5000</v>
      </c>
      <c r="P51" s="34">
        <v>271.38164935302484</v>
      </c>
      <c r="Q51" s="34">
        <v>5000</v>
      </c>
      <c r="S51" s="17">
        <v>10</v>
      </c>
      <c r="T51" s="30">
        <f t="shared" ca="1" si="17"/>
        <v>2.2223760242863692E-3</v>
      </c>
      <c r="U51" s="39">
        <f t="shared" ca="1" si="18"/>
        <v>5.115641663256656E-3</v>
      </c>
      <c r="V51" s="30">
        <f t="shared" ca="1" si="19"/>
        <v>4.1322941857093584E-3</v>
      </c>
      <c r="W51" s="30">
        <f t="shared" ca="1" si="20"/>
        <v>3.8223802718863275E-3</v>
      </c>
    </row>
    <row r="52" spans="6:23">
      <c r="F52" s="32">
        <v>23</v>
      </c>
      <c r="G52" s="33">
        <v>4.5694181036004367E-2</v>
      </c>
      <c r="H52" s="34">
        <v>957.64230140837753</v>
      </c>
      <c r="I52" s="34">
        <v>20957.642301408378</v>
      </c>
      <c r="J52" s="34">
        <v>118.4265318693906</v>
      </c>
      <c r="K52" s="34">
        <v>5000</v>
      </c>
      <c r="L52" s="34">
        <v>309.5500084052519</v>
      </c>
      <c r="M52" s="34">
        <v>5000</v>
      </c>
      <c r="N52" s="34">
        <v>251.63392411893983</v>
      </c>
      <c r="O52" s="34">
        <v>5000</v>
      </c>
      <c r="P52" s="34">
        <v>278.0318370147952</v>
      </c>
      <c r="Q52" s="34">
        <v>5000</v>
      </c>
      <c r="S52" s="17">
        <v>11</v>
      </c>
      <c r="T52" s="30">
        <f t="shared" ca="1" si="17"/>
        <v>1.6346100362375274E-3</v>
      </c>
      <c r="U52" s="39">
        <f t="shared" ca="1" si="18"/>
        <v>4.1823847523148553E-3</v>
      </c>
      <c r="V52" s="30">
        <f t="shared" ca="1" si="19"/>
        <v>1.0311581282979635E-2</v>
      </c>
      <c r="W52" s="30">
        <f t="shared" ca="1" si="20"/>
        <v>3.9970144484566808E-3</v>
      </c>
    </row>
    <row r="53" spans="6:23">
      <c r="F53" s="32">
        <v>24</v>
      </c>
      <c r="G53" s="33">
        <v>4.689177832940436E-2</v>
      </c>
      <c r="H53" s="34">
        <v>983.9759486538278</v>
      </c>
      <c r="I53" s="34">
        <v>20983.975948653828</v>
      </c>
      <c r="J53" s="34">
        <v>111.91813435617496</v>
      </c>
      <c r="K53" s="34">
        <v>5000</v>
      </c>
      <c r="L53" s="34">
        <v>239.31426746037323</v>
      </c>
      <c r="M53" s="34">
        <v>5000</v>
      </c>
      <c r="N53" s="34">
        <v>350.28205161719598</v>
      </c>
      <c r="O53" s="34">
        <v>5000</v>
      </c>
      <c r="P53" s="34">
        <v>282.46149522008182</v>
      </c>
      <c r="Q53" s="34">
        <v>5000</v>
      </c>
      <c r="S53" s="17">
        <v>12</v>
      </c>
      <c r="T53" s="30">
        <f t="shared" ca="1" si="17"/>
        <v>1.3574463698959427E-3</v>
      </c>
      <c r="U53" s="39">
        <f t="shared" ca="1" si="18"/>
        <v>4.9599853521355517E-3</v>
      </c>
      <c r="V53" s="30">
        <f t="shared" ca="1" si="19"/>
        <v>1.1372826398644327E-2</v>
      </c>
      <c r="W53" s="30">
        <f t="shared" ca="1" si="20"/>
        <v>5.6109288827872264E-3</v>
      </c>
    </row>
    <row r="54" spans="6:23">
      <c r="F54" s="32">
        <v>25</v>
      </c>
      <c r="G54" s="33">
        <v>5.290961034662868E-2</v>
      </c>
      <c r="H54" s="34">
        <v>1117.308567896951</v>
      </c>
      <c r="I54" s="34">
        <v>21117.308567896951</v>
      </c>
      <c r="J54" s="34">
        <v>112.4459798138605</v>
      </c>
      <c r="K54" s="34">
        <v>5000</v>
      </c>
      <c r="L54" s="34">
        <v>288.59735579920016</v>
      </c>
      <c r="M54" s="34">
        <v>5000</v>
      </c>
      <c r="N54" s="34">
        <v>428.16562269562837</v>
      </c>
      <c r="O54" s="34">
        <v>5000</v>
      </c>
      <c r="P54" s="34">
        <v>288.09960958826196</v>
      </c>
      <c r="Q54" s="34">
        <v>5000</v>
      </c>
    </row>
    <row r="55" spans="6:23">
      <c r="F55" s="32">
        <v>26</v>
      </c>
      <c r="G55" s="33">
        <v>4.725624834456036E-2</v>
      </c>
      <c r="H55" s="34">
        <v>992.00332224588783</v>
      </c>
      <c r="I55" s="34">
        <v>20992.003322245888</v>
      </c>
      <c r="J55" s="34">
        <v>109.11852314849875</v>
      </c>
      <c r="K55" s="34">
        <v>5000</v>
      </c>
      <c r="L55" s="34">
        <v>204.10279444226762</v>
      </c>
      <c r="M55" s="34">
        <v>5000</v>
      </c>
      <c r="N55" s="34">
        <v>403.49819068852776</v>
      </c>
      <c r="O55" s="34">
        <v>5000</v>
      </c>
      <c r="P55" s="34">
        <v>275.28381396659097</v>
      </c>
      <c r="Q55" s="34">
        <v>5000</v>
      </c>
    </row>
    <row r="56" spans="6:23">
      <c r="F56" s="32">
        <v>27</v>
      </c>
      <c r="G56" s="33">
        <v>5.3825847389646179E-2</v>
      </c>
      <c r="H56" s="34">
        <v>1137.7577212640754</v>
      </c>
      <c r="I56" s="34">
        <v>21137.757721264075</v>
      </c>
      <c r="J56" s="34">
        <v>109.75291152916816</v>
      </c>
      <c r="K56" s="34">
        <v>5000</v>
      </c>
      <c r="L56" s="34">
        <v>202.31142640489088</v>
      </c>
      <c r="M56" s="34">
        <v>5000</v>
      </c>
      <c r="N56" s="34">
        <v>537.16003622615699</v>
      </c>
      <c r="O56" s="34">
        <v>5000</v>
      </c>
      <c r="P56" s="34">
        <v>288.53334710386207</v>
      </c>
      <c r="Q56" s="34">
        <v>5000</v>
      </c>
    </row>
    <row r="57" spans="6:23">
      <c r="F57" s="32">
        <v>28</v>
      </c>
      <c r="G57" s="33">
        <v>5.208973143858335E-2</v>
      </c>
      <c r="H57" s="34">
        <v>1099.0435100494615</v>
      </c>
      <c r="I57" s="34">
        <v>21099.043510049461</v>
      </c>
      <c r="J57" s="34">
        <v>110.73941717922662</v>
      </c>
      <c r="K57" s="34">
        <v>5000</v>
      </c>
      <c r="L57" s="34">
        <v>284.2588582144117</v>
      </c>
      <c r="M57" s="34">
        <v>5000</v>
      </c>
      <c r="N57" s="34">
        <v>425.19366225646263</v>
      </c>
      <c r="O57" s="34">
        <v>5000</v>
      </c>
      <c r="P57" s="34">
        <v>278.85157239935961</v>
      </c>
      <c r="Q57" s="34">
        <v>5000</v>
      </c>
    </row>
    <row r="58" spans="6:23">
      <c r="F58" s="32">
        <v>29</v>
      </c>
      <c r="G58" s="33">
        <v>5.4827079696069946E-2</v>
      </c>
      <c r="H58" s="34">
        <v>1160.1491857900401</v>
      </c>
      <c r="I58" s="34">
        <v>21160.14918579004</v>
      </c>
      <c r="J58" s="34">
        <v>110.74302833406364</v>
      </c>
      <c r="K58" s="34">
        <v>5000</v>
      </c>
      <c r="L58" s="34">
        <v>265.33080494691876</v>
      </c>
      <c r="M58" s="34">
        <v>5000</v>
      </c>
      <c r="N58" s="34">
        <v>503.54610236197095</v>
      </c>
      <c r="O58" s="34">
        <v>5000</v>
      </c>
      <c r="P58" s="34">
        <v>280.52925014708671</v>
      </c>
      <c r="Q58" s="34">
        <v>5000</v>
      </c>
    </row>
    <row r="59" spans="6:23">
      <c r="F59" s="32">
        <v>30</v>
      </c>
      <c r="G59" s="33">
        <v>5.6379840480829981E-2</v>
      </c>
      <c r="H59" s="34">
        <v>1194.9689694963454</v>
      </c>
      <c r="I59" s="34">
        <v>21194.968969496345</v>
      </c>
      <c r="J59" s="34">
        <v>121.08197474022018</v>
      </c>
      <c r="K59" s="34">
        <v>5000</v>
      </c>
      <c r="L59" s="34">
        <v>299.52903952057022</v>
      </c>
      <c r="M59" s="34">
        <v>5000</v>
      </c>
      <c r="N59" s="34">
        <v>482.30728629350961</v>
      </c>
      <c r="O59" s="34">
        <v>5000</v>
      </c>
      <c r="P59" s="34">
        <v>292.05066894204356</v>
      </c>
      <c r="Q59" s="34">
        <v>5000</v>
      </c>
    </row>
    <row r="60" spans="6:23">
      <c r="F60" s="32">
        <v>31</v>
      </c>
      <c r="G60" s="33">
        <v>4.7813233147067973E-2</v>
      </c>
      <c r="H60" s="34">
        <v>1004.2826641058091</v>
      </c>
      <c r="I60" s="34">
        <v>21004.282664105809</v>
      </c>
      <c r="J60" s="34">
        <v>109.45637429771432</v>
      </c>
      <c r="K60" s="34">
        <v>5000</v>
      </c>
      <c r="L60" s="34">
        <v>240.27828288382807</v>
      </c>
      <c r="M60" s="34">
        <v>5000</v>
      </c>
      <c r="N60" s="34">
        <v>359.09429158984858</v>
      </c>
      <c r="O60" s="34">
        <v>5000</v>
      </c>
      <c r="P60" s="34">
        <v>295.4537153344163</v>
      </c>
      <c r="Q60" s="34">
        <v>5000</v>
      </c>
    </row>
    <row r="61" spans="6:23">
      <c r="F61" s="32">
        <v>32</v>
      </c>
      <c r="G61" s="33">
        <v>5.2735119045423773E-2</v>
      </c>
      <c r="H61" s="34">
        <v>1113.4186457389114</v>
      </c>
      <c r="I61" s="34">
        <v>21113.418645738911</v>
      </c>
      <c r="J61" s="34">
        <v>127.43395160204273</v>
      </c>
      <c r="K61" s="34">
        <v>5000</v>
      </c>
      <c r="L61" s="34">
        <v>312.6146666382283</v>
      </c>
      <c r="M61" s="34">
        <v>5000</v>
      </c>
      <c r="N61" s="34">
        <v>394.85259810999833</v>
      </c>
      <c r="O61" s="34">
        <v>5000</v>
      </c>
      <c r="P61" s="34">
        <v>278.51742938864209</v>
      </c>
      <c r="Q61" s="34">
        <v>5000</v>
      </c>
    </row>
    <row r="62" spans="6:23">
      <c r="F62" s="32">
        <v>33</v>
      </c>
      <c r="G62" s="33">
        <v>5.0684748223755599E-2</v>
      </c>
      <c r="H62" s="34">
        <v>1067.8170002835286</v>
      </c>
      <c r="I62" s="34">
        <v>21067.817000283529</v>
      </c>
      <c r="J62" s="34">
        <v>114.15997704343044</v>
      </c>
      <c r="K62" s="34">
        <v>5000</v>
      </c>
      <c r="L62" s="34">
        <v>254.79855916615634</v>
      </c>
      <c r="M62" s="34">
        <v>5000</v>
      </c>
      <c r="N62" s="34">
        <v>428.04894195715769</v>
      </c>
      <c r="O62" s="34">
        <v>5000</v>
      </c>
      <c r="P62" s="34">
        <v>270.80952211678505</v>
      </c>
      <c r="Q62" s="34">
        <v>5000</v>
      </c>
    </row>
    <row r="63" spans="6:23">
      <c r="F63" s="32">
        <v>34</v>
      </c>
      <c r="G63" s="33">
        <v>4.876306626011899E-2</v>
      </c>
      <c r="H63" s="34">
        <v>1025.2559489758714</v>
      </c>
      <c r="I63" s="34">
        <v>21025.255948975871</v>
      </c>
      <c r="J63" s="34">
        <v>113.30364131074657</v>
      </c>
      <c r="K63" s="34">
        <v>5000</v>
      </c>
      <c r="L63" s="34">
        <v>220.26206031660877</v>
      </c>
      <c r="M63" s="34">
        <v>5000</v>
      </c>
      <c r="N63" s="34">
        <v>431.20891786295761</v>
      </c>
      <c r="O63" s="34">
        <v>5000</v>
      </c>
      <c r="P63" s="34">
        <v>260.4813294855594</v>
      </c>
      <c r="Q63" s="34">
        <v>5000</v>
      </c>
    </row>
    <row r="64" spans="6:23">
      <c r="F64" s="32">
        <v>35</v>
      </c>
      <c r="G64" s="33">
        <v>5.0530251810521704E-2</v>
      </c>
      <c r="H64" s="34">
        <v>1064.3888740399925</v>
      </c>
      <c r="I64" s="34">
        <v>21064.388874039993</v>
      </c>
      <c r="J64" s="34">
        <v>108.91481092238882</v>
      </c>
      <c r="K64" s="34">
        <v>5000</v>
      </c>
      <c r="L64" s="34">
        <v>274.72572188245522</v>
      </c>
      <c r="M64" s="34">
        <v>5000</v>
      </c>
      <c r="N64" s="34">
        <v>402.198051463708</v>
      </c>
      <c r="O64" s="34">
        <v>5000</v>
      </c>
      <c r="P64" s="34">
        <v>278.55028977143775</v>
      </c>
      <c r="Q64" s="34">
        <v>5000</v>
      </c>
    </row>
    <row r="65" spans="6:17">
      <c r="F65" s="32">
        <v>36</v>
      </c>
      <c r="G65" s="33">
        <v>4.964017822576243E-2</v>
      </c>
      <c r="H65" s="34">
        <v>1044.6607082586597</v>
      </c>
      <c r="I65" s="34">
        <v>21044.66070825866</v>
      </c>
      <c r="J65" s="34">
        <v>103.03858127738749</v>
      </c>
      <c r="K65" s="34">
        <v>5000</v>
      </c>
      <c r="L65" s="34">
        <v>243.60430453842855</v>
      </c>
      <c r="M65" s="34">
        <v>5000</v>
      </c>
      <c r="N65" s="34">
        <v>427.23148152968315</v>
      </c>
      <c r="O65" s="34">
        <v>5000</v>
      </c>
      <c r="P65" s="34">
        <v>270.78634091316144</v>
      </c>
      <c r="Q65" s="34">
        <v>5000</v>
      </c>
    </row>
    <row r="66" spans="6:17">
      <c r="F66" s="32">
        <v>37</v>
      </c>
      <c r="G66" s="33">
        <v>5.5430495022245584E-2</v>
      </c>
      <c r="H66" s="34">
        <v>1173.6668340473479</v>
      </c>
      <c r="I66" s="34">
        <v>21173.666834047348</v>
      </c>
      <c r="J66" s="34">
        <v>115.83905045397387</v>
      </c>
      <c r="K66" s="34">
        <v>5000</v>
      </c>
      <c r="L66" s="34">
        <v>258.65025716734544</v>
      </c>
      <c r="M66" s="34">
        <v>5000</v>
      </c>
      <c r="N66" s="34">
        <v>532.19397217116421</v>
      </c>
      <c r="O66" s="34">
        <v>5000</v>
      </c>
      <c r="P66" s="34">
        <v>266.98355425486443</v>
      </c>
      <c r="Q66" s="34">
        <v>5000</v>
      </c>
    </row>
    <row r="67" spans="6:17">
      <c r="F67" s="32">
        <v>38</v>
      </c>
      <c r="G67" s="33">
        <v>5.8507217143384097E-2</v>
      </c>
      <c r="H67" s="34">
        <v>1242.860661467108</v>
      </c>
      <c r="I67" s="34">
        <v>21242.860661467108</v>
      </c>
      <c r="J67" s="34">
        <v>126.81331709951155</v>
      </c>
      <c r="K67" s="34">
        <v>5000</v>
      </c>
      <c r="L67" s="34">
        <v>226.93266845681319</v>
      </c>
      <c r="M67" s="34">
        <v>5000</v>
      </c>
      <c r="N67" s="34">
        <v>580.04227913128307</v>
      </c>
      <c r="O67" s="34">
        <v>5000</v>
      </c>
      <c r="P67" s="34">
        <v>309.0723967795011</v>
      </c>
      <c r="Q67" s="34">
        <v>5000</v>
      </c>
    </row>
    <row r="68" spans="6:17">
      <c r="F68" s="32">
        <v>39</v>
      </c>
      <c r="G68" s="33">
        <v>5.3192082390969238E-2</v>
      </c>
      <c r="H68" s="34">
        <v>1123.608736295635</v>
      </c>
      <c r="I68" s="34">
        <v>21123.608736295635</v>
      </c>
      <c r="J68" s="34">
        <v>116.10687160743419</v>
      </c>
      <c r="K68" s="34">
        <v>5000</v>
      </c>
      <c r="L68" s="34">
        <v>308.99925561413784</v>
      </c>
      <c r="M68" s="34">
        <v>5000</v>
      </c>
      <c r="N68" s="34">
        <v>435.40515248450174</v>
      </c>
      <c r="O68" s="34">
        <v>5000</v>
      </c>
      <c r="P68" s="34">
        <v>263.09745658956035</v>
      </c>
      <c r="Q68" s="34">
        <v>5000</v>
      </c>
    </row>
    <row r="69" spans="6:17">
      <c r="F69" s="32">
        <v>40</v>
      </c>
      <c r="G69" s="33">
        <v>5.8870346879849496E-2</v>
      </c>
      <c r="H69" s="34">
        <v>1251.0571032306798</v>
      </c>
      <c r="I69" s="34">
        <v>21251.05710323068</v>
      </c>
      <c r="J69" s="34">
        <v>102.28642296011822</v>
      </c>
      <c r="K69" s="34">
        <v>5000</v>
      </c>
      <c r="L69" s="34">
        <v>287.17474878457779</v>
      </c>
      <c r="M69" s="34">
        <v>5000</v>
      </c>
      <c r="N69" s="34">
        <v>572.92671555845027</v>
      </c>
      <c r="O69" s="34">
        <v>5000</v>
      </c>
      <c r="P69" s="34">
        <v>288.6692159275326</v>
      </c>
      <c r="Q69" s="34">
        <v>5000</v>
      </c>
    </row>
    <row r="70" spans="6:17">
      <c r="F70" s="32">
        <v>41</v>
      </c>
      <c r="G70" s="33">
        <v>4.3451541098841931E-2</v>
      </c>
      <c r="H70" s="34">
        <v>908.50684446781088</v>
      </c>
      <c r="I70" s="34">
        <v>20908.506844467811</v>
      </c>
      <c r="J70" s="34">
        <v>122.26384602923827</v>
      </c>
      <c r="K70" s="34">
        <v>5000</v>
      </c>
      <c r="L70" s="34">
        <v>298.23679321470172</v>
      </c>
      <c r="M70" s="34">
        <v>5000</v>
      </c>
      <c r="N70" s="34">
        <v>186.33912968933873</v>
      </c>
      <c r="O70" s="34">
        <v>5000</v>
      </c>
      <c r="P70" s="34">
        <v>301.66707553453489</v>
      </c>
      <c r="Q70" s="34">
        <v>5000</v>
      </c>
    </row>
    <row r="71" spans="6:17">
      <c r="F71" s="32">
        <v>42</v>
      </c>
      <c r="G71" s="33">
        <v>5.1111248247366389E-2</v>
      </c>
      <c r="H71" s="34">
        <v>1077.2864185177023</v>
      </c>
      <c r="I71" s="34">
        <v>21077.286418517702</v>
      </c>
      <c r="J71" s="34">
        <v>120.96187316000669</v>
      </c>
      <c r="K71" s="34">
        <v>5000</v>
      </c>
      <c r="L71" s="34">
        <v>272.79807407015778</v>
      </c>
      <c r="M71" s="34">
        <v>5000</v>
      </c>
      <c r="N71" s="34">
        <v>409.2038561236277</v>
      </c>
      <c r="O71" s="34">
        <v>5000</v>
      </c>
      <c r="P71" s="34">
        <v>274.32261516390918</v>
      </c>
      <c r="Q71" s="34">
        <v>5000</v>
      </c>
    </row>
    <row r="72" spans="6:17">
      <c r="F72" s="32">
        <v>43</v>
      </c>
      <c r="G72" s="33">
        <v>4.6537491551192106E-2</v>
      </c>
      <c r="H72" s="34">
        <v>976.17874093243881</v>
      </c>
      <c r="I72" s="34">
        <v>20976.178740932439</v>
      </c>
      <c r="J72" s="34">
        <v>116.57609369850343</v>
      </c>
      <c r="K72" s="34">
        <v>5000</v>
      </c>
      <c r="L72" s="34">
        <v>233.06878302818041</v>
      </c>
      <c r="M72" s="34">
        <v>5000</v>
      </c>
      <c r="N72" s="34">
        <v>363.60697746937785</v>
      </c>
      <c r="O72" s="34">
        <v>5000</v>
      </c>
      <c r="P72" s="34">
        <v>262.92688673637349</v>
      </c>
      <c r="Q72" s="34">
        <v>5000</v>
      </c>
    </row>
    <row r="73" spans="6:17">
      <c r="F73" s="32">
        <v>44</v>
      </c>
      <c r="G73" s="33">
        <v>4.1691871967300703E-2</v>
      </c>
      <c r="H73" s="34">
        <v>870.11412608780665</v>
      </c>
      <c r="I73" s="34">
        <v>20870.114126087807</v>
      </c>
      <c r="J73" s="34">
        <v>115.42153373485689</v>
      </c>
      <c r="K73" s="34">
        <v>5000</v>
      </c>
      <c r="L73" s="34">
        <v>172.95044789847088</v>
      </c>
      <c r="M73" s="34">
        <v>5000</v>
      </c>
      <c r="N73" s="34">
        <v>298.93434911749955</v>
      </c>
      <c r="O73" s="34">
        <v>5000</v>
      </c>
      <c r="P73" s="34">
        <v>282.80779533697932</v>
      </c>
      <c r="Q73" s="34">
        <v>5000</v>
      </c>
    </row>
    <row r="74" spans="6:17">
      <c r="F74" s="32">
        <v>45</v>
      </c>
      <c r="G74" s="33">
        <v>4.1391297634399818E-2</v>
      </c>
      <c r="H74" s="34">
        <v>863.57024575839387</v>
      </c>
      <c r="I74" s="34">
        <v>20863.570245758394</v>
      </c>
      <c r="J74" s="34">
        <v>107.89779451652612</v>
      </c>
      <c r="K74" s="34">
        <v>5000</v>
      </c>
      <c r="L74" s="34">
        <v>330.58364511682521</v>
      </c>
      <c r="M74" s="34">
        <v>5000</v>
      </c>
      <c r="N74" s="34">
        <v>135.09198639500119</v>
      </c>
      <c r="O74" s="34">
        <v>5000</v>
      </c>
      <c r="P74" s="34">
        <v>289.99681973004135</v>
      </c>
      <c r="Q74" s="34">
        <v>5000</v>
      </c>
    </row>
    <row r="75" spans="6:17">
      <c r="F75" s="32">
        <v>46</v>
      </c>
      <c r="G75" s="33">
        <v>4.2289531730339537E-2</v>
      </c>
      <c r="H75" s="34">
        <v>883.13813269152161</v>
      </c>
      <c r="I75" s="34">
        <v>20883.138132691522</v>
      </c>
      <c r="J75" s="34">
        <v>111.04502731820685</v>
      </c>
      <c r="K75" s="34">
        <v>5000</v>
      </c>
      <c r="L75" s="34">
        <v>138.93714992050354</v>
      </c>
      <c r="M75" s="34">
        <v>5000</v>
      </c>
      <c r="N75" s="34">
        <v>325.54105562378845</v>
      </c>
      <c r="O75" s="34">
        <v>5000</v>
      </c>
      <c r="P75" s="34">
        <v>307.61489982902185</v>
      </c>
      <c r="Q75" s="34">
        <v>5000</v>
      </c>
    </row>
    <row r="76" spans="6:17">
      <c r="F76" s="32">
        <v>47</v>
      </c>
      <c r="G76" s="33">
        <v>4.7976282593398811E-2</v>
      </c>
      <c r="H76" s="34">
        <v>1007.8799869417235</v>
      </c>
      <c r="I76" s="34">
        <v>21007.879986941723</v>
      </c>
      <c r="J76" s="34">
        <v>116.9697396113088</v>
      </c>
      <c r="K76" s="34">
        <v>5000</v>
      </c>
      <c r="L76" s="34">
        <v>216.6563439937363</v>
      </c>
      <c r="M76" s="34">
        <v>5000</v>
      </c>
      <c r="N76" s="34">
        <v>391.41972204493868</v>
      </c>
      <c r="O76" s="34">
        <v>5000</v>
      </c>
      <c r="P76" s="34">
        <v>282.83418129173879</v>
      </c>
      <c r="Q76" s="34">
        <v>5000</v>
      </c>
    </row>
    <row r="77" spans="6:17">
      <c r="F77" s="32">
        <v>48</v>
      </c>
      <c r="G77" s="33">
        <v>4.7678133315112357E-2</v>
      </c>
      <c r="H77" s="34">
        <v>1001.3029204313862</v>
      </c>
      <c r="I77" s="34">
        <v>21001.302920431386</v>
      </c>
      <c r="J77" s="34">
        <v>113.67609560022356</v>
      </c>
      <c r="K77" s="34">
        <v>5000</v>
      </c>
      <c r="L77" s="34">
        <v>313.10988883594291</v>
      </c>
      <c r="M77" s="34">
        <v>5000</v>
      </c>
      <c r="N77" s="34">
        <v>302.617485716396</v>
      </c>
      <c r="O77" s="34">
        <v>5000</v>
      </c>
      <c r="P77" s="34">
        <v>271.89945027882368</v>
      </c>
      <c r="Q77" s="34">
        <v>5000</v>
      </c>
    </row>
    <row r="78" spans="6:17">
      <c r="F78" s="32">
        <v>49</v>
      </c>
      <c r="G78" s="33">
        <v>4.7749920185046188E-2</v>
      </c>
      <c r="H78" s="34">
        <v>1002.8861366821875</v>
      </c>
      <c r="I78" s="34">
        <v>21002.886136682187</v>
      </c>
      <c r="J78" s="34">
        <v>110.80588005460322</v>
      </c>
      <c r="K78" s="34">
        <v>5000</v>
      </c>
      <c r="L78" s="34">
        <v>211.34380884355778</v>
      </c>
      <c r="M78" s="34">
        <v>5000</v>
      </c>
      <c r="N78" s="34">
        <v>400.56533469159695</v>
      </c>
      <c r="O78" s="34">
        <v>5000</v>
      </c>
      <c r="P78" s="34">
        <v>280.17111309243137</v>
      </c>
      <c r="Q78" s="34">
        <v>5000</v>
      </c>
    </row>
    <row r="79" spans="6:17">
      <c r="F79" s="32">
        <v>50</v>
      </c>
      <c r="G79" s="33">
        <v>5.6719646433948667E-2</v>
      </c>
      <c r="H79" s="34">
        <v>1202.6042145269166</v>
      </c>
      <c r="I79" s="34">
        <v>21202.604214526917</v>
      </c>
      <c r="J79" s="34">
        <v>102.56530965506681</v>
      </c>
      <c r="K79" s="34">
        <v>5000</v>
      </c>
      <c r="L79" s="34">
        <v>235.91054567007177</v>
      </c>
      <c r="M79" s="34">
        <v>5000</v>
      </c>
      <c r="N79" s="34">
        <v>583.60308333794092</v>
      </c>
      <c r="O79" s="34">
        <v>5000</v>
      </c>
      <c r="P79" s="34">
        <v>280.52527586383894</v>
      </c>
      <c r="Q79" s="34">
        <v>5000</v>
      </c>
    </row>
    <row r="80" spans="6:17">
      <c r="F80" s="32">
        <v>51</v>
      </c>
      <c r="G80" s="33">
        <v>5.1735950718744636E-2</v>
      </c>
      <c r="H80" s="34">
        <v>1091.1718262009053</v>
      </c>
      <c r="I80" s="34">
        <v>21091.171826200905</v>
      </c>
      <c r="J80" s="34">
        <v>119.87587744713255</v>
      </c>
      <c r="K80" s="34">
        <v>5000</v>
      </c>
      <c r="L80" s="34">
        <v>217.15233582452856</v>
      </c>
      <c r="M80" s="34">
        <v>5000</v>
      </c>
      <c r="N80" s="34">
        <v>479.88430700744902</v>
      </c>
      <c r="O80" s="34">
        <v>5000</v>
      </c>
      <c r="P80" s="34">
        <v>274.25930592179702</v>
      </c>
      <c r="Q80" s="34">
        <v>5000</v>
      </c>
    </row>
    <row r="81" spans="6:17">
      <c r="F81" s="32">
        <v>52</v>
      </c>
      <c r="G81" s="33">
        <v>5.4886438613821142E-2</v>
      </c>
      <c r="H81" s="34">
        <v>1161.4781727038244</v>
      </c>
      <c r="I81" s="34">
        <v>21161.478172703824</v>
      </c>
      <c r="J81" s="34">
        <v>117.71199376753884</v>
      </c>
      <c r="K81" s="34">
        <v>5000</v>
      </c>
      <c r="L81" s="34">
        <v>293.75792729417208</v>
      </c>
      <c r="M81" s="34">
        <v>5000</v>
      </c>
      <c r="N81" s="34">
        <v>474.58813525919595</v>
      </c>
      <c r="O81" s="34">
        <v>5000</v>
      </c>
      <c r="P81" s="34">
        <v>275.42011638291569</v>
      </c>
      <c r="Q81" s="34">
        <v>5000</v>
      </c>
    </row>
    <row r="82" spans="6:17">
      <c r="F82" s="32">
        <v>53</v>
      </c>
      <c r="G82" s="33">
        <v>5.0054833999559775E-2</v>
      </c>
      <c r="H82" s="34">
        <v>1053.8468069753108</v>
      </c>
      <c r="I82" s="34">
        <v>21053.846806975311</v>
      </c>
      <c r="J82" s="34">
        <v>117.20215726049355</v>
      </c>
      <c r="K82" s="34">
        <v>5000</v>
      </c>
      <c r="L82" s="34">
        <v>254.73798225960491</v>
      </c>
      <c r="M82" s="34">
        <v>5000</v>
      </c>
      <c r="N82" s="34">
        <v>391.93371925498741</v>
      </c>
      <c r="O82" s="34">
        <v>5000</v>
      </c>
      <c r="P82" s="34">
        <v>289.97294820022671</v>
      </c>
      <c r="Q82" s="34">
        <v>5000</v>
      </c>
    </row>
    <row r="83" spans="6:17">
      <c r="F83" s="32">
        <v>54</v>
      </c>
      <c r="G83" s="33">
        <v>4.8015385861691767E-2</v>
      </c>
      <c r="H83" s="34">
        <v>1008.7428966518128</v>
      </c>
      <c r="I83" s="34">
        <v>21008.742896651813</v>
      </c>
      <c r="J83" s="34">
        <v>110.52348729468576</v>
      </c>
      <c r="K83" s="34">
        <v>5000</v>
      </c>
      <c r="L83" s="34">
        <v>274.62890934203824</v>
      </c>
      <c r="M83" s="34">
        <v>5000</v>
      </c>
      <c r="N83" s="34">
        <v>340.60918109331851</v>
      </c>
      <c r="O83" s="34">
        <v>5000</v>
      </c>
      <c r="P83" s="34">
        <v>282.98131892177298</v>
      </c>
      <c r="Q83" s="34">
        <v>5000</v>
      </c>
    </row>
    <row r="84" spans="6:17">
      <c r="F84" s="32">
        <v>55</v>
      </c>
      <c r="G84" s="33">
        <v>4.8651688817788454E-2</v>
      </c>
      <c r="H84" s="34">
        <v>1022.7944538489901</v>
      </c>
      <c r="I84" s="34">
        <v>21022.79445384899</v>
      </c>
      <c r="J84" s="34">
        <v>118.63794584546849</v>
      </c>
      <c r="K84" s="34">
        <v>5000</v>
      </c>
      <c r="L84" s="34">
        <v>273.05603944028098</v>
      </c>
      <c r="M84" s="34">
        <v>5000</v>
      </c>
      <c r="N84" s="34">
        <v>333.57753292116649</v>
      </c>
      <c r="O84" s="34">
        <v>5000</v>
      </c>
      <c r="P84" s="34">
        <v>297.52293564207412</v>
      </c>
      <c r="Q84" s="34">
        <v>5000</v>
      </c>
    </row>
    <row r="85" spans="6:17">
      <c r="F85" s="32">
        <v>56</v>
      </c>
      <c r="G85" s="33">
        <v>5.1246780582389032E-2</v>
      </c>
      <c r="H85" s="34">
        <v>1080.2973741442838</v>
      </c>
      <c r="I85" s="34">
        <v>21080.297374144284</v>
      </c>
      <c r="J85" s="34">
        <v>115.03542986730736</v>
      </c>
      <c r="K85" s="34">
        <v>5000</v>
      </c>
      <c r="L85" s="34">
        <v>217.41833748720546</v>
      </c>
      <c r="M85" s="34">
        <v>5000</v>
      </c>
      <c r="N85" s="34">
        <v>453.13837329592479</v>
      </c>
      <c r="O85" s="34">
        <v>5000</v>
      </c>
      <c r="P85" s="34">
        <v>294.70523349384439</v>
      </c>
      <c r="Q85" s="34">
        <v>5000</v>
      </c>
    </row>
    <row r="86" spans="6:17">
      <c r="F86" s="32">
        <v>57</v>
      </c>
      <c r="G86" s="33">
        <v>4.7322714544095056E-2</v>
      </c>
      <c r="H86" s="34">
        <v>993.46788816212211</v>
      </c>
      <c r="I86" s="34">
        <v>20993.467888162122</v>
      </c>
      <c r="J86" s="34">
        <v>111.86384413405267</v>
      </c>
      <c r="K86" s="34">
        <v>5000</v>
      </c>
      <c r="L86" s="34">
        <v>230.74832116180369</v>
      </c>
      <c r="M86" s="34">
        <v>5000</v>
      </c>
      <c r="N86" s="34">
        <v>371.53999167570328</v>
      </c>
      <c r="O86" s="34">
        <v>5000</v>
      </c>
      <c r="P86" s="34">
        <v>279.31573119056338</v>
      </c>
      <c r="Q86" s="34">
        <v>5000</v>
      </c>
    </row>
    <row r="87" spans="6:17">
      <c r="F87" s="32">
        <v>58</v>
      </c>
      <c r="G87" s="33">
        <v>4.8970958243887544E-2</v>
      </c>
      <c r="H87" s="34">
        <v>1029.8520043817116</v>
      </c>
      <c r="I87" s="34">
        <v>21029.852004381712</v>
      </c>
      <c r="J87" s="34">
        <v>117.29925801581066</v>
      </c>
      <c r="K87" s="34">
        <v>5000</v>
      </c>
      <c r="L87" s="34">
        <v>282.38500284490237</v>
      </c>
      <c r="M87" s="34">
        <v>5000</v>
      </c>
      <c r="N87" s="34">
        <v>347.31016468409871</v>
      </c>
      <c r="O87" s="34">
        <v>5000</v>
      </c>
      <c r="P87" s="34">
        <v>282.85757883689985</v>
      </c>
      <c r="Q87" s="34">
        <v>5000</v>
      </c>
    </row>
    <row r="88" spans="6:17">
      <c r="F88" s="32">
        <v>59</v>
      </c>
      <c r="G88" s="33">
        <v>4.6719714257725926E-2</v>
      </c>
      <c r="H88" s="34">
        <v>980.18840747026479</v>
      </c>
      <c r="I88" s="34">
        <v>20980.188407470265</v>
      </c>
      <c r="J88" s="34">
        <v>121.2497949151475</v>
      </c>
      <c r="K88" s="34">
        <v>5000</v>
      </c>
      <c r="L88" s="34">
        <v>248.90809411824557</v>
      </c>
      <c r="M88" s="34">
        <v>5000</v>
      </c>
      <c r="N88" s="34">
        <v>311.83237020246906</v>
      </c>
      <c r="O88" s="34">
        <v>5000</v>
      </c>
      <c r="P88" s="34">
        <v>298.19814823440174</v>
      </c>
      <c r="Q88" s="34">
        <v>5000</v>
      </c>
    </row>
    <row r="89" spans="6:17">
      <c r="F89" s="32">
        <v>60</v>
      </c>
      <c r="G89" s="33">
        <v>4.8693556636472457E-2</v>
      </c>
      <c r="H89" s="34">
        <v>1023.7196852006382</v>
      </c>
      <c r="I89" s="34">
        <v>21023.719685200638</v>
      </c>
      <c r="J89" s="34">
        <v>122.42984820481797</v>
      </c>
      <c r="K89" s="34">
        <v>5000</v>
      </c>
      <c r="L89" s="34">
        <v>248.47472780182761</v>
      </c>
      <c r="M89" s="34">
        <v>5000</v>
      </c>
      <c r="N89" s="34">
        <v>375.50365242472344</v>
      </c>
      <c r="O89" s="34">
        <v>5000</v>
      </c>
      <c r="P89" s="34">
        <v>277.31145676926644</v>
      </c>
      <c r="Q89" s="34">
        <v>5000</v>
      </c>
    </row>
    <row r="90" spans="6:17">
      <c r="F90" s="32">
        <v>61</v>
      </c>
      <c r="G90" s="33">
        <v>4.7502456156983466E-2</v>
      </c>
      <c r="H90" s="34">
        <v>997.429472948068</v>
      </c>
      <c r="I90" s="34">
        <v>20997.429472948068</v>
      </c>
      <c r="J90" s="34">
        <v>110.94882357756978</v>
      </c>
      <c r="K90" s="34">
        <v>5000</v>
      </c>
      <c r="L90" s="34">
        <v>215.43405857444122</v>
      </c>
      <c r="M90" s="34">
        <v>5000</v>
      </c>
      <c r="N90" s="34">
        <v>384.17904175408421</v>
      </c>
      <c r="O90" s="34">
        <v>5000</v>
      </c>
      <c r="P90" s="34">
        <v>286.86754904197278</v>
      </c>
      <c r="Q90" s="34">
        <v>5000</v>
      </c>
    </row>
    <row r="91" spans="6:17">
      <c r="F91" s="32">
        <v>62</v>
      </c>
      <c r="G91" s="33">
        <v>5.3005364738277577E-2</v>
      </c>
      <c r="H91" s="34">
        <v>1119.4438229025109</v>
      </c>
      <c r="I91" s="34">
        <v>21119.443822902511</v>
      </c>
      <c r="J91" s="34">
        <v>104.56732363625451</v>
      </c>
      <c r="K91" s="34">
        <v>5000</v>
      </c>
      <c r="L91" s="34">
        <v>260.27249609376395</v>
      </c>
      <c r="M91" s="34">
        <v>5000</v>
      </c>
      <c r="N91" s="34">
        <v>469.47224735882082</v>
      </c>
      <c r="O91" s="34">
        <v>5000</v>
      </c>
      <c r="P91" s="34">
        <v>285.1317558136725</v>
      </c>
      <c r="Q91" s="34">
        <v>5000</v>
      </c>
    </row>
    <row r="92" spans="6:17">
      <c r="F92" s="32">
        <v>63</v>
      </c>
      <c r="G92" s="33">
        <v>5.0302077041830526E-2</v>
      </c>
      <c r="H92" s="34">
        <v>1059.327936300986</v>
      </c>
      <c r="I92" s="34">
        <v>21059.327936300986</v>
      </c>
      <c r="J92" s="34">
        <v>110.66472254694963</v>
      </c>
      <c r="K92" s="34">
        <v>5000</v>
      </c>
      <c r="L92" s="34">
        <v>325.17352915527954</v>
      </c>
      <c r="M92" s="34">
        <v>5000</v>
      </c>
      <c r="N92" s="34">
        <v>343.68361053317767</v>
      </c>
      <c r="O92" s="34">
        <v>5000</v>
      </c>
      <c r="P92" s="34">
        <v>279.8060740655792</v>
      </c>
      <c r="Q92" s="34">
        <v>5000</v>
      </c>
    </row>
    <row r="93" spans="6:17">
      <c r="F93" s="32">
        <v>64</v>
      </c>
      <c r="G93" s="33">
        <v>4.9244547300649442E-2</v>
      </c>
      <c r="H93" s="34">
        <v>1035.9035472441647</v>
      </c>
      <c r="I93" s="34">
        <v>21035.903547244165</v>
      </c>
      <c r="J93" s="34">
        <v>114.63533438165632</v>
      </c>
      <c r="K93" s="34">
        <v>5000</v>
      </c>
      <c r="L93" s="34">
        <v>258.92670559888211</v>
      </c>
      <c r="M93" s="34">
        <v>5000</v>
      </c>
      <c r="N93" s="34">
        <v>377.12269202700099</v>
      </c>
      <c r="O93" s="34">
        <v>5000</v>
      </c>
      <c r="P93" s="34">
        <v>285.21881523662523</v>
      </c>
      <c r="Q93" s="34">
        <v>5000</v>
      </c>
    </row>
    <row r="94" spans="6:17">
      <c r="F94" s="32">
        <v>65</v>
      </c>
      <c r="G94" s="33">
        <v>5.4333997383238422E-2</v>
      </c>
      <c r="H94" s="34">
        <v>1149.1160141718174</v>
      </c>
      <c r="I94" s="34">
        <v>21149.116014171817</v>
      </c>
      <c r="J94" s="34">
        <v>116.1442049833513</v>
      </c>
      <c r="K94" s="34">
        <v>5000</v>
      </c>
      <c r="L94" s="34">
        <v>281.46114225988185</v>
      </c>
      <c r="M94" s="34">
        <v>5000</v>
      </c>
      <c r="N94" s="34">
        <v>464.69858800994189</v>
      </c>
      <c r="O94" s="34">
        <v>5000</v>
      </c>
      <c r="P94" s="34">
        <v>286.81207891864324</v>
      </c>
      <c r="Q94" s="34">
        <v>5000</v>
      </c>
    </row>
    <row r="95" spans="6:17">
      <c r="F95" s="32">
        <v>66</v>
      </c>
      <c r="G95" s="33">
        <v>4.2148698101606499E-2</v>
      </c>
      <c r="H95" s="34">
        <v>880.06766850075292</v>
      </c>
      <c r="I95" s="34">
        <v>20880.067668500753</v>
      </c>
      <c r="J95" s="34">
        <v>103.87417447017015</v>
      </c>
      <c r="K95" s="34">
        <v>5000</v>
      </c>
      <c r="L95" s="34">
        <v>177.88399659491824</v>
      </c>
      <c r="M95" s="34">
        <v>5000</v>
      </c>
      <c r="N95" s="34">
        <v>325.34587645810461</v>
      </c>
      <c r="O95" s="34">
        <v>5000</v>
      </c>
      <c r="P95" s="34">
        <v>272.963620977559</v>
      </c>
      <c r="Q95" s="34">
        <v>5000</v>
      </c>
    </row>
    <row r="96" spans="6:17">
      <c r="F96" s="32">
        <v>67</v>
      </c>
      <c r="G96" s="33">
        <v>5.1450173688534336E-2</v>
      </c>
      <c r="H96" s="34">
        <v>1084.8175237900505</v>
      </c>
      <c r="I96" s="34">
        <v>21084.81752379005</v>
      </c>
      <c r="J96" s="34">
        <v>120.62482465909943</v>
      </c>
      <c r="K96" s="34">
        <v>5000</v>
      </c>
      <c r="L96" s="34">
        <v>294.6547348707436</v>
      </c>
      <c r="M96" s="34">
        <v>5000</v>
      </c>
      <c r="N96" s="34">
        <v>393.31517837211686</v>
      </c>
      <c r="O96" s="34">
        <v>5000</v>
      </c>
      <c r="P96" s="34">
        <v>276.2227858880924</v>
      </c>
      <c r="Q96" s="34">
        <v>5000</v>
      </c>
    </row>
    <row r="97" spans="6:17">
      <c r="F97" s="32">
        <v>68</v>
      </c>
      <c r="G97" s="33">
        <v>5.4577959475032564E-2</v>
      </c>
      <c r="H97" s="34">
        <v>1154.5734526080414</v>
      </c>
      <c r="I97" s="34">
        <v>21154.573452608041</v>
      </c>
      <c r="J97" s="34">
        <v>107.26156145372806</v>
      </c>
      <c r="K97" s="34">
        <v>5000</v>
      </c>
      <c r="L97" s="34">
        <v>277.6541271686101</v>
      </c>
      <c r="M97" s="34">
        <v>5000</v>
      </c>
      <c r="N97" s="34">
        <v>480.07461919114212</v>
      </c>
      <c r="O97" s="34">
        <v>5000</v>
      </c>
      <c r="P97" s="34">
        <v>289.58314479456021</v>
      </c>
      <c r="Q97" s="34">
        <v>5000</v>
      </c>
    </row>
    <row r="98" spans="6:17">
      <c r="F98" s="32">
        <v>69</v>
      </c>
      <c r="G98" s="33">
        <v>6.1767152140988414E-2</v>
      </c>
      <c r="H98" s="34">
        <v>1316.6699989653353</v>
      </c>
      <c r="I98" s="34">
        <v>21316.669998965335</v>
      </c>
      <c r="J98" s="34">
        <v>119.03032605787121</v>
      </c>
      <c r="K98" s="34">
        <v>5000</v>
      </c>
      <c r="L98" s="34">
        <v>287.3189766503283</v>
      </c>
      <c r="M98" s="34">
        <v>5000</v>
      </c>
      <c r="N98" s="34">
        <v>611.30826969956343</v>
      </c>
      <c r="O98" s="34">
        <v>5000</v>
      </c>
      <c r="P98" s="34">
        <v>299.01242655757142</v>
      </c>
      <c r="Q98" s="34">
        <v>5000</v>
      </c>
    </row>
    <row r="99" spans="6:17">
      <c r="F99" s="32">
        <v>70</v>
      </c>
      <c r="G99" s="33">
        <v>4.5840615853208137E-2</v>
      </c>
      <c r="H99" s="34">
        <v>960.85867025662083</v>
      </c>
      <c r="I99" s="34">
        <v>20960.858670256621</v>
      </c>
      <c r="J99" s="34">
        <v>111.67582251143358</v>
      </c>
      <c r="K99" s="34">
        <v>5000</v>
      </c>
      <c r="L99" s="34">
        <v>192.38893695302522</v>
      </c>
      <c r="M99" s="34">
        <v>5000</v>
      </c>
      <c r="N99" s="34">
        <v>372.02344987453671</v>
      </c>
      <c r="O99" s="34">
        <v>5000</v>
      </c>
      <c r="P99" s="34">
        <v>284.77046091762531</v>
      </c>
      <c r="Q99" s="34">
        <v>5000</v>
      </c>
    </row>
    <row r="100" spans="6:17">
      <c r="F100" s="32">
        <v>71</v>
      </c>
      <c r="G100" s="33">
        <v>4.9038015623568278E-2</v>
      </c>
      <c r="H100" s="34">
        <v>1031.3349309273108</v>
      </c>
      <c r="I100" s="34">
        <v>21031.334930927311</v>
      </c>
      <c r="J100" s="34">
        <v>120.96491564446842</v>
      </c>
      <c r="K100" s="34">
        <v>5000</v>
      </c>
      <c r="L100" s="34">
        <v>255.51880482612341</v>
      </c>
      <c r="M100" s="34">
        <v>5000</v>
      </c>
      <c r="N100" s="34">
        <v>393.94304409270717</v>
      </c>
      <c r="O100" s="34">
        <v>5000</v>
      </c>
      <c r="P100" s="34">
        <v>260.90816636401541</v>
      </c>
      <c r="Q100" s="34">
        <v>5000</v>
      </c>
    </row>
    <row r="101" spans="6:17">
      <c r="F101" s="32">
        <v>72</v>
      </c>
      <c r="G101" s="33">
        <v>5.299433798782209E-2</v>
      </c>
      <c r="H101" s="34">
        <v>1119.1979121903205</v>
      </c>
      <c r="I101" s="34">
        <v>21119.19791219032</v>
      </c>
      <c r="J101" s="34">
        <v>116.52401734690739</v>
      </c>
      <c r="K101" s="34">
        <v>5000</v>
      </c>
      <c r="L101" s="34">
        <v>257.64965769804712</v>
      </c>
      <c r="M101" s="34">
        <v>5000</v>
      </c>
      <c r="N101" s="34">
        <v>455.43422175268097</v>
      </c>
      <c r="O101" s="34">
        <v>5000</v>
      </c>
      <c r="P101" s="34">
        <v>289.59001539268411</v>
      </c>
      <c r="Q101" s="34">
        <v>5000</v>
      </c>
    </row>
    <row r="102" spans="6:17">
      <c r="F102" s="32">
        <v>73</v>
      </c>
      <c r="G102" s="33">
        <v>5.2590119216750615E-2</v>
      </c>
      <c r="H102" s="34">
        <v>1110.1872649517427</v>
      </c>
      <c r="I102" s="34">
        <v>21110.187264951743</v>
      </c>
      <c r="J102" s="34">
        <v>106.98933156307339</v>
      </c>
      <c r="K102" s="34">
        <v>5000</v>
      </c>
      <c r="L102" s="34">
        <v>240.9944045266202</v>
      </c>
      <c r="M102" s="34">
        <v>5000</v>
      </c>
      <c r="N102" s="34">
        <v>494.49342089842685</v>
      </c>
      <c r="O102" s="34">
        <v>5000</v>
      </c>
      <c r="P102" s="34">
        <v>267.71010796362316</v>
      </c>
      <c r="Q102" s="34">
        <v>5000</v>
      </c>
    </row>
    <row r="103" spans="6:17">
      <c r="F103" s="32">
        <v>74</v>
      </c>
      <c r="G103" s="33">
        <v>5.3777061463096021E-2</v>
      </c>
      <c r="H103" s="34">
        <v>1136.6678881458683</v>
      </c>
      <c r="I103" s="34">
        <v>21136.667888145868</v>
      </c>
      <c r="J103" s="34">
        <v>107.39220662526895</v>
      </c>
      <c r="K103" s="34">
        <v>5000</v>
      </c>
      <c r="L103" s="34">
        <v>247.94019698928696</v>
      </c>
      <c r="M103" s="34">
        <v>5000</v>
      </c>
      <c r="N103" s="34">
        <v>485.7317968551697</v>
      </c>
      <c r="O103" s="34">
        <v>5000</v>
      </c>
      <c r="P103" s="34">
        <v>295.60368767614364</v>
      </c>
      <c r="Q103" s="34">
        <v>5000</v>
      </c>
    </row>
    <row r="104" spans="6:17">
      <c r="F104" s="32">
        <v>75</v>
      </c>
      <c r="G104" s="33">
        <v>4.4489088701588186E-2</v>
      </c>
      <c r="H104" s="34">
        <v>931.21047966126207</v>
      </c>
      <c r="I104" s="34">
        <v>20931.210479661262</v>
      </c>
      <c r="J104" s="34">
        <v>106.4086708108498</v>
      </c>
      <c r="K104" s="34">
        <v>5000</v>
      </c>
      <c r="L104" s="34">
        <v>196.52065282133572</v>
      </c>
      <c r="M104" s="34">
        <v>5000</v>
      </c>
      <c r="N104" s="34">
        <v>338.44132275411539</v>
      </c>
      <c r="O104" s="34">
        <v>5000</v>
      </c>
      <c r="P104" s="34">
        <v>289.83983327496207</v>
      </c>
      <c r="Q104" s="34">
        <v>5000</v>
      </c>
    </row>
    <row r="105" spans="6:17">
      <c r="F105" s="32">
        <v>76</v>
      </c>
      <c r="G105" s="33">
        <v>5.4160316827840192E-2</v>
      </c>
      <c r="H105" s="34">
        <v>1145.2324911172509</v>
      </c>
      <c r="I105" s="34">
        <v>21145.232491117251</v>
      </c>
      <c r="J105" s="34">
        <v>123.85650713447285</v>
      </c>
      <c r="K105" s="34">
        <v>5000</v>
      </c>
      <c r="L105" s="34">
        <v>338.69198330891959</v>
      </c>
      <c r="M105" s="34">
        <v>5000</v>
      </c>
      <c r="N105" s="34">
        <v>399.97449254957064</v>
      </c>
      <c r="O105" s="34">
        <v>5000</v>
      </c>
      <c r="P105" s="34">
        <v>282.70950812428691</v>
      </c>
      <c r="Q105" s="34">
        <v>5000</v>
      </c>
    </row>
    <row r="106" spans="6:17">
      <c r="F106" s="32">
        <v>77</v>
      </c>
      <c r="G106" s="33">
        <v>4.6026400486593823E-2</v>
      </c>
      <c r="H106" s="34">
        <v>964.94075957805399</v>
      </c>
      <c r="I106" s="34">
        <v>20964.940759578054</v>
      </c>
      <c r="J106" s="34">
        <v>121.26876693180202</v>
      </c>
      <c r="K106" s="34">
        <v>5000</v>
      </c>
      <c r="L106" s="34">
        <v>169.99422045858955</v>
      </c>
      <c r="M106" s="34">
        <v>5000</v>
      </c>
      <c r="N106" s="34">
        <v>379.11150761651879</v>
      </c>
      <c r="O106" s="34">
        <v>5000</v>
      </c>
      <c r="P106" s="34">
        <v>294.56626457114453</v>
      </c>
      <c r="Q106" s="34">
        <v>5000</v>
      </c>
    </row>
    <row r="107" spans="6:17">
      <c r="F107" s="32">
        <v>78</v>
      </c>
      <c r="G107" s="33">
        <v>4.3707549126785386E-2</v>
      </c>
      <c r="H107" s="34">
        <v>914.10423844452453</v>
      </c>
      <c r="I107" s="34">
        <v>20914.104238444525</v>
      </c>
      <c r="J107" s="34">
        <v>111.722376327848</v>
      </c>
      <c r="K107" s="34">
        <v>5000</v>
      </c>
      <c r="L107" s="34">
        <v>294.11715177074529</v>
      </c>
      <c r="M107" s="34">
        <v>5000</v>
      </c>
      <c r="N107" s="34">
        <v>259.26518460645457</v>
      </c>
      <c r="O107" s="34">
        <v>5000</v>
      </c>
      <c r="P107" s="34">
        <v>248.99952573947576</v>
      </c>
      <c r="Q107" s="34">
        <v>5000</v>
      </c>
    </row>
    <row r="108" spans="6:17">
      <c r="F108" s="32">
        <v>79</v>
      </c>
      <c r="G108" s="33">
        <v>5.4485404067270829E-2</v>
      </c>
      <c r="H108" s="34">
        <v>1152.5026541451152</v>
      </c>
      <c r="I108" s="34">
        <v>21152.502654145115</v>
      </c>
      <c r="J108" s="34">
        <v>114.88103476147899</v>
      </c>
      <c r="K108" s="34">
        <v>5000</v>
      </c>
      <c r="L108" s="34">
        <v>308.91599093715286</v>
      </c>
      <c r="M108" s="34">
        <v>5000</v>
      </c>
      <c r="N108" s="34">
        <v>441.57990816687834</v>
      </c>
      <c r="O108" s="34">
        <v>5000</v>
      </c>
      <c r="P108" s="34">
        <v>287.12572027960323</v>
      </c>
      <c r="Q108" s="34">
        <v>5000</v>
      </c>
    </row>
    <row r="109" spans="6:17">
      <c r="F109" s="32">
        <v>80</v>
      </c>
      <c r="G109" s="33">
        <v>4.9726851789915108E-2</v>
      </c>
      <c r="H109" s="34">
        <v>1046.5801729445811</v>
      </c>
      <c r="I109" s="34">
        <v>21046.580172944581</v>
      </c>
      <c r="J109" s="34">
        <v>114.95101069585689</v>
      </c>
      <c r="K109" s="34">
        <v>5000</v>
      </c>
      <c r="L109" s="34">
        <v>224.33147856612686</v>
      </c>
      <c r="M109" s="34">
        <v>5000</v>
      </c>
      <c r="N109" s="34">
        <v>417.98555266759377</v>
      </c>
      <c r="O109" s="34">
        <v>5000</v>
      </c>
      <c r="P109" s="34">
        <v>289.31213101500725</v>
      </c>
      <c r="Q109" s="34">
        <v>5000</v>
      </c>
    </row>
    <row r="110" spans="6:17">
      <c r="F110" s="32">
        <v>81</v>
      </c>
      <c r="G110" s="33">
        <v>4.6242633588178227E-2</v>
      </c>
      <c r="H110" s="34">
        <v>969.6938700908795</v>
      </c>
      <c r="I110" s="34">
        <v>20969.693870090879</v>
      </c>
      <c r="J110" s="34">
        <v>118.21238853986779</v>
      </c>
      <c r="K110" s="34">
        <v>5000</v>
      </c>
      <c r="L110" s="34">
        <v>201.96150710047368</v>
      </c>
      <c r="M110" s="34">
        <v>5000</v>
      </c>
      <c r="N110" s="34">
        <v>363.36100130078648</v>
      </c>
      <c r="O110" s="34">
        <v>5000</v>
      </c>
      <c r="P110" s="34">
        <v>286.15897314975246</v>
      </c>
      <c r="Q110" s="34">
        <v>5000</v>
      </c>
    </row>
    <row r="111" spans="6:17">
      <c r="F111" s="32">
        <v>82</v>
      </c>
      <c r="G111" s="33">
        <v>5.7506006283830881E-2</v>
      </c>
      <c r="H111" s="34">
        <v>1220.2943820806722</v>
      </c>
      <c r="I111" s="34">
        <v>21220.294382080672</v>
      </c>
      <c r="J111" s="34">
        <v>107.50148764774349</v>
      </c>
      <c r="K111" s="34">
        <v>5000</v>
      </c>
      <c r="L111" s="34">
        <v>302.0825040355694</v>
      </c>
      <c r="M111" s="34">
        <v>5000</v>
      </c>
      <c r="N111" s="34">
        <v>504.14006223599608</v>
      </c>
      <c r="O111" s="34">
        <v>5000</v>
      </c>
      <c r="P111" s="34">
        <v>306.57032816136325</v>
      </c>
      <c r="Q111" s="34">
        <v>5000</v>
      </c>
    </row>
    <row r="112" spans="6:17">
      <c r="F112" s="32">
        <v>83</v>
      </c>
      <c r="G112" s="33">
        <v>5.3728319463411105E-2</v>
      </c>
      <c r="H112" s="34">
        <v>1135.5791485367954</v>
      </c>
      <c r="I112" s="34">
        <v>21135.579148536795</v>
      </c>
      <c r="J112" s="34">
        <v>113.55628386278568</v>
      </c>
      <c r="K112" s="34">
        <v>5000</v>
      </c>
      <c r="L112" s="34">
        <v>238.79769715024395</v>
      </c>
      <c r="M112" s="34">
        <v>5000</v>
      </c>
      <c r="N112" s="34">
        <v>494.42633705451408</v>
      </c>
      <c r="O112" s="34">
        <v>5000</v>
      </c>
      <c r="P112" s="34">
        <v>288.79883046925352</v>
      </c>
      <c r="Q112" s="34">
        <v>5000</v>
      </c>
    </row>
    <row r="113" spans="6:17">
      <c r="F113" s="32">
        <v>84</v>
      </c>
      <c r="G113" s="33">
        <v>4.8654955878059611E-2</v>
      </c>
      <c r="H113" s="34">
        <v>1022.8666492495686</v>
      </c>
      <c r="I113" s="34">
        <v>21022.866649249569</v>
      </c>
      <c r="J113" s="34">
        <v>112.2452075988358</v>
      </c>
      <c r="K113" s="34">
        <v>5000</v>
      </c>
      <c r="L113" s="34">
        <v>298.48873040764465</v>
      </c>
      <c r="M113" s="34">
        <v>5000</v>
      </c>
      <c r="N113" s="34">
        <v>312.60189961730703</v>
      </c>
      <c r="O113" s="34">
        <v>5000</v>
      </c>
      <c r="P113" s="34">
        <v>299.53081162577837</v>
      </c>
      <c r="Q113" s="34">
        <v>5000</v>
      </c>
    </row>
    <row r="114" spans="6:17">
      <c r="F114" s="32">
        <v>85</v>
      </c>
      <c r="G114" s="33">
        <v>4.8274033424197622E-2</v>
      </c>
      <c r="H114" s="34">
        <v>1014.4523764100268</v>
      </c>
      <c r="I114" s="34">
        <v>21014.452376410027</v>
      </c>
      <c r="J114" s="34">
        <v>114.07192988421684</v>
      </c>
      <c r="K114" s="34">
        <v>5000</v>
      </c>
      <c r="L114" s="34">
        <v>204.70249150590007</v>
      </c>
      <c r="M114" s="34">
        <v>5000</v>
      </c>
      <c r="N114" s="34">
        <v>424.33064896108044</v>
      </c>
      <c r="O114" s="34">
        <v>5000</v>
      </c>
      <c r="P114" s="34">
        <v>271.34730605882851</v>
      </c>
      <c r="Q114" s="34">
        <v>5000</v>
      </c>
    </row>
    <row r="115" spans="6:17">
      <c r="F115" s="32">
        <v>86</v>
      </c>
      <c r="G115" s="33">
        <v>4.7582626468213339E-2</v>
      </c>
      <c r="H115" s="34">
        <v>999.19694433472614</v>
      </c>
      <c r="I115" s="34">
        <v>20999.196944334726</v>
      </c>
      <c r="J115" s="34">
        <v>112.52217606672002</v>
      </c>
      <c r="K115" s="34">
        <v>5000</v>
      </c>
      <c r="L115" s="34">
        <v>209.64517540362704</v>
      </c>
      <c r="M115" s="34">
        <v>5000</v>
      </c>
      <c r="N115" s="34">
        <v>399.28172847568112</v>
      </c>
      <c r="O115" s="34">
        <v>5000</v>
      </c>
      <c r="P115" s="34">
        <v>277.74786438869614</v>
      </c>
      <c r="Q115" s="34">
        <v>5000</v>
      </c>
    </row>
    <row r="116" spans="6:17">
      <c r="F116" s="32">
        <v>87</v>
      </c>
      <c r="G116" s="33">
        <v>5.1258694115034878E-2</v>
      </c>
      <c r="H116" s="34">
        <v>1080.5620836171329</v>
      </c>
      <c r="I116" s="34">
        <v>21080.562083617133</v>
      </c>
      <c r="J116" s="34">
        <v>101.29096862391998</v>
      </c>
      <c r="K116" s="34">
        <v>5000</v>
      </c>
      <c r="L116" s="34">
        <v>210.67266725016179</v>
      </c>
      <c r="M116" s="34">
        <v>5000</v>
      </c>
      <c r="N116" s="34">
        <v>472.16164574940558</v>
      </c>
      <c r="O116" s="34">
        <v>5000</v>
      </c>
      <c r="P116" s="34">
        <v>296.43680199364553</v>
      </c>
      <c r="Q116" s="34">
        <v>5000</v>
      </c>
    </row>
    <row r="117" spans="6:17">
      <c r="F117" s="32">
        <v>88</v>
      </c>
      <c r="G117" s="33">
        <v>4.9638018478769211E-2</v>
      </c>
      <c r="H117" s="34">
        <v>1044.6128831735114</v>
      </c>
      <c r="I117" s="34">
        <v>21044.612883173511</v>
      </c>
      <c r="J117" s="34">
        <v>111.17489596012092</v>
      </c>
      <c r="K117" s="34">
        <v>5000</v>
      </c>
      <c r="L117" s="34">
        <v>206.81063124592947</v>
      </c>
      <c r="M117" s="34">
        <v>5000</v>
      </c>
      <c r="N117" s="34">
        <v>468.80551169520095</v>
      </c>
      <c r="O117" s="34">
        <v>5000</v>
      </c>
      <c r="P117" s="34">
        <v>257.82184427225911</v>
      </c>
      <c r="Q117" s="34">
        <v>5000</v>
      </c>
    </row>
    <row r="118" spans="6:17">
      <c r="F118" s="32">
        <v>89</v>
      </c>
      <c r="G118" s="33">
        <v>5.1360108447367082E-2</v>
      </c>
      <c r="H118" s="34">
        <v>1082.8157007672598</v>
      </c>
      <c r="I118" s="34">
        <v>21082.81570076726</v>
      </c>
      <c r="J118" s="34">
        <v>111.24055799308644</v>
      </c>
      <c r="K118" s="34">
        <v>5000</v>
      </c>
      <c r="L118" s="34">
        <v>244.35056430934674</v>
      </c>
      <c r="M118" s="34">
        <v>5000</v>
      </c>
      <c r="N118" s="34">
        <v>458.15586439783056</v>
      </c>
      <c r="O118" s="34">
        <v>5000</v>
      </c>
      <c r="P118" s="34">
        <v>269.06871406699429</v>
      </c>
      <c r="Q118" s="34">
        <v>5000</v>
      </c>
    </row>
    <row r="119" spans="6:17">
      <c r="F119" s="32">
        <v>90</v>
      </c>
      <c r="G119" s="33">
        <v>4.3577255090608044E-2</v>
      </c>
      <c r="H119" s="34">
        <v>911.25509765530296</v>
      </c>
      <c r="I119" s="34">
        <v>20911.255097655303</v>
      </c>
      <c r="J119" s="34">
        <v>134.79498449183757</v>
      </c>
      <c r="K119" s="34">
        <v>5000</v>
      </c>
      <c r="L119" s="34">
        <v>257.69326130577065</v>
      </c>
      <c r="M119" s="34">
        <v>5000</v>
      </c>
      <c r="N119" s="34">
        <v>243.00731895406989</v>
      </c>
      <c r="O119" s="34">
        <v>5000</v>
      </c>
      <c r="P119" s="34">
        <v>275.75953290362122</v>
      </c>
      <c r="Q119" s="34">
        <v>5000</v>
      </c>
    </row>
    <row r="120" spans="6:17">
      <c r="F120" s="32">
        <v>91</v>
      </c>
      <c r="G120" s="33">
        <v>4.8438298055107111E-2</v>
      </c>
      <c r="H120" s="34">
        <v>1018.0800247867119</v>
      </c>
      <c r="I120" s="34">
        <v>21018.080024786712</v>
      </c>
      <c r="J120" s="34">
        <v>115.58131114662046</v>
      </c>
      <c r="K120" s="34">
        <v>5000</v>
      </c>
      <c r="L120" s="34">
        <v>233.2277986183326</v>
      </c>
      <c r="M120" s="34">
        <v>5000</v>
      </c>
      <c r="N120" s="34">
        <v>370.6323299728856</v>
      </c>
      <c r="O120" s="34">
        <v>5000</v>
      </c>
      <c r="P120" s="34">
        <v>298.63858504887412</v>
      </c>
      <c r="Q120" s="34">
        <v>5000</v>
      </c>
    </row>
    <row r="121" spans="6:17">
      <c r="F121" s="32">
        <v>92</v>
      </c>
      <c r="G121" s="33">
        <v>4.5638966046606604E-2</v>
      </c>
      <c r="H121" s="34">
        <v>956.42978753123316</v>
      </c>
      <c r="I121" s="34">
        <v>20956.429787531233</v>
      </c>
      <c r="J121" s="34">
        <v>118.63600937108185</v>
      </c>
      <c r="K121" s="34">
        <v>5000</v>
      </c>
      <c r="L121" s="34">
        <v>192.2287326219348</v>
      </c>
      <c r="M121" s="34">
        <v>5000</v>
      </c>
      <c r="N121" s="34">
        <v>359.15473711031245</v>
      </c>
      <c r="O121" s="34">
        <v>5000</v>
      </c>
      <c r="P121" s="34">
        <v>286.41030842790315</v>
      </c>
      <c r="Q121" s="34">
        <v>5000</v>
      </c>
    </row>
    <row r="122" spans="6:17">
      <c r="F122" s="32">
        <v>93</v>
      </c>
      <c r="G122" s="33">
        <v>5.41851505652459E-2</v>
      </c>
      <c r="H122" s="34">
        <v>1145.7876897921087</v>
      </c>
      <c r="I122" s="34">
        <v>21145.787689792109</v>
      </c>
      <c r="J122" s="34">
        <v>113.92967397905159</v>
      </c>
      <c r="K122" s="34">
        <v>5000</v>
      </c>
      <c r="L122" s="34">
        <v>284.61553651790109</v>
      </c>
      <c r="M122" s="34">
        <v>5000</v>
      </c>
      <c r="N122" s="34">
        <v>461.91172268129139</v>
      </c>
      <c r="O122" s="34">
        <v>5000</v>
      </c>
      <c r="P122" s="34">
        <v>285.33075661386647</v>
      </c>
      <c r="Q122" s="34">
        <v>5000</v>
      </c>
    </row>
    <row r="123" spans="6:17">
      <c r="F123" s="32">
        <v>94</v>
      </c>
      <c r="G123" s="33">
        <v>5.3350926667810258E-2</v>
      </c>
      <c r="H123" s="34">
        <v>1127.1532011332529</v>
      </c>
      <c r="I123" s="34">
        <v>21127.153201133253</v>
      </c>
      <c r="J123" s="34">
        <v>107.15836459403181</v>
      </c>
      <c r="K123" s="34">
        <v>5000</v>
      </c>
      <c r="L123" s="34">
        <v>291.43361192902921</v>
      </c>
      <c r="M123" s="34">
        <v>5000</v>
      </c>
      <c r="N123" s="34">
        <v>454.51362326984781</v>
      </c>
      <c r="O123" s="34">
        <v>5000</v>
      </c>
      <c r="P123" s="34">
        <v>274.04760134034586</v>
      </c>
      <c r="Q123" s="34">
        <v>5000</v>
      </c>
    </row>
    <row r="124" spans="6:17">
      <c r="F124" s="32">
        <v>95</v>
      </c>
      <c r="G124" s="33">
        <v>5.4023126021204307E-2</v>
      </c>
      <c r="H124" s="34">
        <v>1142.16589236441</v>
      </c>
      <c r="I124" s="34">
        <v>21142.16589236441</v>
      </c>
      <c r="J124" s="34">
        <v>110.25069684550726</v>
      </c>
      <c r="K124" s="34">
        <v>5000</v>
      </c>
      <c r="L124" s="34">
        <v>219.9937771681607</v>
      </c>
      <c r="M124" s="34">
        <v>5000</v>
      </c>
      <c r="N124" s="34">
        <v>515.31944474137617</v>
      </c>
      <c r="O124" s="34">
        <v>5000</v>
      </c>
      <c r="P124" s="34">
        <v>296.6019736093649</v>
      </c>
      <c r="Q124" s="34">
        <v>5000</v>
      </c>
    </row>
    <row r="125" spans="6:17">
      <c r="F125" s="32">
        <v>96</v>
      </c>
      <c r="G125" s="33">
        <v>4.9845152839585516E-2</v>
      </c>
      <c r="H125" s="34">
        <v>1049.2006221628035</v>
      </c>
      <c r="I125" s="34">
        <v>21049.200622162803</v>
      </c>
      <c r="J125" s="34">
        <v>114.7000946114058</v>
      </c>
      <c r="K125" s="34">
        <v>5000</v>
      </c>
      <c r="L125" s="34">
        <v>256.69467333723242</v>
      </c>
      <c r="M125" s="34">
        <v>5000</v>
      </c>
      <c r="N125" s="34">
        <v>382.04588763342235</v>
      </c>
      <c r="O125" s="34">
        <v>5000</v>
      </c>
      <c r="P125" s="34">
        <v>295.75996658074382</v>
      </c>
      <c r="Q125" s="34">
        <v>5000</v>
      </c>
    </row>
    <row r="126" spans="6:17">
      <c r="F126" s="32">
        <v>97</v>
      </c>
      <c r="G126" s="33">
        <v>5.0674325183437195E-2</v>
      </c>
      <c r="H126" s="34">
        <v>1067.5856879827661</v>
      </c>
      <c r="I126" s="34">
        <v>21067.585687982766</v>
      </c>
      <c r="J126" s="34">
        <v>111.62666967287532</v>
      </c>
      <c r="K126" s="34">
        <v>5000</v>
      </c>
      <c r="L126" s="34">
        <v>252.14234401922295</v>
      </c>
      <c r="M126" s="34">
        <v>5000</v>
      </c>
      <c r="N126" s="34">
        <v>410.86077807862875</v>
      </c>
      <c r="O126" s="34">
        <v>5000</v>
      </c>
      <c r="P126" s="34">
        <v>292.95589621203999</v>
      </c>
      <c r="Q126" s="34">
        <v>5000</v>
      </c>
    </row>
    <row r="127" spans="6:17">
      <c r="F127" s="32">
        <v>98</v>
      </c>
      <c r="G127" s="33">
        <v>5.1053487524043588E-2</v>
      </c>
      <c r="H127" s="34">
        <v>1076.0034807617703</v>
      </c>
      <c r="I127" s="34">
        <v>21076.00348076177</v>
      </c>
      <c r="J127" s="34">
        <v>108.23846534667427</v>
      </c>
      <c r="K127" s="34">
        <v>5000</v>
      </c>
      <c r="L127" s="34">
        <v>317.57599576641587</v>
      </c>
      <c r="M127" s="34">
        <v>5000</v>
      </c>
      <c r="N127" s="34">
        <v>386.99947135989169</v>
      </c>
      <c r="O127" s="34">
        <v>5000</v>
      </c>
      <c r="P127" s="34">
        <v>263.18954828878759</v>
      </c>
      <c r="Q127" s="34">
        <v>5000</v>
      </c>
    </row>
    <row r="128" spans="6:17">
      <c r="F128" s="32">
        <v>99</v>
      </c>
      <c r="G128" s="33">
        <v>5.5072589667063208E-2</v>
      </c>
      <c r="H128" s="34">
        <v>1165.6469918183211</v>
      </c>
      <c r="I128" s="34">
        <v>21165.646991818321</v>
      </c>
      <c r="J128" s="34">
        <v>111.22147612891513</v>
      </c>
      <c r="K128" s="34">
        <v>5000</v>
      </c>
      <c r="L128" s="34">
        <v>233.24901316238083</v>
      </c>
      <c r="M128" s="34">
        <v>5000</v>
      </c>
      <c r="N128" s="34">
        <v>528.72888267331655</v>
      </c>
      <c r="O128" s="34">
        <v>5000</v>
      </c>
      <c r="P128" s="34">
        <v>292.44761985370769</v>
      </c>
      <c r="Q128" s="34">
        <v>5000</v>
      </c>
    </row>
    <row r="129" spans="6:17">
      <c r="F129" s="32">
        <v>100</v>
      </c>
      <c r="G129" s="33">
        <v>5.2592517578689942E-2</v>
      </c>
      <c r="H129" s="34">
        <v>1110.2407053885217</v>
      </c>
      <c r="I129" s="34">
        <v>21110.240705388522</v>
      </c>
      <c r="J129" s="34">
        <v>101.42697392183436</v>
      </c>
      <c r="K129" s="34">
        <v>5000</v>
      </c>
      <c r="L129" s="34">
        <v>237.95410107020871</v>
      </c>
      <c r="M129" s="34">
        <v>5000</v>
      </c>
      <c r="N129" s="34">
        <v>500.26926427495619</v>
      </c>
      <c r="O129" s="34">
        <v>5000</v>
      </c>
      <c r="P129" s="34">
        <v>270.59036612152431</v>
      </c>
      <c r="Q129" s="34">
        <v>5000</v>
      </c>
    </row>
    <row r="130" spans="6:17">
      <c r="F130" s="32">
        <v>101</v>
      </c>
      <c r="G130" s="33">
        <v>4.6053017111564662E-2</v>
      </c>
      <c r="H130" s="34">
        <v>965.52571448198796</v>
      </c>
      <c r="I130" s="34">
        <v>20965.525714481988</v>
      </c>
      <c r="J130" s="34">
        <v>107.96756142617141</v>
      </c>
      <c r="K130" s="34">
        <v>5000</v>
      </c>
      <c r="L130" s="34">
        <v>280.52708461033126</v>
      </c>
      <c r="M130" s="34">
        <v>5000</v>
      </c>
      <c r="N130" s="34">
        <v>290.00913228235459</v>
      </c>
      <c r="O130" s="34">
        <v>5000</v>
      </c>
      <c r="P130" s="34">
        <v>287.02193616313252</v>
      </c>
      <c r="Q130" s="34">
        <v>5000</v>
      </c>
    </row>
    <row r="131" spans="6:17">
      <c r="F131" s="32">
        <v>102</v>
      </c>
      <c r="G131" s="33">
        <v>5.0316203272250351E-2</v>
      </c>
      <c r="H131" s="34">
        <v>1059.6411867954557</v>
      </c>
      <c r="I131" s="34">
        <v>21059.641186795456</v>
      </c>
      <c r="J131" s="34">
        <v>116.92125129025135</v>
      </c>
      <c r="K131" s="34">
        <v>5000</v>
      </c>
      <c r="L131" s="34">
        <v>263.03364671089912</v>
      </c>
      <c r="M131" s="34">
        <v>5000</v>
      </c>
      <c r="N131" s="34">
        <v>405.25032158778868</v>
      </c>
      <c r="O131" s="34">
        <v>5000</v>
      </c>
      <c r="P131" s="34">
        <v>274.43596720651931</v>
      </c>
      <c r="Q131" s="34">
        <v>5000</v>
      </c>
    </row>
    <row r="132" spans="6:17">
      <c r="F132" s="32">
        <v>103</v>
      </c>
      <c r="G132" s="33">
        <v>4.841143588811337E-2</v>
      </c>
      <c r="H132" s="34">
        <v>1017.4867104103032</v>
      </c>
      <c r="I132" s="34">
        <v>21017.486710410303</v>
      </c>
      <c r="J132" s="34">
        <v>118.67791707342076</v>
      </c>
      <c r="K132" s="34">
        <v>5000</v>
      </c>
      <c r="L132" s="34">
        <v>269.99831544100107</v>
      </c>
      <c r="M132" s="34">
        <v>5000</v>
      </c>
      <c r="N132" s="34">
        <v>341.91700724605562</v>
      </c>
      <c r="O132" s="34">
        <v>5000</v>
      </c>
      <c r="P132" s="34">
        <v>286.89347064982576</v>
      </c>
      <c r="Q132" s="34">
        <v>5000</v>
      </c>
    </row>
    <row r="133" spans="6:17">
      <c r="F133" s="32">
        <v>104</v>
      </c>
      <c r="G133" s="33">
        <v>4.6699230045110326E-2</v>
      </c>
      <c r="H133" s="34">
        <v>979.73759209950367</v>
      </c>
      <c r="I133" s="34">
        <v>20979.737592099504</v>
      </c>
      <c r="J133" s="34">
        <v>115.8223358969708</v>
      </c>
      <c r="K133" s="34">
        <v>5000</v>
      </c>
      <c r="L133" s="34">
        <v>253.30140131159169</v>
      </c>
      <c r="M133" s="34">
        <v>5000</v>
      </c>
      <c r="N133" s="34">
        <v>310.27369776017349</v>
      </c>
      <c r="O133" s="34">
        <v>5000</v>
      </c>
      <c r="P133" s="34">
        <v>300.34015713076769</v>
      </c>
      <c r="Q133" s="34">
        <v>5000</v>
      </c>
    </row>
    <row r="134" spans="6:17">
      <c r="F134" s="32">
        <v>105</v>
      </c>
      <c r="G134" s="33">
        <v>5.5249752618464501E-2</v>
      </c>
      <c r="H134" s="34">
        <v>1169.6160497781166</v>
      </c>
      <c r="I134" s="34">
        <v>21169.616049778117</v>
      </c>
      <c r="J134" s="34">
        <v>110.45861651405448</v>
      </c>
      <c r="K134" s="34">
        <v>5000</v>
      </c>
      <c r="L134" s="34">
        <v>272.23366908925072</v>
      </c>
      <c r="M134" s="34">
        <v>5000</v>
      </c>
      <c r="N134" s="34">
        <v>507.48888043613351</v>
      </c>
      <c r="O134" s="34">
        <v>5000</v>
      </c>
      <c r="P134" s="34">
        <v>279.43488373867785</v>
      </c>
      <c r="Q134" s="34">
        <v>5000</v>
      </c>
    </row>
    <row r="135" spans="6:17">
      <c r="F135" s="32">
        <v>106</v>
      </c>
      <c r="G135" s="33">
        <v>4.8797073489390545E-2</v>
      </c>
      <c r="H135" s="34">
        <v>1026.0076399974423</v>
      </c>
      <c r="I135" s="34">
        <v>21026.007639997442</v>
      </c>
      <c r="J135" s="34">
        <v>117.15654767428168</v>
      </c>
      <c r="K135" s="34">
        <v>5000</v>
      </c>
      <c r="L135" s="34">
        <v>206.65216542697362</v>
      </c>
      <c r="M135" s="34">
        <v>5000</v>
      </c>
      <c r="N135" s="34">
        <v>430.93919581329919</v>
      </c>
      <c r="O135" s="34">
        <v>5000</v>
      </c>
      <c r="P135" s="34">
        <v>271.25973108288963</v>
      </c>
      <c r="Q135" s="34">
        <v>5000</v>
      </c>
    </row>
    <row r="136" spans="6:17">
      <c r="F136" s="32">
        <v>107</v>
      </c>
      <c r="G136" s="33">
        <v>5.5638628957723174E-2</v>
      </c>
      <c r="H136" s="34">
        <v>1178.3334359878718</v>
      </c>
      <c r="I136" s="34">
        <v>21178.333435987872</v>
      </c>
      <c r="J136" s="34">
        <v>101.48449711838657</v>
      </c>
      <c r="K136" s="34">
        <v>5000</v>
      </c>
      <c r="L136" s="34">
        <v>193.73948847973043</v>
      </c>
      <c r="M136" s="34">
        <v>5000</v>
      </c>
      <c r="N136" s="34">
        <v>603.60286985125458</v>
      </c>
      <c r="O136" s="34">
        <v>5000</v>
      </c>
      <c r="P136" s="34">
        <v>279.50658053850111</v>
      </c>
      <c r="Q136" s="34">
        <v>5000</v>
      </c>
    </row>
    <row r="137" spans="6:17">
      <c r="F137" s="32">
        <v>108</v>
      </c>
      <c r="G137" s="33">
        <v>4.5340108510558384E-2</v>
      </c>
      <c r="H137" s="34">
        <v>949.86934959254722</v>
      </c>
      <c r="I137" s="34">
        <v>20949.869349592547</v>
      </c>
      <c r="J137" s="34">
        <v>113.84098797693969</v>
      </c>
      <c r="K137" s="34">
        <v>5000</v>
      </c>
      <c r="L137" s="34">
        <v>278.41895065872995</v>
      </c>
      <c r="M137" s="34">
        <v>5000</v>
      </c>
      <c r="N137" s="34">
        <v>264.86696583473622</v>
      </c>
      <c r="O137" s="34">
        <v>5000</v>
      </c>
      <c r="P137" s="34">
        <v>292.74244512213954</v>
      </c>
      <c r="Q137" s="34">
        <v>5000</v>
      </c>
    </row>
    <row r="138" spans="6:17">
      <c r="F138" s="32">
        <v>109</v>
      </c>
      <c r="G138" s="33">
        <v>4.9808365259846145E-2</v>
      </c>
      <c r="H138" s="34">
        <v>1048.3856821885638</v>
      </c>
      <c r="I138" s="34">
        <v>21048.385682188564</v>
      </c>
      <c r="J138" s="34">
        <v>109.18137448025482</v>
      </c>
      <c r="K138" s="34">
        <v>5000</v>
      </c>
      <c r="L138" s="34">
        <v>282.51173300825576</v>
      </c>
      <c r="M138" s="34">
        <v>5000</v>
      </c>
      <c r="N138" s="34">
        <v>381.77922306635264</v>
      </c>
      <c r="O138" s="34">
        <v>5000</v>
      </c>
      <c r="P138" s="34">
        <v>274.9133516337024</v>
      </c>
      <c r="Q138" s="34">
        <v>5000</v>
      </c>
    </row>
    <row r="139" spans="6:17">
      <c r="F139" s="32">
        <v>110</v>
      </c>
      <c r="G139" s="33">
        <v>5.2115426927012855E-2</v>
      </c>
      <c r="H139" s="34">
        <v>1099.6154681167063</v>
      </c>
      <c r="I139" s="34">
        <v>21099.615468116706</v>
      </c>
      <c r="J139" s="34">
        <v>111.6760304976915</v>
      </c>
      <c r="K139" s="34">
        <v>5000</v>
      </c>
      <c r="L139" s="34">
        <v>295.47636378865809</v>
      </c>
      <c r="M139" s="34">
        <v>5000</v>
      </c>
      <c r="N139" s="34">
        <v>407.91148287381202</v>
      </c>
      <c r="O139" s="34">
        <v>5000</v>
      </c>
      <c r="P139" s="34">
        <v>284.5515909565429</v>
      </c>
      <c r="Q139" s="34">
        <v>5000</v>
      </c>
    </row>
    <row r="140" spans="6:17">
      <c r="F140" s="32">
        <v>111</v>
      </c>
      <c r="G140" s="33">
        <v>5.9660655393278091E-2</v>
      </c>
      <c r="H140" s="34">
        <v>1268.9175612072249</v>
      </c>
      <c r="I140" s="34">
        <v>21268.917561207225</v>
      </c>
      <c r="J140" s="34">
        <v>110.30177488903882</v>
      </c>
      <c r="K140" s="34">
        <v>5000</v>
      </c>
      <c r="L140" s="34">
        <v>300.19019308724182</v>
      </c>
      <c r="M140" s="34">
        <v>5000</v>
      </c>
      <c r="N140" s="34">
        <v>582.48988610147535</v>
      </c>
      <c r="O140" s="34">
        <v>5000</v>
      </c>
      <c r="P140" s="34">
        <v>275.93570712946985</v>
      </c>
      <c r="Q140" s="34">
        <v>5000</v>
      </c>
    </row>
    <row r="141" spans="6:17">
      <c r="F141" s="32">
        <v>112</v>
      </c>
      <c r="G141" s="33">
        <v>5.4941387659385423E-2</v>
      </c>
      <c r="H141" s="34">
        <v>1162.7085757847926</v>
      </c>
      <c r="I141" s="34">
        <v>21162.708575784793</v>
      </c>
      <c r="J141" s="34">
        <v>100.44291160415378</v>
      </c>
      <c r="K141" s="34">
        <v>5000</v>
      </c>
      <c r="L141" s="34">
        <v>250.5758513134133</v>
      </c>
      <c r="M141" s="34">
        <v>5000</v>
      </c>
      <c r="N141" s="34">
        <v>517.88446211848077</v>
      </c>
      <c r="O141" s="34">
        <v>5000</v>
      </c>
      <c r="P141" s="34">
        <v>293.8053507487457</v>
      </c>
      <c r="Q141" s="34">
        <v>5000</v>
      </c>
    </row>
    <row r="142" spans="6:17">
      <c r="F142" s="32">
        <v>113</v>
      </c>
      <c r="G142" s="33">
        <v>5.0603424443338582E-2</v>
      </c>
      <c r="H142" s="34">
        <v>1066.012365036564</v>
      </c>
      <c r="I142" s="34">
        <v>21066.012365036564</v>
      </c>
      <c r="J142" s="34">
        <v>120.79457868750706</v>
      </c>
      <c r="K142" s="34">
        <v>5000</v>
      </c>
      <c r="L142" s="34">
        <v>238.33625495057004</v>
      </c>
      <c r="M142" s="34">
        <v>5000</v>
      </c>
      <c r="N142" s="34">
        <v>421.42476328805242</v>
      </c>
      <c r="O142" s="34">
        <v>5000</v>
      </c>
      <c r="P142" s="34">
        <v>285.45676811043631</v>
      </c>
      <c r="Q142" s="34">
        <v>5000</v>
      </c>
    </row>
    <row r="143" spans="6:17">
      <c r="F143" s="32">
        <v>114</v>
      </c>
      <c r="G143" s="33">
        <v>5.2968457397725523E-2</v>
      </c>
      <c r="H143" s="34">
        <v>1118.6207642498921</v>
      </c>
      <c r="I143" s="34">
        <v>21118.620764249892</v>
      </c>
      <c r="J143" s="34">
        <v>115.3099065771421</v>
      </c>
      <c r="K143" s="34">
        <v>5000</v>
      </c>
      <c r="L143" s="34">
        <v>240.89553731948763</v>
      </c>
      <c r="M143" s="34">
        <v>5000</v>
      </c>
      <c r="N143" s="34">
        <v>482.09201317032512</v>
      </c>
      <c r="O143" s="34">
        <v>5000</v>
      </c>
      <c r="P143" s="34">
        <v>280.32330718293906</v>
      </c>
      <c r="Q143" s="34">
        <v>5000</v>
      </c>
    </row>
    <row r="144" spans="6:17">
      <c r="F144" s="32">
        <v>115</v>
      </c>
      <c r="G144" s="33">
        <v>4.4360865095748735E-2</v>
      </c>
      <c r="H144" s="34">
        <v>928.40201861748574</v>
      </c>
      <c r="I144" s="34">
        <v>20928.402018617486</v>
      </c>
      <c r="J144" s="34">
        <v>112.30012792619709</v>
      </c>
      <c r="K144" s="34">
        <v>5000</v>
      </c>
      <c r="L144" s="34">
        <v>254.5472295967229</v>
      </c>
      <c r="M144" s="34">
        <v>5000</v>
      </c>
      <c r="N144" s="34">
        <v>260.57301838398325</v>
      </c>
      <c r="O144" s="34">
        <v>5000</v>
      </c>
      <c r="P144" s="34">
        <v>300.9816427105834</v>
      </c>
      <c r="Q144" s="34">
        <v>5000</v>
      </c>
    </row>
    <row r="145" spans="6:17">
      <c r="F145" s="32">
        <v>116</v>
      </c>
      <c r="G145" s="33">
        <v>5.2223617549859498E-2</v>
      </c>
      <c r="H145" s="34">
        <v>1102.0240326068015</v>
      </c>
      <c r="I145" s="34">
        <v>21102.024032606801</v>
      </c>
      <c r="J145" s="34">
        <v>120.4944263095349</v>
      </c>
      <c r="K145" s="34">
        <v>5000</v>
      </c>
      <c r="L145" s="34">
        <v>281.76257561163584</v>
      </c>
      <c r="M145" s="34">
        <v>5000</v>
      </c>
      <c r="N145" s="34">
        <v>423.94994909561137</v>
      </c>
      <c r="O145" s="34">
        <v>5000</v>
      </c>
      <c r="P145" s="34">
        <v>275.81708159001937</v>
      </c>
      <c r="Q145" s="34">
        <v>5000</v>
      </c>
    </row>
    <row r="146" spans="6:17">
      <c r="F146" s="32">
        <v>117</v>
      </c>
      <c r="G146" s="33">
        <v>5.0735658127240672E-2</v>
      </c>
      <c r="H146" s="34">
        <v>1068.9468863256079</v>
      </c>
      <c r="I146" s="34">
        <v>21068.946886325608</v>
      </c>
      <c r="J146" s="34">
        <v>116.09246922988405</v>
      </c>
      <c r="K146" s="34">
        <v>5000</v>
      </c>
      <c r="L146" s="34">
        <v>282.18887731847371</v>
      </c>
      <c r="M146" s="34">
        <v>5000</v>
      </c>
      <c r="N146" s="34">
        <v>370.02917754681494</v>
      </c>
      <c r="O146" s="34">
        <v>5000</v>
      </c>
      <c r="P146" s="34">
        <v>300.63636223043432</v>
      </c>
      <c r="Q146" s="34">
        <v>5000</v>
      </c>
    </row>
    <row r="147" spans="6:17">
      <c r="F147" s="32">
        <v>118</v>
      </c>
      <c r="G147" s="33">
        <v>4.8683372552611265E-2</v>
      </c>
      <c r="H147" s="34">
        <v>1023.4946209915506</v>
      </c>
      <c r="I147" s="34">
        <v>21023.494620991551</v>
      </c>
      <c r="J147" s="34">
        <v>120.54444667915868</v>
      </c>
      <c r="K147" s="34">
        <v>5000</v>
      </c>
      <c r="L147" s="34">
        <v>272.92289376272038</v>
      </c>
      <c r="M147" s="34">
        <v>5000</v>
      </c>
      <c r="N147" s="34">
        <v>349.20862825914173</v>
      </c>
      <c r="O147" s="34">
        <v>5000</v>
      </c>
      <c r="P147" s="34">
        <v>280.81865229053074</v>
      </c>
      <c r="Q147" s="34">
        <v>5000</v>
      </c>
    </row>
    <row r="148" spans="6:17">
      <c r="F148" s="32">
        <v>119</v>
      </c>
      <c r="G148" s="33">
        <v>4.7665442951786527E-2</v>
      </c>
      <c r="H148" s="34">
        <v>1001.0230669256998</v>
      </c>
      <c r="I148" s="34">
        <v>21001.0230669257</v>
      </c>
      <c r="J148" s="34">
        <v>115.15122002649696</v>
      </c>
      <c r="K148" s="34">
        <v>5000</v>
      </c>
      <c r="L148" s="34">
        <v>305.12276860707607</v>
      </c>
      <c r="M148" s="34">
        <v>5000</v>
      </c>
      <c r="N148" s="34">
        <v>283.40241164852796</v>
      </c>
      <c r="O148" s="34">
        <v>5000</v>
      </c>
      <c r="P148" s="34">
        <v>297.34666664359793</v>
      </c>
      <c r="Q148" s="34">
        <v>5000</v>
      </c>
    </row>
    <row r="149" spans="6:17">
      <c r="F149" s="32">
        <v>120</v>
      </c>
      <c r="G149" s="33">
        <v>4.7181092990882627E-2</v>
      </c>
      <c r="H149" s="34">
        <v>990.34753915585679</v>
      </c>
      <c r="I149" s="34">
        <v>20990.347539155857</v>
      </c>
      <c r="J149" s="34">
        <v>103.55712450287228</v>
      </c>
      <c r="K149" s="34">
        <v>5000</v>
      </c>
      <c r="L149" s="34">
        <v>240.53424761512906</v>
      </c>
      <c r="M149" s="34">
        <v>5000</v>
      </c>
      <c r="N149" s="34">
        <v>348.69691322789731</v>
      </c>
      <c r="O149" s="34">
        <v>5000</v>
      </c>
      <c r="P149" s="34">
        <v>297.55925380995814</v>
      </c>
      <c r="Q149" s="34">
        <v>5000</v>
      </c>
    </row>
    <row r="150" spans="6:17">
      <c r="F150" s="32">
        <v>121</v>
      </c>
      <c r="G150" s="33">
        <v>4.5850571638024945E-2</v>
      </c>
      <c r="H150" s="34">
        <v>961.07738002292535</v>
      </c>
      <c r="I150" s="34">
        <v>20961.077380022925</v>
      </c>
      <c r="J150" s="34">
        <v>106.74207076270886</v>
      </c>
      <c r="K150" s="34">
        <v>5000</v>
      </c>
      <c r="L150" s="34">
        <v>224.36151910959597</v>
      </c>
      <c r="M150" s="34">
        <v>5000</v>
      </c>
      <c r="N150" s="34">
        <v>371.10430872630513</v>
      </c>
      <c r="O150" s="34">
        <v>5000</v>
      </c>
      <c r="P150" s="34">
        <v>258.86948142431265</v>
      </c>
      <c r="Q150" s="34">
        <v>5000</v>
      </c>
    </row>
    <row r="151" spans="6:17">
      <c r="F151" s="32">
        <v>122</v>
      </c>
      <c r="G151" s="33">
        <v>5.3099404230178053E-2</v>
      </c>
      <c r="H151" s="34">
        <v>1121.5412571793495</v>
      </c>
      <c r="I151" s="34">
        <v>21121.541257179349</v>
      </c>
      <c r="J151" s="34">
        <v>106.07746699542258</v>
      </c>
      <c r="K151" s="34">
        <v>5000</v>
      </c>
      <c r="L151" s="34">
        <v>309.23591231384398</v>
      </c>
      <c r="M151" s="34">
        <v>5000</v>
      </c>
      <c r="N151" s="34">
        <v>417.1549641741376</v>
      </c>
      <c r="O151" s="34">
        <v>5000</v>
      </c>
      <c r="P151" s="34">
        <v>289.07291369594623</v>
      </c>
      <c r="Q151" s="34">
        <v>5000</v>
      </c>
    </row>
    <row r="152" spans="6:17">
      <c r="F152" s="32">
        <v>123</v>
      </c>
      <c r="G152" s="33">
        <v>4.3090010893394454E-2</v>
      </c>
      <c r="H152" s="34">
        <v>900.60740056908253</v>
      </c>
      <c r="I152" s="34">
        <v>20900.607400569083</v>
      </c>
      <c r="J152" s="34">
        <v>110.25890865580368</v>
      </c>
      <c r="K152" s="34">
        <v>5000</v>
      </c>
      <c r="L152" s="34">
        <v>192.89768906179324</v>
      </c>
      <c r="M152" s="34">
        <v>5000</v>
      </c>
      <c r="N152" s="34">
        <v>332.94492104312212</v>
      </c>
      <c r="O152" s="34">
        <v>5000</v>
      </c>
      <c r="P152" s="34">
        <v>264.50588180836439</v>
      </c>
      <c r="Q152" s="34">
        <v>5000</v>
      </c>
    </row>
    <row r="153" spans="6:17">
      <c r="F153" s="32">
        <v>124</v>
      </c>
      <c r="G153" s="33">
        <v>5.0524602223242371E-2</v>
      </c>
      <c r="H153" s="34">
        <v>1064.2635362969522</v>
      </c>
      <c r="I153" s="34">
        <v>21064.263536296952</v>
      </c>
      <c r="J153" s="34">
        <v>112.77817696979673</v>
      </c>
      <c r="K153" s="34">
        <v>5000</v>
      </c>
      <c r="L153" s="34">
        <v>207.84283004187</v>
      </c>
      <c r="M153" s="34">
        <v>5000</v>
      </c>
      <c r="N153" s="34">
        <v>466.11405136645953</v>
      </c>
      <c r="O153" s="34">
        <v>5000</v>
      </c>
      <c r="P153" s="34">
        <v>277.52847791882596</v>
      </c>
      <c r="Q153" s="34">
        <v>5000</v>
      </c>
    </row>
    <row r="154" spans="6:17">
      <c r="F154" s="32">
        <v>125</v>
      </c>
      <c r="G154" s="33">
        <v>5.1161536780961428E-2</v>
      </c>
      <c r="H154" s="34">
        <v>1078.4035168091796</v>
      </c>
      <c r="I154" s="34">
        <v>21078.40351680918</v>
      </c>
      <c r="J154" s="34">
        <v>106.41716321521108</v>
      </c>
      <c r="K154" s="34">
        <v>5000</v>
      </c>
      <c r="L154" s="34">
        <v>230.57954759826498</v>
      </c>
      <c r="M154" s="34">
        <v>5000</v>
      </c>
      <c r="N154" s="34">
        <v>453.55310211171309</v>
      </c>
      <c r="O154" s="34">
        <v>5000</v>
      </c>
      <c r="P154" s="34">
        <v>287.85370388398951</v>
      </c>
      <c r="Q154" s="34">
        <v>5000</v>
      </c>
    </row>
    <row r="155" spans="6:17">
      <c r="F155" s="32">
        <v>126</v>
      </c>
      <c r="G155" s="33">
        <v>4.9329723681992441E-2</v>
      </c>
      <c r="H155" s="34">
        <v>1037.788282874455</v>
      </c>
      <c r="I155" s="34">
        <v>21037.788282874455</v>
      </c>
      <c r="J155" s="34">
        <v>113.13211721270454</v>
      </c>
      <c r="K155" s="34">
        <v>5000</v>
      </c>
      <c r="L155" s="34">
        <v>252.92971222795677</v>
      </c>
      <c r="M155" s="34">
        <v>5000</v>
      </c>
      <c r="N155" s="34">
        <v>386.52648494855748</v>
      </c>
      <c r="O155" s="34">
        <v>5000</v>
      </c>
      <c r="P155" s="34">
        <v>285.19996848523806</v>
      </c>
      <c r="Q155" s="34">
        <v>5000</v>
      </c>
    </row>
    <row r="156" spans="6:17">
      <c r="F156" s="32">
        <v>127</v>
      </c>
      <c r="G156" s="33">
        <v>5.3908823585403311E-2</v>
      </c>
      <c r="H156" s="34">
        <v>1139.6115919757685</v>
      </c>
      <c r="I156" s="34">
        <v>21139.611591975769</v>
      </c>
      <c r="J156" s="34">
        <v>111.55037180036561</v>
      </c>
      <c r="K156" s="34">
        <v>5000</v>
      </c>
      <c r="L156" s="34">
        <v>209.6322945858883</v>
      </c>
      <c r="M156" s="34">
        <v>5000</v>
      </c>
      <c r="N156" s="34">
        <v>544.33584369235723</v>
      </c>
      <c r="O156" s="34">
        <v>5000</v>
      </c>
      <c r="P156" s="34">
        <v>274.09308189715739</v>
      </c>
      <c r="Q156" s="34">
        <v>5000</v>
      </c>
    </row>
    <row r="157" spans="6:17">
      <c r="F157" s="32">
        <v>128</v>
      </c>
      <c r="G157" s="33">
        <v>5.1368108167341227E-2</v>
      </c>
      <c r="H157" s="34">
        <v>1082.9934900903099</v>
      </c>
      <c r="I157" s="34">
        <v>21082.99349009031</v>
      </c>
      <c r="J157" s="34">
        <v>116.90745704299843</v>
      </c>
      <c r="K157" s="34">
        <v>5000</v>
      </c>
      <c r="L157" s="34">
        <v>281.65384144734708</v>
      </c>
      <c r="M157" s="34">
        <v>5000</v>
      </c>
      <c r="N157" s="34">
        <v>399.004392266369</v>
      </c>
      <c r="O157" s="34">
        <v>5000</v>
      </c>
      <c r="P157" s="34">
        <v>285.42779933359634</v>
      </c>
      <c r="Q157" s="34">
        <v>5000</v>
      </c>
    </row>
    <row r="158" spans="6:17">
      <c r="F158" s="32">
        <v>129</v>
      </c>
      <c r="G158" s="33">
        <v>5.2269013913450596E-2</v>
      </c>
      <c r="H158" s="34">
        <v>1103.0348206569506</v>
      </c>
      <c r="I158" s="34">
        <v>21103.034820656951</v>
      </c>
      <c r="J158" s="34">
        <v>97.917126732882025</v>
      </c>
      <c r="K158" s="34">
        <v>5000</v>
      </c>
      <c r="L158" s="34">
        <v>264.31177374446179</v>
      </c>
      <c r="M158" s="34">
        <v>5000</v>
      </c>
      <c r="N158" s="34">
        <v>447.17574549996516</v>
      </c>
      <c r="O158" s="34">
        <v>5000</v>
      </c>
      <c r="P158" s="34">
        <v>293.63017467964073</v>
      </c>
      <c r="Q158" s="34">
        <v>5000</v>
      </c>
    </row>
    <row r="159" spans="6:17">
      <c r="F159" s="32">
        <v>130</v>
      </c>
      <c r="G159" s="33">
        <v>5.4006643742445896E-2</v>
      </c>
      <c r="H159" s="34">
        <v>1141.7975271222131</v>
      </c>
      <c r="I159" s="34">
        <v>21141.797527122213</v>
      </c>
      <c r="J159" s="34">
        <v>115.91059694541764</v>
      </c>
      <c r="K159" s="34">
        <v>5000</v>
      </c>
      <c r="L159" s="34">
        <v>264.33541899541706</v>
      </c>
      <c r="M159" s="34">
        <v>5000</v>
      </c>
      <c r="N159" s="34">
        <v>475.13792619300602</v>
      </c>
      <c r="O159" s="34">
        <v>5000</v>
      </c>
      <c r="P159" s="34">
        <v>286.41358498837053</v>
      </c>
      <c r="Q159" s="34">
        <v>5000</v>
      </c>
    </row>
    <row r="160" spans="6:17">
      <c r="F160" s="32">
        <v>131</v>
      </c>
      <c r="G160" s="33">
        <v>5.5613824169203761E-2</v>
      </c>
      <c r="H160" s="34">
        <v>1177.7771761701006</v>
      </c>
      <c r="I160" s="34">
        <v>21177.777176170101</v>
      </c>
      <c r="J160" s="34">
        <v>119.27801540171367</v>
      </c>
      <c r="K160" s="34">
        <v>5000</v>
      </c>
      <c r="L160" s="34">
        <v>287.24471429044934</v>
      </c>
      <c r="M160" s="34">
        <v>5000</v>
      </c>
      <c r="N160" s="34">
        <v>475.75326772034896</v>
      </c>
      <c r="O160" s="34">
        <v>5000</v>
      </c>
      <c r="P160" s="34">
        <v>295.5011787575886</v>
      </c>
      <c r="Q160" s="34">
        <v>5000</v>
      </c>
    </row>
    <row r="161" spans="6:17">
      <c r="F161" s="32">
        <v>132</v>
      </c>
      <c r="G161" s="33">
        <v>4.6957893484043098E-2</v>
      </c>
      <c r="H161" s="34">
        <v>985.43166483393725</v>
      </c>
      <c r="I161" s="34">
        <v>20985.431664833937</v>
      </c>
      <c r="J161" s="34">
        <v>109.89780135622277</v>
      </c>
      <c r="K161" s="34">
        <v>5000</v>
      </c>
      <c r="L161" s="34">
        <v>258.30441872025131</v>
      </c>
      <c r="M161" s="34">
        <v>5000</v>
      </c>
      <c r="N161" s="34">
        <v>334.07813608848937</v>
      </c>
      <c r="O161" s="34">
        <v>5000</v>
      </c>
      <c r="P161" s="34">
        <v>283.15130866897289</v>
      </c>
      <c r="Q161" s="34">
        <v>5000</v>
      </c>
    </row>
    <row r="162" spans="6:17">
      <c r="F162" s="32">
        <v>133</v>
      </c>
      <c r="G162" s="33">
        <v>4.960147020296897E-2</v>
      </c>
      <c r="H162" s="34">
        <v>1043.8035970775745</v>
      </c>
      <c r="I162" s="34">
        <v>21043.803597077575</v>
      </c>
      <c r="J162" s="34">
        <v>119.77765368692963</v>
      </c>
      <c r="K162" s="34">
        <v>5000</v>
      </c>
      <c r="L162" s="34">
        <v>247.39001980427747</v>
      </c>
      <c r="M162" s="34">
        <v>5000</v>
      </c>
      <c r="N162" s="34">
        <v>385.11277252178661</v>
      </c>
      <c r="O162" s="34">
        <v>5000</v>
      </c>
      <c r="P162" s="34">
        <v>291.52315106458173</v>
      </c>
      <c r="Q162" s="34">
        <v>5000</v>
      </c>
    </row>
    <row r="163" spans="6:17">
      <c r="F163" s="32">
        <v>134</v>
      </c>
      <c r="G163" s="33">
        <v>4.5527065667056325E-2</v>
      </c>
      <c r="H163" s="34">
        <v>953.97290021375011</v>
      </c>
      <c r="I163" s="34">
        <v>20953.97290021375</v>
      </c>
      <c r="J163" s="34">
        <v>110.21808690434227</v>
      </c>
      <c r="K163" s="34">
        <v>5000</v>
      </c>
      <c r="L163" s="34">
        <v>227.19814191956812</v>
      </c>
      <c r="M163" s="34">
        <v>5000</v>
      </c>
      <c r="N163" s="34">
        <v>344.0753862972615</v>
      </c>
      <c r="O163" s="34">
        <v>5000</v>
      </c>
      <c r="P163" s="34">
        <v>272.48128509257822</v>
      </c>
      <c r="Q163" s="34">
        <v>5000</v>
      </c>
    </row>
    <row r="164" spans="6:17">
      <c r="F164" s="32">
        <v>135</v>
      </c>
      <c r="G164" s="33">
        <v>5.7549628993025341E-2</v>
      </c>
      <c r="H164" s="34">
        <v>1221.2765947884473</v>
      </c>
      <c r="I164" s="34">
        <v>21221.276594788447</v>
      </c>
      <c r="J164" s="34">
        <v>114.61655786161009</v>
      </c>
      <c r="K164" s="34">
        <v>5000</v>
      </c>
      <c r="L164" s="34">
        <v>279.82601240278927</v>
      </c>
      <c r="M164" s="34">
        <v>5000</v>
      </c>
      <c r="N164" s="34">
        <v>561.89625061154766</v>
      </c>
      <c r="O164" s="34">
        <v>5000</v>
      </c>
      <c r="P164" s="34">
        <v>264.93777391250023</v>
      </c>
      <c r="Q164" s="34">
        <v>5000</v>
      </c>
    </row>
    <row r="165" spans="6:17">
      <c r="F165" s="32">
        <v>136</v>
      </c>
      <c r="G165" s="33">
        <v>4.9214186278916654E-2</v>
      </c>
      <c r="H165" s="34">
        <v>1035.2318170652434</v>
      </c>
      <c r="I165" s="34">
        <v>21035.231817065243</v>
      </c>
      <c r="J165" s="34">
        <v>119.87629573348022</v>
      </c>
      <c r="K165" s="34">
        <v>5000</v>
      </c>
      <c r="L165" s="34">
        <v>257.22429688737793</v>
      </c>
      <c r="M165" s="34">
        <v>5000</v>
      </c>
      <c r="N165" s="34">
        <v>389.7998162578333</v>
      </c>
      <c r="O165" s="34">
        <v>5000</v>
      </c>
      <c r="P165" s="34">
        <v>268.33140818655011</v>
      </c>
      <c r="Q165" s="34">
        <v>5000</v>
      </c>
    </row>
    <row r="166" spans="6:17">
      <c r="F166" s="32">
        <v>137</v>
      </c>
      <c r="G166" s="33">
        <v>5.4837361304502029E-2</v>
      </c>
      <c r="H166" s="34">
        <v>1160.3793687864745</v>
      </c>
      <c r="I166" s="34">
        <v>21160.379368786475</v>
      </c>
      <c r="J166" s="34">
        <v>113.08222604295224</v>
      </c>
      <c r="K166" s="34">
        <v>5000</v>
      </c>
      <c r="L166" s="34">
        <v>277.92910122508783</v>
      </c>
      <c r="M166" s="34">
        <v>5000</v>
      </c>
      <c r="N166" s="34">
        <v>483.73070998343246</v>
      </c>
      <c r="O166" s="34">
        <v>5000</v>
      </c>
      <c r="P166" s="34">
        <v>285.63733153500198</v>
      </c>
      <c r="Q166" s="34">
        <v>5000</v>
      </c>
    </row>
    <row r="167" spans="6:17">
      <c r="F167" s="32">
        <v>138</v>
      </c>
      <c r="G167" s="33">
        <v>5.5044827759691842E-2</v>
      </c>
      <c r="H167" s="34">
        <v>1165.0251647216464</v>
      </c>
      <c r="I167" s="34">
        <v>21165.025164721646</v>
      </c>
      <c r="J167" s="34">
        <v>116.50643075863354</v>
      </c>
      <c r="K167" s="34">
        <v>5000</v>
      </c>
      <c r="L167" s="34">
        <v>233.2629197735514</v>
      </c>
      <c r="M167" s="34">
        <v>5000</v>
      </c>
      <c r="N167" s="34">
        <v>544.77113694226318</v>
      </c>
      <c r="O167" s="34">
        <v>5000</v>
      </c>
      <c r="P167" s="34">
        <v>270.48467724719831</v>
      </c>
      <c r="Q167" s="34">
        <v>5000</v>
      </c>
    </row>
    <row r="168" spans="6:17">
      <c r="F168" s="32">
        <v>139</v>
      </c>
      <c r="G168" s="33">
        <v>5.012586987146285E-2</v>
      </c>
      <c r="H168" s="34">
        <v>1055.4213086039053</v>
      </c>
      <c r="I168" s="34">
        <v>21055.421308603905</v>
      </c>
      <c r="J168" s="34">
        <v>117.67855241134657</v>
      </c>
      <c r="K168" s="34">
        <v>5000</v>
      </c>
      <c r="L168" s="34">
        <v>286.84011912539336</v>
      </c>
      <c r="M168" s="34">
        <v>5000</v>
      </c>
      <c r="N168" s="34">
        <v>375.54875132701181</v>
      </c>
      <c r="O168" s="34">
        <v>5000</v>
      </c>
      <c r="P168" s="34">
        <v>275.3538857401536</v>
      </c>
      <c r="Q168" s="34">
        <v>5000</v>
      </c>
    </row>
    <row r="169" spans="6:17">
      <c r="F169" s="32">
        <v>140</v>
      </c>
      <c r="G169" s="33">
        <v>4.6988721459263381E-2</v>
      </c>
      <c r="H169" s="34">
        <v>986.11050083715963</v>
      </c>
      <c r="I169" s="34">
        <v>20986.11050083716</v>
      </c>
      <c r="J169" s="34">
        <v>118.90981057723366</v>
      </c>
      <c r="K169" s="34">
        <v>5000</v>
      </c>
      <c r="L169" s="34">
        <v>208.54879901003824</v>
      </c>
      <c r="M169" s="34">
        <v>5000</v>
      </c>
      <c r="N169" s="34">
        <v>370.09914171265245</v>
      </c>
      <c r="O169" s="34">
        <v>5000</v>
      </c>
      <c r="P169" s="34">
        <v>288.55274953723165</v>
      </c>
      <c r="Q169" s="34">
        <v>5000</v>
      </c>
    </row>
    <row r="170" spans="6:17">
      <c r="F170" s="32">
        <v>141</v>
      </c>
      <c r="G170" s="33">
        <v>4.3577703775507869E-2</v>
      </c>
      <c r="H170" s="34">
        <v>911.2649077197857</v>
      </c>
      <c r="I170" s="34">
        <v>20911.264907719786</v>
      </c>
      <c r="J170" s="34">
        <v>110.0721256244733</v>
      </c>
      <c r="K170" s="34">
        <v>5000</v>
      </c>
      <c r="L170" s="34">
        <v>228.26976861868116</v>
      </c>
      <c r="M170" s="34">
        <v>5000</v>
      </c>
      <c r="N170" s="34">
        <v>296.59633092086642</v>
      </c>
      <c r="O170" s="34">
        <v>5000</v>
      </c>
      <c r="P170" s="34">
        <v>276.32668255576573</v>
      </c>
      <c r="Q170" s="34">
        <v>5000</v>
      </c>
    </row>
    <row r="171" spans="6:17">
      <c r="F171" s="32">
        <v>142</v>
      </c>
      <c r="G171" s="33">
        <v>4.7821461130865363E-2</v>
      </c>
      <c r="H171" s="34">
        <v>1004.4641667236283</v>
      </c>
      <c r="I171" s="34">
        <v>21004.464166723628</v>
      </c>
      <c r="J171" s="34">
        <v>107.81431340770632</v>
      </c>
      <c r="K171" s="34">
        <v>5000</v>
      </c>
      <c r="L171" s="34">
        <v>210.91576861873364</v>
      </c>
      <c r="M171" s="34">
        <v>5000</v>
      </c>
      <c r="N171" s="34">
        <v>402.09180414837374</v>
      </c>
      <c r="O171" s="34">
        <v>5000</v>
      </c>
      <c r="P171" s="34">
        <v>283.64228054881642</v>
      </c>
      <c r="Q171" s="34">
        <v>5000</v>
      </c>
    </row>
    <row r="172" spans="6:17">
      <c r="F172" s="32">
        <v>143</v>
      </c>
      <c r="G172" s="33">
        <v>5.8730663466828932E-2</v>
      </c>
      <c r="H172" s="34">
        <v>1247.9034679519536</v>
      </c>
      <c r="I172" s="34">
        <v>21247.903467951954</v>
      </c>
      <c r="J172" s="34">
        <v>114.16021158111198</v>
      </c>
      <c r="K172" s="34">
        <v>5000</v>
      </c>
      <c r="L172" s="34">
        <v>304.76778959642616</v>
      </c>
      <c r="M172" s="34">
        <v>5000</v>
      </c>
      <c r="N172" s="34">
        <v>547.00733561656762</v>
      </c>
      <c r="O172" s="34">
        <v>5000</v>
      </c>
      <c r="P172" s="34">
        <v>281.96813115784789</v>
      </c>
      <c r="Q172" s="34">
        <v>5000</v>
      </c>
    </row>
    <row r="173" spans="6:17">
      <c r="F173" s="32">
        <v>144</v>
      </c>
      <c r="G173" s="33">
        <v>4.7124691763739179E-2</v>
      </c>
      <c r="H173" s="34">
        <v>989.10510864145181</v>
      </c>
      <c r="I173" s="34">
        <v>20989.105108641452</v>
      </c>
      <c r="J173" s="34">
        <v>110.29737478970219</v>
      </c>
      <c r="K173" s="34">
        <v>5000</v>
      </c>
      <c r="L173" s="34">
        <v>225.59545410081228</v>
      </c>
      <c r="M173" s="34">
        <v>5000</v>
      </c>
      <c r="N173" s="34">
        <v>366.0312527435799</v>
      </c>
      <c r="O173" s="34">
        <v>5000</v>
      </c>
      <c r="P173" s="34">
        <v>287.18102700735653</v>
      </c>
      <c r="Q173" s="34">
        <v>5000</v>
      </c>
    </row>
    <row r="174" spans="6:17">
      <c r="F174" s="32">
        <v>145</v>
      </c>
      <c r="G174" s="33">
        <v>5.3823119708113064E-2</v>
      </c>
      <c r="H174" s="34">
        <v>1137.6967843794519</v>
      </c>
      <c r="I174" s="34">
        <v>21137.696784379452</v>
      </c>
      <c r="J174" s="34">
        <v>114.7205160832691</v>
      </c>
      <c r="K174" s="34">
        <v>5000</v>
      </c>
      <c r="L174" s="34">
        <v>232.63769132440575</v>
      </c>
      <c r="M174" s="34">
        <v>5000</v>
      </c>
      <c r="N174" s="34">
        <v>498.19254523323161</v>
      </c>
      <c r="O174" s="34">
        <v>5000</v>
      </c>
      <c r="P174" s="34">
        <v>292.1460317385463</v>
      </c>
      <c r="Q174" s="34">
        <v>5000</v>
      </c>
    </row>
    <row r="175" spans="6:17">
      <c r="F175" s="32">
        <v>146</v>
      </c>
      <c r="G175" s="33">
        <v>5.1020811804825504E-2</v>
      </c>
      <c r="H175" s="34">
        <v>1075.2777814202636</v>
      </c>
      <c r="I175" s="34">
        <v>21075.277781420264</v>
      </c>
      <c r="J175" s="34">
        <v>116.63841932036121</v>
      </c>
      <c r="K175" s="34">
        <v>5000</v>
      </c>
      <c r="L175" s="34">
        <v>201.64977962155808</v>
      </c>
      <c r="M175" s="34">
        <v>5000</v>
      </c>
      <c r="N175" s="34">
        <v>484.96447434536003</v>
      </c>
      <c r="O175" s="34">
        <v>5000</v>
      </c>
      <c r="P175" s="34">
        <v>272.02510813298613</v>
      </c>
      <c r="Q175" s="34">
        <v>5000</v>
      </c>
    </row>
    <row r="176" spans="6:17">
      <c r="F176" s="32">
        <v>147</v>
      </c>
      <c r="G176" s="33">
        <v>5.3110904816758918E-2</v>
      </c>
      <c r="H176" s="34">
        <v>1121.7977920947742</v>
      </c>
      <c r="I176" s="34">
        <v>21121.797792094774</v>
      </c>
      <c r="J176" s="34">
        <v>106.46523075107689</v>
      </c>
      <c r="K176" s="34">
        <v>5000</v>
      </c>
      <c r="L176" s="34">
        <v>292.55760437830395</v>
      </c>
      <c r="M176" s="34">
        <v>5000</v>
      </c>
      <c r="N176" s="34">
        <v>446.96655550432297</v>
      </c>
      <c r="O176" s="34">
        <v>5000</v>
      </c>
      <c r="P176" s="34">
        <v>275.80840146107221</v>
      </c>
      <c r="Q176" s="34">
        <v>5000</v>
      </c>
    </row>
    <row r="177" spans="6:17">
      <c r="F177" s="32">
        <v>148</v>
      </c>
      <c r="G177" s="33">
        <v>5.2690545802074162E-2</v>
      </c>
      <c r="H177" s="34">
        <v>1112.42520738245</v>
      </c>
      <c r="I177" s="34">
        <v>21112.42520738245</v>
      </c>
      <c r="J177" s="34">
        <v>110.85985184903802</v>
      </c>
      <c r="K177" s="34">
        <v>5000</v>
      </c>
      <c r="L177" s="34">
        <v>257.41781995951169</v>
      </c>
      <c r="M177" s="34">
        <v>5000</v>
      </c>
      <c r="N177" s="34">
        <v>447.13587040945913</v>
      </c>
      <c r="O177" s="34">
        <v>5000</v>
      </c>
      <c r="P177" s="34">
        <v>297.011665164443</v>
      </c>
      <c r="Q177" s="34">
        <v>5000</v>
      </c>
    </row>
    <row r="178" spans="6:17">
      <c r="F178" s="32">
        <v>149</v>
      </c>
      <c r="G178" s="33">
        <v>5.9693955765552545E-2</v>
      </c>
      <c r="H178" s="34">
        <v>1269.6707871138387</v>
      </c>
      <c r="I178" s="34">
        <v>21269.670787113839</v>
      </c>
      <c r="J178" s="34">
        <v>102.86407815026814</v>
      </c>
      <c r="K178" s="34">
        <v>5000</v>
      </c>
      <c r="L178" s="34">
        <v>307.26496168325684</v>
      </c>
      <c r="M178" s="34">
        <v>5000</v>
      </c>
      <c r="N178" s="34">
        <v>572.77031738847018</v>
      </c>
      <c r="O178" s="34">
        <v>5000</v>
      </c>
      <c r="P178" s="34">
        <v>286.77142989184267</v>
      </c>
      <c r="Q178" s="34">
        <v>5000</v>
      </c>
    </row>
    <row r="179" spans="6:17">
      <c r="F179" s="32">
        <v>150</v>
      </c>
      <c r="G179" s="33">
        <v>5.2191867247739707E-2</v>
      </c>
      <c r="H179" s="34">
        <v>1101.3171430843104</v>
      </c>
      <c r="I179" s="34">
        <v>21101.31714308431</v>
      </c>
      <c r="J179" s="34">
        <v>110.42411286273637</v>
      </c>
      <c r="K179" s="34">
        <v>5000</v>
      </c>
      <c r="L179" s="34">
        <v>304.82552067003417</v>
      </c>
      <c r="M179" s="34">
        <v>5000</v>
      </c>
      <c r="N179" s="34">
        <v>377.64894047950929</v>
      </c>
      <c r="O179" s="34">
        <v>5000</v>
      </c>
      <c r="P179" s="34">
        <v>308.41856907202873</v>
      </c>
      <c r="Q179" s="34">
        <v>5000</v>
      </c>
    </row>
    <row r="180" spans="6:17">
      <c r="F180" s="32">
        <v>151</v>
      </c>
      <c r="G180" s="33">
        <v>5.0121846888593502E-2</v>
      </c>
      <c r="H180" s="34">
        <v>1055.3321333776366</v>
      </c>
      <c r="I180" s="34">
        <v>21055.332133377637</v>
      </c>
      <c r="J180" s="34">
        <v>116.67602607237041</v>
      </c>
      <c r="K180" s="34">
        <v>5000</v>
      </c>
      <c r="L180" s="34">
        <v>256.05881734994182</v>
      </c>
      <c r="M180" s="34">
        <v>5000</v>
      </c>
      <c r="N180" s="34">
        <v>408.06316991169206</v>
      </c>
      <c r="O180" s="34">
        <v>5000</v>
      </c>
      <c r="P180" s="34">
        <v>274.53412004363145</v>
      </c>
      <c r="Q180" s="34">
        <v>5000</v>
      </c>
    </row>
    <row r="181" spans="6:17">
      <c r="F181" s="32">
        <v>152</v>
      </c>
      <c r="G181" s="33">
        <v>4.8266763305201403E-2</v>
      </c>
      <c r="H181" s="34">
        <v>1014.2918507884278</v>
      </c>
      <c r="I181" s="34">
        <v>21014.291850788428</v>
      </c>
      <c r="J181" s="34">
        <v>116.57427374938197</v>
      </c>
      <c r="K181" s="34">
        <v>5000</v>
      </c>
      <c r="L181" s="34">
        <v>231.90564109775642</v>
      </c>
      <c r="M181" s="34">
        <v>5000</v>
      </c>
      <c r="N181" s="34">
        <v>384.58775302346021</v>
      </c>
      <c r="O181" s="34">
        <v>5000</v>
      </c>
      <c r="P181" s="34">
        <v>281.22418291782833</v>
      </c>
      <c r="Q181" s="34">
        <v>5000</v>
      </c>
    </row>
    <row r="182" spans="6:17">
      <c r="F182" s="32">
        <v>153</v>
      </c>
      <c r="G182" s="33">
        <v>5.4119237907961554E-2</v>
      </c>
      <c r="H182" s="34">
        <v>1144.3141689078038</v>
      </c>
      <c r="I182" s="34">
        <v>21144.314168907804</v>
      </c>
      <c r="J182" s="34">
        <v>126.42096895388931</v>
      </c>
      <c r="K182" s="34">
        <v>5000</v>
      </c>
      <c r="L182" s="34">
        <v>251.44935342555527</v>
      </c>
      <c r="M182" s="34">
        <v>5000</v>
      </c>
      <c r="N182" s="34">
        <v>491.05683017556021</v>
      </c>
      <c r="O182" s="34">
        <v>5000</v>
      </c>
      <c r="P182" s="34">
        <v>275.38701635280177</v>
      </c>
      <c r="Q182" s="34">
        <v>5000</v>
      </c>
    </row>
    <row r="183" spans="6:17">
      <c r="F183" s="32">
        <v>154</v>
      </c>
      <c r="G183" s="33">
        <v>4.7779183610183865E-2</v>
      </c>
      <c r="H183" s="34">
        <v>1003.5315924163588</v>
      </c>
      <c r="I183" s="34">
        <v>21003.531592416359</v>
      </c>
      <c r="J183" s="34">
        <v>98.342619579817438</v>
      </c>
      <c r="K183" s="34">
        <v>5000</v>
      </c>
      <c r="L183" s="34">
        <v>215.37238161511414</v>
      </c>
      <c r="M183" s="34">
        <v>5000</v>
      </c>
      <c r="N183" s="34">
        <v>404.02974481061119</v>
      </c>
      <c r="O183" s="34">
        <v>5000</v>
      </c>
      <c r="P183" s="34">
        <v>285.786846410816</v>
      </c>
      <c r="Q183" s="34">
        <v>5000</v>
      </c>
    </row>
    <row r="184" spans="6:17">
      <c r="F184" s="32">
        <v>155</v>
      </c>
      <c r="G184" s="33">
        <v>5.0053512125968931E-2</v>
      </c>
      <c r="H184" s="34">
        <v>1053.8175100365515</v>
      </c>
      <c r="I184" s="34">
        <v>21053.817510036552</v>
      </c>
      <c r="J184" s="34">
        <v>108.29892232754173</v>
      </c>
      <c r="K184" s="34">
        <v>5000</v>
      </c>
      <c r="L184" s="34">
        <v>271.57244746883953</v>
      </c>
      <c r="M184" s="34">
        <v>5000</v>
      </c>
      <c r="N184" s="34">
        <v>392.13544187374828</v>
      </c>
      <c r="O184" s="34">
        <v>5000</v>
      </c>
      <c r="P184" s="34">
        <v>281.81069836642291</v>
      </c>
      <c r="Q184" s="34">
        <v>5000</v>
      </c>
    </row>
    <row r="185" spans="6:17">
      <c r="F185" s="32">
        <v>156</v>
      </c>
      <c r="G185" s="33">
        <v>5.2145971228724837E-2</v>
      </c>
      <c r="H185" s="34">
        <v>1100.2953966724781</v>
      </c>
      <c r="I185" s="34">
        <v>21100.295396672478</v>
      </c>
      <c r="J185" s="34">
        <v>117.68394582619021</v>
      </c>
      <c r="K185" s="34">
        <v>5000</v>
      </c>
      <c r="L185" s="34">
        <v>310.58964032936365</v>
      </c>
      <c r="M185" s="34">
        <v>5000</v>
      </c>
      <c r="N185" s="34">
        <v>382.463078633029</v>
      </c>
      <c r="O185" s="34">
        <v>5000</v>
      </c>
      <c r="P185" s="34">
        <v>289.55873188389614</v>
      </c>
      <c r="Q185" s="34">
        <v>5000</v>
      </c>
    </row>
    <row r="186" spans="6:17">
      <c r="F186" s="32">
        <v>157</v>
      </c>
      <c r="G186" s="33">
        <v>5.4203454678815398E-2</v>
      </c>
      <c r="H186" s="34">
        <v>1146.1969267483073</v>
      </c>
      <c r="I186" s="34">
        <v>21146.196926748307</v>
      </c>
      <c r="J186" s="34">
        <v>108.04887112671895</v>
      </c>
      <c r="K186" s="34">
        <v>5000</v>
      </c>
      <c r="L186" s="34">
        <v>302.86754773312805</v>
      </c>
      <c r="M186" s="34">
        <v>5000</v>
      </c>
      <c r="N186" s="34">
        <v>474.09881940516243</v>
      </c>
      <c r="O186" s="34">
        <v>5000</v>
      </c>
      <c r="P186" s="34">
        <v>261.18168848329606</v>
      </c>
      <c r="Q186" s="34">
        <v>5000</v>
      </c>
    </row>
    <row r="187" spans="6:17">
      <c r="F187" s="32">
        <v>158</v>
      </c>
      <c r="G187" s="33">
        <v>4.3592619234090677E-2</v>
      </c>
      <c r="H187" s="34">
        <v>911.59102513786274</v>
      </c>
      <c r="I187" s="34">
        <v>20911.591025137863</v>
      </c>
      <c r="J187" s="34">
        <v>120.90939709722079</v>
      </c>
      <c r="K187" s="34">
        <v>5000</v>
      </c>
      <c r="L187" s="34">
        <v>215.26234331573596</v>
      </c>
      <c r="M187" s="34">
        <v>5000</v>
      </c>
      <c r="N187" s="34">
        <v>304.43512522640776</v>
      </c>
      <c r="O187" s="34">
        <v>5000</v>
      </c>
      <c r="P187" s="34">
        <v>270.98415949849914</v>
      </c>
      <c r="Q187" s="34">
        <v>5000</v>
      </c>
    </row>
    <row r="188" spans="6:17">
      <c r="F188" s="32">
        <v>159</v>
      </c>
      <c r="G188" s="33">
        <v>5.1596443514268363E-2</v>
      </c>
      <c r="H188" s="34">
        <v>1088.069380622248</v>
      </c>
      <c r="I188" s="34">
        <v>21088.069380622248</v>
      </c>
      <c r="J188" s="34">
        <v>108.41094167916162</v>
      </c>
      <c r="K188" s="34">
        <v>5000</v>
      </c>
      <c r="L188" s="34">
        <v>256.54685615115068</v>
      </c>
      <c r="M188" s="34">
        <v>5000</v>
      </c>
      <c r="N188" s="34">
        <v>432.31718595971597</v>
      </c>
      <c r="O188" s="34">
        <v>5000</v>
      </c>
      <c r="P188" s="34">
        <v>290.79439683221608</v>
      </c>
      <c r="Q188" s="34">
        <v>5000</v>
      </c>
    </row>
    <row r="189" spans="6:17">
      <c r="F189" s="32">
        <v>160</v>
      </c>
      <c r="G189" s="33">
        <v>4.7825638765858949E-2</v>
      </c>
      <c r="H189" s="34">
        <v>1004.5563231480155</v>
      </c>
      <c r="I189" s="34">
        <v>21004.556323148016</v>
      </c>
      <c r="J189" s="34">
        <v>107.56198586034043</v>
      </c>
      <c r="K189" s="34">
        <v>5000</v>
      </c>
      <c r="L189" s="34">
        <v>231.49552894121189</v>
      </c>
      <c r="M189" s="34">
        <v>5000</v>
      </c>
      <c r="N189" s="34">
        <v>400.21128563368438</v>
      </c>
      <c r="O189" s="34">
        <v>5000</v>
      </c>
      <c r="P189" s="34">
        <v>265.2875227127779</v>
      </c>
      <c r="Q189" s="34">
        <v>5000</v>
      </c>
    </row>
    <row r="190" spans="6:17">
      <c r="F190" s="32">
        <v>161</v>
      </c>
      <c r="G190" s="33">
        <v>4.8249409509118053E-2</v>
      </c>
      <c r="H190" s="34">
        <v>1013.9086855566347</v>
      </c>
      <c r="I190" s="34">
        <v>21013.908685556635</v>
      </c>
      <c r="J190" s="34">
        <v>109.39654261287797</v>
      </c>
      <c r="K190" s="34">
        <v>5000</v>
      </c>
      <c r="L190" s="34">
        <v>277.2570835062179</v>
      </c>
      <c r="M190" s="34">
        <v>5000</v>
      </c>
      <c r="N190" s="34">
        <v>361.99863060252483</v>
      </c>
      <c r="O190" s="34">
        <v>5000</v>
      </c>
      <c r="P190" s="34">
        <v>265.25642883501587</v>
      </c>
      <c r="Q190" s="34">
        <v>5000</v>
      </c>
    </row>
    <row r="191" spans="6:17">
      <c r="F191" s="32">
        <v>162</v>
      </c>
      <c r="G191" s="33">
        <v>4.9239068383821361E-2</v>
      </c>
      <c r="H191" s="34">
        <v>1035.7823243771891</v>
      </c>
      <c r="I191" s="34">
        <v>21035.782324377189</v>
      </c>
      <c r="J191" s="34">
        <v>116.85637414277517</v>
      </c>
      <c r="K191" s="34">
        <v>5000</v>
      </c>
      <c r="L191" s="34">
        <v>245.49453522919248</v>
      </c>
      <c r="M191" s="34">
        <v>5000</v>
      </c>
      <c r="N191" s="34">
        <v>411.43146261267248</v>
      </c>
      <c r="O191" s="34">
        <v>5000</v>
      </c>
      <c r="P191" s="34">
        <v>261.99995239254986</v>
      </c>
      <c r="Q191" s="34">
        <v>5000</v>
      </c>
    </row>
    <row r="192" spans="6:17">
      <c r="F192" s="32">
        <v>163</v>
      </c>
      <c r="G192" s="33">
        <v>5.2659116297769558E-2</v>
      </c>
      <c r="H192" s="34">
        <v>1111.7247699049258</v>
      </c>
      <c r="I192" s="34">
        <v>21111.724769904926</v>
      </c>
      <c r="J192" s="34">
        <v>111.28039427917065</v>
      </c>
      <c r="K192" s="34">
        <v>5000</v>
      </c>
      <c r="L192" s="34">
        <v>306.35026703648782</v>
      </c>
      <c r="M192" s="34">
        <v>5000</v>
      </c>
      <c r="N192" s="34">
        <v>389.98755435088424</v>
      </c>
      <c r="O192" s="34">
        <v>5000</v>
      </c>
      <c r="P192" s="34">
        <v>304.10655423838307</v>
      </c>
      <c r="Q192" s="34">
        <v>5000</v>
      </c>
    </row>
    <row r="193" spans="6:17">
      <c r="F193" s="32">
        <v>164</v>
      </c>
      <c r="G193" s="33">
        <v>5.8653720128899425E-2</v>
      </c>
      <c r="H193" s="34">
        <v>1246.1667163953935</v>
      </c>
      <c r="I193" s="34">
        <v>21246.166716395393</v>
      </c>
      <c r="J193" s="34">
        <v>110.23441704634297</v>
      </c>
      <c r="K193" s="34">
        <v>5000</v>
      </c>
      <c r="L193" s="34">
        <v>311.41136450116483</v>
      </c>
      <c r="M193" s="34">
        <v>5000</v>
      </c>
      <c r="N193" s="34">
        <v>551.81863254291693</v>
      </c>
      <c r="O193" s="34">
        <v>5000</v>
      </c>
      <c r="P193" s="34">
        <v>272.70230230497054</v>
      </c>
      <c r="Q193" s="34">
        <v>5000</v>
      </c>
    </row>
    <row r="194" spans="6:17">
      <c r="F194" s="32">
        <v>165</v>
      </c>
      <c r="G194" s="33">
        <v>4.9141194591007631E-2</v>
      </c>
      <c r="H194" s="34">
        <v>1033.6170693580643</v>
      </c>
      <c r="I194" s="34">
        <v>21033.617069358064</v>
      </c>
      <c r="J194" s="34">
        <v>115.43569215132811</v>
      </c>
      <c r="K194" s="34">
        <v>5000</v>
      </c>
      <c r="L194" s="34">
        <v>277.42124941464044</v>
      </c>
      <c r="M194" s="34">
        <v>5000</v>
      </c>
      <c r="N194" s="34">
        <v>361.47372261667078</v>
      </c>
      <c r="O194" s="34">
        <v>5000</v>
      </c>
      <c r="P194" s="34">
        <v>279.28640517542499</v>
      </c>
      <c r="Q194" s="34">
        <v>5000</v>
      </c>
    </row>
    <row r="195" spans="6:17">
      <c r="F195" s="32">
        <v>166</v>
      </c>
      <c r="G195" s="33">
        <v>4.5879220568616964E-2</v>
      </c>
      <c r="H195" s="34">
        <v>961.70676831834862</v>
      </c>
      <c r="I195" s="34">
        <v>20961.706768318349</v>
      </c>
      <c r="J195" s="34">
        <v>111.74201387081939</v>
      </c>
      <c r="K195" s="34">
        <v>5000</v>
      </c>
      <c r="L195" s="34">
        <v>262.44856172012442</v>
      </c>
      <c r="M195" s="34">
        <v>5000</v>
      </c>
      <c r="N195" s="34">
        <v>313.94674920286525</v>
      </c>
      <c r="O195" s="34">
        <v>5000</v>
      </c>
      <c r="P195" s="34">
        <v>273.56944352454047</v>
      </c>
      <c r="Q195" s="34">
        <v>5000</v>
      </c>
    </row>
    <row r="196" spans="6:17">
      <c r="F196" s="32">
        <v>167</v>
      </c>
      <c r="G196" s="33">
        <v>5.4347184606661783E-2</v>
      </c>
      <c r="H196" s="34">
        <v>1149.4109407173164</v>
      </c>
      <c r="I196" s="34">
        <v>21149.410940717316</v>
      </c>
      <c r="J196" s="34">
        <v>113.03605410109867</v>
      </c>
      <c r="K196" s="34">
        <v>5000</v>
      </c>
      <c r="L196" s="34">
        <v>273.9924788078788</v>
      </c>
      <c r="M196" s="34">
        <v>5000</v>
      </c>
      <c r="N196" s="34">
        <v>482.73253872904661</v>
      </c>
      <c r="O196" s="34">
        <v>5000</v>
      </c>
      <c r="P196" s="34">
        <v>279.64986907929051</v>
      </c>
      <c r="Q196" s="34">
        <v>5000</v>
      </c>
    </row>
    <row r="197" spans="6:17">
      <c r="F197" s="32">
        <v>168</v>
      </c>
      <c r="G197" s="33">
        <v>5.3651561749086508E-2</v>
      </c>
      <c r="H197" s="34">
        <v>1133.8648552798986</v>
      </c>
      <c r="I197" s="34">
        <v>21133.864855279899</v>
      </c>
      <c r="J197" s="34">
        <v>115.72169287504857</v>
      </c>
      <c r="K197" s="34">
        <v>5000</v>
      </c>
      <c r="L197" s="34">
        <v>350.85402654899281</v>
      </c>
      <c r="M197" s="34">
        <v>5000</v>
      </c>
      <c r="N197" s="34">
        <v>368.12388644394468</v>
      </c>
      <c r="O197" s="34">
        <v>5000</v>
      </c>
      <c r="P197" s="34">
        <v>299.16524941191255</v>
      </c>
      <c r="Q197" s="34">
        <v>5000</v>
      </c>
    </row>
    <row r="198" spans="6:17">
      <c r="F198" s="32">
        <v>169</v>
      </c>
      <c r="G198" s="33">
        <v>5.5983550064402657E-2</v>
      </c>
      <c r="H198" s="34">
        <v>1186.0714941613987</v>
      </c>
      <c r="I198" s="34">
        <v>21186.071494161399</v>
      </c>
      <c r="J198" s="34">
        <v>107.3532485251535</v>
      </c>
      <c r="K198" s="34">
        <v>5000</v>
      </c>
      <c r="L198" s="34">
        <v>275.50837814237821</v>
      </c>
      <c r="M198" s="34">
        <v>5000</v>
      </c>
      <c r="N198" s="34">
        <v>545.12582598927656</v>
      </c>
      <c r="O198" s="34">
        <v>5000</v>
      </c>
      <c r="P198" s="34">
        <v>258.08404150459228</v>
      </c>
      <c r="Q198" s="34">
        <v>5000</v>
      </c>
    </row>
    <row r="199" spans="6:17">
      <c r="F199" s="32">
        <v>170</v>
      </c>
      <c r="G199" s="33">
        <v>4.864550519923775E-2</v>
      </c>
      <c r="H199" s="34">
        <v>1022.65780978783</v>
      </c>
      <c r="I199" s="34">
        <v>21022.65780978783</v>
      </c>
      <c r="J199" s="34">
        <v>117.77833339850622</v>
      </c>
      <c r="K199" s="34">
        <v>5000</v>
      </c>
      <c r="L199" s="34">
        <v>265.26822802571951</v>
      </c>
      <c r="M199" s="34">
        <v>5000</v>
      </c>
      <c r="N199" s="34">
        <v>372.69597787709608</v>
      </c>
      <c r="O199" s="34">
        <v>5000</v>
      </c>
      <c r="P199" s="34">
        <v>266.91527048650642</v>
      </c>
      <c r="Q199" s="34">
        <v>5000</v>
      </c>
    </row>
    <row r="200" spans="6:17">
      <c r="F200" s="32">
        <v>171</v>
      </c>
      <c r="G200" s="33">
        <v>5.5672401829927373E-2</v>
      </c>
      <c r="H200" s="34">
        <v>1179.090856558887</v>
      </c>
      <c r="I200" s="34">
        <v>21179.090856558887</v>
      </c>
      <c r="J200" s="34">
        <v>115.31499892139072</v>
      </c>
      <c r="K200" s="34">
        <v>5000</v>
      </c>
      <c r="L200" s="34">
        <v>265.71337867918191</v>
      </c>
      <c r="M200" s="34">
        <v>5000</v>
      </c>
      <c r="N200" s="34">
        <v>505.22896670931459</v>
      </c>
      <c r="O200" s="34">
        <v>5000</v>
      </c>
      <c r="P200" s="34">
        <v>292.83351224899889</v>
      </c>
      <c r="Q200" s="34">
        <v>5000</v>
      </c>
    </row>
    <row r="201" spans="6:17">
      <c r="F201" s="32">
        <v>172</v>
      </c>
      <c r="G201" s="33">
        <v>4.685791070134547E-2</v>
      </c>
      <c r="H201" s="34">
        <v>983.23033317780937</v>
      </c>
      <c r="I201" s="34">
        <v>20983.230333177809</v>
      </c>
      <c r="J201" s="34">
        <v>110.09482267879412</v>
      </c>
      <c r="K201" s="34">
        <v>5000</v>
      </c>
      <c r="L201" s="34">
        <v>270.97009386176705</v>
      </c>
      <c r="M201" s="34">
        <v>5000</v>
      </c>
      <c r="N201" s="34">
        <v>301.70503093030948</v>
      </c>
      <c r="O201" s="34">
        <v>5000</v>
      </c>
      <c r="P201" s="34">
        <v>300.46038570693599</v>
      </c>
      <c r="Q201" s="34">
        <v>5000</v>
      </c>
    </row>
    <row r="202" spans="6:17">
      <c r="F202" s="32">
        <v>173</v>
      </c>
      <c r="G202" s="33">
        <v>5.8394275414508576E-2</v>
      </c>
      <c r="H202" s="34">
        <v>1240.3126678146436</v>
      </c>
      <c r="I202" s="34">
        <v>21240.312667814644</v>
      </c>
      <c r="J202" s="34">
        <v>105.19693626399294</v>
      </c>
      <c r="K202" s="34">
        <v>5000</v>
      </c>
      <c r="L202" s="34">
        <v>269.99080462557322</v>
      </c>
      <c r="M202" s="34">
        <v>5000</v>
      </c>
      <c r="N202" s="34">
        <v>556.36042883129358</v>
      </c>
      <c r="O202" s="34">
        <v>5000</v>
      </c>
      <c r="P202" s="34">
        <v>308.76449809378573</v>
      </c>
      <c r="Q202" s="34">
        <v>5000</v>
      </c>
    </row>
    <row r="203" spans="6:17">
      <c r="F203" s="32">
        <v>174</v>
      </c>
      <c r="G203" s="33">
        <v>4.9098762771436655E-2</v>
      </c>
      <c r="H203" s="34">
        <v>1032.6784917124896</v>
      </c>
      <c r="I203" s="34">
        <v>21032.67849171249</v>
      </c>
      <c r="J203" s="34">
        <v>119.05513615738437</v>
      </c>
      <c r="K203" s="34">
        <v>5000</v>
      </c>
      <c r="L203" s="34">
        <v>231.17008037042524</v>
      </c>
      <c r="M203" s="34">
        <v>5000</v>
      </c>
      <c r="N203" s="34">
        <v>392.76619658318577</v>
      </c>
      <c r="O203" s="34">
        <v>5000</v>
      </c>
      <c r="P203" s="34">
        <v>289.68707860149698</v>
      </c>
      <c r="Q203" s="34">
        <v>5000</v>
      </c>
    </row>
    <row r="204" spans="6:17">
      <c r="F204" s="32">
        <v>175</v>
      </c>
      <c r="G204" s="33">
        <v>4.575782896195596E-2</v>
      </c>
      <c r="H204" s="34">
        <v>959.04017556003964</v>
      </c>
      <c r="I204" s="34">
        <v>20959.04017556004</v>
      </c>
      <c r="J204" s="34">
        <v>112.42722333410074</v>
      </c>
      <c r="K204" s="34">
        <v>5000</v>
      </c>
      <c r="L204" s="34">
        <v>240.80702545457098</v>
      </c>
      <c r="M204" s="34">
        <v>5000</v>
      </c>
      <c r="N204" s="34">
        <v>302.72563919704771</v>
      </c>
      <c r="O204" s="34">
        <v>5000</v>
      </c>
      <c r="P204" s="34">
        <v>303.0802875743193</v>
      </c>
      <c r="Q204" s="34">
        <v>5000</v>
      </c>
    </row>
    <row r="205" spans="6:17">
      <c r="F205" s="32">
        <v>176</v>
      </c>
      <c r="G205" s="33">
        <v>5.5410704128157011E-2</v>
      </c>
      <c r="H205" s="34">
        <v>1173.2232065368407</v>
      </c>
      <c r="I205" s="34">
        <v>21173.223206536841</v>
      </c>
      <c r="J205" s="34">
        <v>107.12337543817466</v>
      </c>
      <c r="K205" s="34">
        <v>5000</v>
      </c>
      <c r="L205" s="34">
        <v>297.3237890608134</v>
      </c>
      <c r="M205" s="34">
        <v>5000</v>
      </c>
      <c r="N205" s="34">
        <v>474.47719717967448</v>
      </c>
      <c r="O205" s="34">
        <v>5000</v>
      </c>
      <c r="P205" s="34">
        <v>294.2988448581782</v>
      </c>
      <c r="Q205" s="34">
        <v>5000</v>
      </c>
    </row>
    <row r="206" spans="6:17">
      <c r="F206" s="32">
        <v>177</v>
      </c>
      <c r="G206" s="33">
        <v>5.0694176655574207E-2</v>
      </c>
      <c r="H206" s="34">
        <v>1068.0262442081621</v>
      </c>
      <c r="I206" s="34">
        <v>21068.026244208162</v>
      </c>
      <c r="J206" s="34">
        <v>121.06188994485092</v>
      </c>
      <c r="K206" s="34">
        <v>5000</v>
      </c>
      <c r="L206" s="34">
        <v>304.81873097143489</v>
      </c>
      <c r="M206" s="34">
        <v>5000</v>
      </c>
      <c r="N206" s="34">
        <v>339.63246717647144</v>
      </c>
      <c r="O206" s="34">
        <v>5000</v>
      </c>
      <c r="P206" s="34">
        <v>302.51315611540485</v>
      </c>
      <c r="Q206" s="34">
        <v>5000</v>
      </c>
    </row>
    <row r="207" spans="6:17">
      <c r="F207" s="32">
        <v>178</v>
      </c>
      <c r="G207" s="33">
        <v>5.4477259392706173E-2</v>
      </c>
      <c r="H207" s="34">
        <v>1152.3204477920081</v>
      </c>
      <c r="I207" s="34">
        <v>21152.320447792008</v>
      </c>
      <c r="J207" s="34">
        <v>113.60755644243181</v>
      </c>
      <c r="K207" s="34">
        <v>5000</v>
      </c>
      <c r="L207" s="34">
        <v>264.87882064495261</v>
      </c>
      <c r="M207" s="34">
        <v>5000</v>
      </c>
      <c r="N207" s="34">
        <v>491.21826420926118</v>
      </c>
      <c r="O207" s="34">
        <v>5000</v>
      </c>
      <c r="P207" s="34">
        <v>282.61580649535972</v>
      </c>
      <c r="Q207" s="34">
        <v>5000</v>
      </c>
    </row>
    <row r="208" spans="6:17">
      <c r="F208" s="32">
        <v>179</v>
      </c>
      <c r="G208" s="33">
        <v>5.1295791600620082E-2</v>
      </c>
      <c r="H208" s="34">
        <v>1081.3864036118175</v>
      </c>
      <c r="I208" s="34">
        <v>21081.386403611818</v>
      </c>
      <c r="J208" s="34">
        <v>118.27100540006359</v>
      </c>
      <c r="K208" s="34">
        <v>5000</v>
      </c>
      <c r="L208" s="34">
        <v>277.02019091816419</v>
      </c>
      <c r="M208" s="34">
        <v>5000</v>
      </c>
      <c r="N208" s="34">
        <v>395.32737707271554</v>
      </c>
      <c r="O208" s="34">
        <v>5000</v>
      </c>
      <c r="P208" s="34">
        <v>290.7678302208742</v>
      </c>
      <c r="Q208" s="34">
        <v>5000</v>
      </c>
    </row>
    <row r="209" spans="6:17">
      <c r="F209" s="32">
        <v>180</v>
      </c>
      <c r="G209" s="33">
        <v>5.0494123122868516E-2</v>
      </c>
      <c r="H209" s="34">
        <v>1063.5873742865224</v>
      </c>
      <c r="I209" s="34">
        <v>21063.587374286522</v>
      </c>
      <c r="J209" s="34">
        <v>117.49018189448088</v>
      </c>
      <c r="K209" s="34">
        <v>5000</v>
      </c>
      <c r="L209" s="34">
        <v>229.47707563180575</v>
      </c>
      <c r="M209" s="34">
        <v>5000</v>
      </c>
      <c r="N209" s="34">
        <v>451.67794479564691</v>
      </c>
      <c r="O209" s="34">
        <v>5000</v>
      </c>
      <c r="P209" s="34">
        <v>264.94217196459067</v>
      </c>
      <c r="Q209" s="34">
        <v>5000</v>
      </c>
    </row>
    <row r="210" spans="6:17">
      <c r="F210" s="32">
        <v>181</v>
      </c>
      <c r="G210" s="33">
        <v>5.7981723600350032E-2</v>
      </c>
      <c r="H210" s="34">
        <v>1231.0105876491798</v>
      </c>
      <c r="I210" s="34">
        <v>21231.01058764918</v>
      </c>
      <c r="J210" s="34">
        <v>108.74273720718065</v>
      </c>
      <c r="K210" s="34">
        <v>5000</v>
      </c>
      <c r="L210" s="34">
        <v>320.53092840812315</v>
      </c>
      <c r="M210" s="34">
        <v>5000</v>
      </c>
      <c r="N210" s="34">
        <v>522.46409569299067</v>
      </c>
      <c r="O210" s="34">
        <v>5000</v>
      </c>
      <c r="P210" s="34">
        <v>279.27282634088806</v>
      </c>
      <c r="Q210" s="34">
        <v>5000</v>
      </c>
    </row>
    <row r="211" spans="6:17">
      <c r="F211" s="32">
        <v>182</v>
      </c>
      <c r="G211" s="33">
        <v>5.3200305534763577E-2</v>
      </c>
      <c r="H211" s="34">
        <v>1123.7921990418836</v>
      </c>
      <c r="I211" s="34">
        <v>21123.792199041884</v>
      </c>
      <c r="J211" s="34">
        <v>108.5572361234581</v>
      </c>
      <c r="K211" s="34">
        <v>5000</v>
      </c>
      <c r="L211" s="34">
        <v>291.00128889584175</v>
      </c>
      <c r="M211" s="34">
        <v>5000</v>
      </c>
      <c r="N211" s="34">
        <v>428.59615584970561</v>
      </c>
      <c r="O211" s="34">
        <v>5000</v>
      </c>
      <c r="P211" s="34">
        <v>295.63751817287812</v>
      </c>
      <c r="Q211" s="34">
        <v>5000</v>
      </c>
    </row>
    <row r="212" spans="6:17">
      <c r="F212" s="32">
        <v>183</v>
      </c>
      <c r="G212" s="33">
        <v>5.4203235378047936E-2</v>
      </c>
      <c r="H212" s="34">
        <v>1146.1920236048536</v>
      </c>
      <c r="I212" s="34">
        <v>21146.192023604854</v>
      </c>
      <c r="J212" s="34">
        <v>118.5254038380599</v>
      </c>
      <c r="K212" s="34">
        <v>5000</v>
      </c>
      <c r="L212" s="34">
        <v>243.40826207006648</v>
      </c>
      <c r="M212" s="34">
        <v>5000</v>
      </c>
      <c r="N212" s="34">
        <v>506.00178587498704</v>
      </c>
      <c r="O212" s="34">
        <v>5000</v>
      </c>
      <c r="P212" s="34">
        <v>278.25657182173927</v>
      </c>
      <c r="Q212" s="34">
        <v>5000</v>
      </c>
    </row>
    <row r="213" spans="6:17">
      <c r="F213" s="32">
        <v>184</v>
      </c>
      <c r="G213" s="33">
        <v>5.113537649824991E-2</v>
      </c>
      <c r="H213" s="34">
        <v>1077.8223833350785</v>
      </c>
      <c r="I213" s="34">
        <v>21077.822383335078</v>
      </c>
      <c r="J213" s="34">
        <v>109.04096410028069</v>
      </c>
      <c r="K213" s="34">
        <v>5000</v>
      </c>
      <c r="L213" s="34">
        <v>236.13886553087468</v>
      </c>
      <c r="M213" s="34">
        <v>5000</v>
      </c>
      <c r="N213" s="34">
        <v>439.02374909843729</v>
      </c>
      <c r="O213" s="34">
        <v>5000</v>
      </c>
      <c r="P213" s="34">
        <v>293.61880460548673</v>
      </c>
      <c r="Q213" s="34">
        <v>5000</v>
      </c>
    </row>
    <row r="214" spans="6:17">
      <c r="F214" s="32">
        <v>185</v>
      </c>
      <c r="G214" s="33">
        <v>4.8383417345525405E-2</v>
      </c>
      <c r="H214" s="34">
        <v>1016.8678904388762</v>
      </c>
      <c r="I214" s="34">
        <v>21016.867890438876</v>
      </c>
      <c r="J214" s="34">
        <v>110.18291847737783</v>
      </c>
      <c r="K214" s="34">
        <v>5000</v>
      </c>
      <c r="L214" s="34">
        <v>271.31531480594822</v>
      </c>
      <c r="M214" s="34">
        <v>5000</v>
      </c>
      <c r="N214" s="34">
        <v>353.50794339518779</v>
      </c>
      <c r="O214" s="34">
        <v>5000</v>
      </c>
      <c r="P214" s="34">
        <v>281.86171376036145</v>
      </c>
      <c r="Q214" s="34">
        <v>5000</v>
      </c>
    </row>
    <row r="215" spans="6:17">
      <c r="F215" s="32">
        <v>186</v>
      </c>
      <c r="G215" s="33">
        <v>5.031274660551089E-2</v>
      </c>
      <c r="H215" s="34">
        <v>1059.5645340226874</v>
      </c>
      <c r="I215" s="34">
        <v>21059.564534022687</v>
      </c>
      <c r="J215" s="34">
        <v>110.68816107007115</v>
      </c>
      <c r="K215" s="34">
        <v>5000</v>
      </c>
      <c r="L215" s="34">
        <v>303.15748039646405</v>
      </c>
      <c r="M215" s="34">
        <v>5000</v>
      </c>
      <c r="N215" s="34">
        <v>357.00382861662183</v>
      </c>
      <c r="O215" s="34">
        <v>5000</v>
      </c>
      <c r="P215" s="34">
        <v>288.71506393953132</v>
      </c>
      <c r="Q215" s="34">
        <v>5000</v>
      </c>
    </row>
    <row r="216" spans="6:17">
      <c r="F216" s="32">
        <v>187</v>
      </c>
      <c r="G216" s="33">
        <v>5.3209828117049551E-2</v>
      </c>
      <c r="H216" s="34">
        <v>1124.0046569395054</v>
      </c>
      <c r="I216" s="34">
        <v>21124.004656939505</v>
      </c>
      <c r="J216" s="34">
        <v>119.00634380632619</v>
      </c>
      <c r="K216" s="34">
        <v>5000</v>
      </c>
      <c r="L216" s="34">
        <v>251.20167304324514</v>
      </c>
      <c r="M216" s="34">
        <v>5000</v>
      </c>
      <c r="N216" s="34">
        <v>472.6260005249469</v>
      </c>
      <c r="O216" s="34">
        <v>5000</v>
      </c>
      <c r="P216" s="34">
        <v>281.17063956498987</v>
      </c>
      <c r="Q216" s="34">
        <v>5000</v>
      </c>
    </row>
    <row r="217" spans="6:17">
      <c r="F217" s="32">
        <v>188</v>
      </c>
      <c r="G217" s="33">
        <v>4.4767878798345213E-2</v>
      </c>
      <c r="H217" s="34">
        <v>937.31937619577729</v>
      </c>
      <c r="I217" s="34">
        <v>20937.319376195777</v>
      </c>
      <c r="J217" s="34">
        <v>101.39969149293393</v>
      </c>
      <c r="K217" s="34">
        <v>5000</v>
      </c>
      <c r="L217" s="34">
        <v>287.4959561127298</v>
      </c>
      <c r="M217" s="34">
        <v>5000</v>
      </c>
      <c r="N217" s="34">
        <v>264.70048009208131</v>
      </c>
      <c r="O217" s="34">
        <v>5000</v>
      </c>
      <c r="P217" s="34">
        <v>283.72324849803317</v>
      </c>
      <c r="Q217" s="34">
        <v>5000</v>
      </c>
    </row>
    <row r="218" spans="6:17">
      <c r="F218" s="32">
        <v>189</v>
      </c>
      <c r="G218" s="33">
        <v>5.6754630113508078E-2</v>
      </c>
      <c r="H218" s="34">
        <v>1203.390590092964</v>
      </c>
      <c r="I218" s="34">
        <v>21203.390590092964</v>
      </c>
      <c r="J218" s="34">
        <v>121.39823022994551</v>
      </c>
      <c r="K218" s="34">
        <v>5000</v>
      </c>
      <c r="L218" s="34">
        <v>296.89460348220655</v>
      </c>
      <c r="M218" s="34">
        <v>5000</v>
      </c>
      <c r="N218" s="34">
        <v>489.60436569031208</v>
      </c>
      <c r="O218" s="34">
        <v>5000</v>
      </c>
      <c r="P218" s="34">
        <v>295.49339069049802</v>
      </c>
      <c r="Q218" s="34">
        <v>5000</v>
      </c>
    </row>
    <row r="219" spans="6:17">
      <c r="F219" s="32">
        <v>190</v>
      </c>
      <c r="G219" s="33">
        <v>4.618988491936863E-2</v>
      </c>
      <c r="H219" s="34">
        <v>968.53418073604553</v>
      </c>
      <c r="I219" s="34">
        <v>20968.534180736046</v>
      </c>
      <c r="J219" s="34">
        <v>117.37037185611553</v>
      </c>
      <c r="K219" s="34">
        <v>5000</v>
      </c>
      <c r="L219" s="34">
        <v>299.75312876426688</v>
      </c>
      <c r="M219" s="34">
        <v>5000</v>
      </c>
      <c r="N219" s="34">
        <v>287.77363545023582</v>
      </c>
      <c r="O219" s="34">
        <v>5000</v>
      </c>
      <c r="P219" s="34">
        <v>263.63704466542913</v>
      </c>
      <c r="Q219" s="34">
        <v>5000</v>
      </c>
    </row>
    <row r="220" spans="6:17">
      <c r="F220" s="32">
        <v>191</v>
      </c>
      <c r="G220" s="33">
        <v>5.4294248388277497E-2</v>
      </c>
      <c r="H220" s="34">
        <v>1148.2270948600308</v>
      </c>
      <c r="I220" s="34">
        <v>21148.227094860031</v>
      </c>
      <c r="J220" s="34">
        <v>107.24257637626579</v>
      </c>
      <c r="K220" s="34">
        <v>5000</v>
      </c>
      <c r="L220" s="34">
        <v>211.98472374012727</v>
      </c>
      <c r="M220" s="34">
        <v>5000</v>
      </c>
      <c r="N220" s="34">
        <v>533.21188924476337</v>
      </c>
      <c r="O220" s="34">
        <v>5000</v>
      </c>
      <c r="P220" s="34">
        <v>295.78790549887617</v>
      </c>
      <c r="Q220" s="34">
        <v>5000</v>
      </c>
    </row>
    <row r="221" spans="6:17">
      <c r="F221" s="32">
        <v>192</v>
      </c>
      <c r="G221" s="33">
        <v>4.6493827652098647E-2</v>
      </c>
      <c r="H221" s="34">
        <v>975.21817897859728</v>
      </c>
      <c r="I221" s="34">
        <v>20975.218178978597</v>
      </c>
      <c r="J221" s="34">
        <v>119.92923964365764</v>
      </c>
      <c r="K221" s="34">
        <v>5000</v>
      </c>
      <c r="L221" s="34">
        <v>236.99811695441167</v>
      </c>
      <c r="M221" s="34">
        <v>5000</v>
      </c>
      <c r="N221" s="34">
        <v>320.81609515794116</v>
      </c>
      <c r="O221" s="34">
        <v>5000</v>
      </c>
      <c r="P221" s="34">
        <v>297.4747272225859</v>
      </c>
      <c r="Q221" s="34">
        <v>5000</v>
      </c>
    </row>
    <row r="222" spans="6:17">
      <c r="F222" s="32">
        <v>193</v>
      </c>
      <c r="G222" s="33">
        <v>5.4615850384734689E-2</v>
      </c>
      <c r="H222" s="34">
        <v>1155.4213259649259</v>
      </c>
      <c r="I222" s="34">
        <v>21155.421325964926</v>
      </c>
      <c r="J222" s="34">
        <v>116.20101046718719</v>
      </c>
      <c r="K222" s="34">
        <v>5000</v>
      </c>
      <c r="L222" s="34">
        <v>249.74153050785117</v>
      </c>
      <c r="M222" s="34">
        <v>5000</v>
      </c>
      <c r="N222" s="34">
        <v>499.65096727037326</v>
      </c>
      <c r="O222" s="34">
        <v>5000</v>
      </c>
      <c r="P222" s="34">
        <v>289.82781771951522</v>
      </c>
      <c r="Q222" s="34">
        <v>5000</v>
      </c>
    </row>
    <row r="223" spans="6:17">
      <c r="F223" s="32">
        <v>194</v>
      </c>
      <c r="G223" s="33">
        <v>5.9374152082911039E-2</v>
      </c>
      <c r="H223" s="34">
        <v>1262.4393049454993</v>
      </c>
      <c r="I223" s="34">
        <v>21262.439304945499</v>
      </c>
      <c r="J223" s="34">
        <v>124.95788938040187</v>
      </c>
      <c r="K223" s="34">
        <v>5000</v>
      </c>
      <c r="L223" s="34">
        <v>301.80221000122037</v>
      </c>
      <c r="M223" s="34">
        <v>5000</v>
      </c>
      <c r="N223" s="34">
        <v>545.53377505391654</v>
      </c>
      <c r="O223" s="34">
        <v>5000</v>
      </c>
      <c r="P223" s="34">
        <v>290.14543050996053</v>
      </c>
      <c r="Q223" s="34">
        <v>5000</v>
      </c>
    </row>
    <row r="224" spans="6:17">
      <c r="F224" s="32">
        <v>195</v>
      </c>
      <c r="G224" s="33">
        <v>5.4603282935016983E-2</v>
      </c>
      <c r="H224" s="34">
        <v>1155.1401004339168</v>
      </c>
      <c r="I224" s="34">
        <v>21155.140100433917</v>
      </c>
      <c r="J224" s="34">
        <v>124.14003152661462</v>
      </c>
      <c r="K224" s="34">
        <v>5000</v>
      </c>
      <c r="L224" s="34">
        <v>287.74449853839906</v>
      </c>
      <c r="M224" s="34">
        <v>5000</v>
      </c>
      <c r="N224" s="34">
        <v>482.09351087744835</v>
      </c>
      <c r="O224" s="34">
        <v>5000</v>
      </c>
      <c r="P224" s="34">
        <v>261.16205949145569</v>
      </c>
      <c r="Q224" s="34">
        <v>5000</v>
      </c>
    </row>
    <row r="225" spans="6:17">
      <c r="F225" s="32">
        <v>196</v>
      </c>
      <c r="G225" s="33">
        <v>5.5386804328839849E-2</v>
      </c>
      <c r="H225" s="34">
        <v>1172.6874996593033</v>
      </c>
      <c r="I225" s="34">
        <v>21172.687499659303</v>
      </c>
      <c r="J225" s="34">
        <v>106.81622647339191</v>
      </c>
      <c r="K225" s="34">
        <v>5000</v>
      </c>
      <c r="L225" s="34">
        <v>274.40688593688719</v>
      </c>
      <c r="M225" s="34">
        <v>5000</v>
      </c>
      <c r="N225" s="34">
        <v>505.40241964273355</v>
      </c>
      <c r="O225" s="34">
        <v>5000</v>
      </c>
      <c r="P225" s="34">
        <v>286.06196760628791</v>
      </c>
      <c r="Q225" s="34">
        <v>5000</v>
      </c>
    </row>
    <row r="226" spans="6:17">
      <c r="F226" s="32">
        <v>197</v>
      </c>
      <c r="G226" s="33">
        <v>5.4457545204855608E-2</v>
      </c>
      <c r="H226" s="34">
        <v>1151.8794302399474</v>
      </c>
      <c r="I226" s="34">
        <v>21151.879430239947</v>
      </c>
      <c r="J226" s="34">
        <v>106.771954945164</v>
      </c>
      <c r="K226" s="34">
        <v>5000</v>
      </c>
      <c r="L226" s="34">
        <v>273.2420487215295</v>
      </c>
      <c r="M226" s="34">
        <v>5000</v>
      </c>
      <c r="N226" s="34">
        <v>504.98408958051004</v>
      </c>
      <c r="O226" s="34">
        <v>5000</v>
      </c>
      <c r="P226" s="34">
        <v>266.88133699274294</v>
      </c>
      <c r="Q226" s="34">
        <v>5000</v>
      </c>
    </row>
    <row r="227" spans="6:17">
      <c r="F227" s="32">
        <v>198</v>
      </c>
      <c r="G227" s="33">
        <v>5.2931838722870446E-2</v>
      </c>
      <c r="H227" s="34">
        <v>1117.804206436238</v>
      </c>
      <c r="I227" s="34">
        <v>21117.804206436238</v>
      </c>
      <c r="J227" s="34">
        <v>114.93745909493009</v>
      </c>
      <c r="K227" s="34">
        <v>5000</v>
      </c>
      <c r="L227" s="34">
        <v>269.48302944743136</v>
      </c>
      <c r="M227" s="34">
        <v>5000</v>
      </c>
      <c r="N227" s="34">
        <v>460.20948951778155</v>
      </c>
      <c r="O227" s="34">
        <v>5000</v>
      </c>
      <c r="P227" s="34">
        <v>273.17422837609411</v>
      </c>
      <c r="Q227" s="34">
        <v>5000</v>
      </c>
    </row>
    <row r="228" spans="6:17">
      <c r="F228" s="32">
        <v>199</v>
      </c>
      <c r="G228" s="33">
        <v>4.6056174564119888E-2</v>
      </c>
      <c r="H228" s="34">
        <v>965.59510814120949</v>
      </c>
      <c r="I228" s="34">
        <v>20965.595108141209</v>
      </c>
      <c r="J228" s="34">
        <v>104.17854023686959</v>
      </c>
      <c r="K228" s="34">
        <v>5000</v>
      </c>
      <c r="L228" s="34">
        <v>255.91262343332892</v>
      </c>
      <c r="M228" s="34">
        <v>5000</v>
      </c>
      <c r="N228" s="34">
        <v>330.56281563809262</v>
      </c>
      <c r="O228" s="34">
        <v>5000</v>
      </c>
      <c r="P228" s="34">
        <v>274.94112883291746</v>
      </c>
      <c r="Q228" s="34">
        <v>5000</v>
      </c>
    </row>
    <row r="229" spans="6:17">
      <c r="F229" s="32">
        <v>200</v>
      </c>
      <c r="G229" s="33">
        <v>5.3647887093609202E-2</v>
      </c>
      <c r="H229" s="34">
        <v>1133.7827931476459</v>
      </c>
      <c r="I229" s="34">
        <v>21133.782793147646</v>
      </c>
      <c r="J229" s="34">
        <v>99.504044780841468</v>
      </c>
      <c r="K229" s="34">
        <v>5000</v>
      </c>
      <c r="L229" s="34">
        <v>229.16941592659077</v>
      </c>
      <c r="M229" s="34">
        <v>5000</v>
      </c>
      <c r="N229" s="34">
        <v>530.7926814955199</v>
      </c>
      <c r="O229" s="34">
        <v>5000</v>
      </c>
      <c r="P229" s="34">
        <v>274.31665094469281</v>
      </c>
      <c r="Q229" s="34">
        <v>5000</v>
      </c>
    </row>
    <row r="230" spans="6:17">
      <c r="F230" s="32">
        <v>201</v>
      </c>
      <c r="G230" s="33">
        <v>4.6869805667361868E-2</v>
      </c>
      <c r="H230" s="34">
        <v>983.49220171708293</v>
      </c>
      <c r="I230" s="34">
        <v>20983.492201717083</v>
      </c>
      <c r="J230" s="34">
        <v>102.84271392307437</v>
      </c>
      <c r="K230" s="34">
        <v>5000</v>
      </c>
      <c r="L230" s="34">
        <v>277.56711048920897</v>
      </c>
      <c r="M230" s="34">
        <v>5000</v>
      </c>
      <c r="N230" s="34">
        <v>314.06763284259887</v>
      </c>
      <c r="O230" s="34">
        <v>5000</v>
      </c>
      <c r="P230" s="34">
        <v>289.01474446220072</v>
      </c>
      <c r="Q230" s="34">
        <v>5000</v>
      </c>
    </row>
    <row r="231" spans="6:17">
      <c r="F231" s="32">
        <v>202</v>
      </c>
      <c r="G231" s="33">
        <v>5.4043687241245641E-2</v>
      </c>
      <c r="H231" s="34">
        <v>1142.6254365518107</v>
      </c>
      <c r="I231" s="34">
        <v>21142.625436551811</v>
      </c>
      <c r="J231" s="34">
        <v>123.70716636784709</v>
      </c>
      <c r="K231" s="34">
        <v>5000</v>
      </c>
      <c r="L231" s="34">
        <v>297.10836462094176</v>
      </c>
      <c r="M231" s="34">
        <v>5000</v>
      </c>
      <c r="N231" s="34">
        <v>432.17650922426947</v>
      </c>
      <c r="O231" s="34">
        <v>5000</v>
      </c>
      <c r="P231" s="34">
        <v>289.63339633875148</v>
      </c>
      <c r="Q231" s="34">
        <v>5000</v>
      </c>
    </row>
    <row r="232" spans="6:17">
      <c r="F232" s="32">
        <v>203</v>
      </c>
      <c r="G232" s="33">
        <v>5.044447416066955E-2</v>
      </c>
      <c r="H232" s="34">
        <v>1062.4860324219735</v>
      </c>
      <c r="I232" s="34">
        <v>21062.486032421974</v>
      </c>
      <c r="J232" s="34">
        <v>118.10519302660487</v>
      </c>
      <c r="K232" s="34">
        <v>5000</v>
      </c>
      <c r="L232" s="34">
        <v>314.54506338393367</v>
      </c>
      <c r="M232" s="34">
        <v>5000</v>
      </c>
      <c r="N232" s="34">
        <v>344.39076115205444</v>
      </c>
      <c r="O232" s="34">
        <v>5000</v>
      </c>
      <c r="P232" s="34">
        <v>285.44501485937781</v>
      </c>
      <c r="Q232" s="34">
        <v>5000</v>
      </c>
    </row>
    <row r="233" spans="6:17">
      <c r="F233" s="32">
        <v>204</v>
      </c>
      <c r="G233" s="33">
        <v>5.8867506603202086E-2</v>
      </c>
      <c r="H233" s="34">
        <v>1250.9929689226556</v>
      </c>
      <c r="I233" s="34">
        <v>21250.992968922656</v>
      </c>
      <c r="J233" s="34">
        <v>103.37048993588905</v>
      </c>
      <c r="K233" s="34">
        <v>5000</v>
      </c>
      <c r="L233" s="34">
        <v>253.74977474498883</v>
      </c>
      <c r="M233" s="34">
        <v>5000</v>
      </c>
      <c r="N233" s="34">
        <v>617.38183711019974</v>
      </c>
      <c r="O233" s="34">
        <v>5000</v>
      </c>
      <c r="P233" s="34">
        <v>276.49086713157885</v>
      </c>
      <c r="Q233" s="34">
        <v>5000</v>
      </c>
    </row>
    <row r="234" spans="6:17">
      <c r="F234" s="32">
        <v>205</v>
      </c>
      <c r="G234" s="33">
        <v>5.0738067927050788E-2</v>
      </c>
      <c r="H234" s="34">
        <v>1069.0003720311761</v>
      </c>
      <c r="I234" s="34">
        <v>21069.000372031176</v>
      </c>
      <c r="J234" s="34">
        <v>117.93196993433776</v>
      </c>
      <c r="K234" s="34">
        <v>5000</v>
      </c>
      <c r="L234" s="34">
        <v>323.10138951319459</v>
      </c>
      <c r="M234" s="34">
        <v>5000</v>
      </c>
      <c r="N234" s="34">
        <v>357.02359324484587</v>
      </c>
      <c r="O234" s="34">
        <v>5000</v>
      </c>
      <c r="P234" s="34">
        <v>270.94341933879605</v>
      </c>
      <c r="Q234" s="34">
        <v>5000</v>
      </c>
    </row>
    <row r="235" spans="6:17">
      <c r="F235" s="32">
        <v>206</v>
      </c>
      <c r="G235" s="33">
        <v>5.0537286643478015E-2</v>
      </c>
      <c r="H235" s="34">
        <v>1064.5449459477895</v>
      </c>
      <c r="I235" s="34">
        <v>21064.54494594779</v>
      </c>
      <c r="J235" s="34">
        <v>111.30501568333329</v>
      </c>
      <c r="K235" s="34">
        <v>5000</v>
      </c>
      <c r="L235" s="34">
        <v>186.54742609614823</v>
      </c>
      <c r="M235" s="34">
        <v>5000</v>
      </c>
      <c r="N235" s="34">
        <v>496.08587389663444</v>
      </c>
      <c r="O235" s="34">
        <v>5000</v>
      </c>
      <c r="P235" s="34">
        <v>270.60663027167266</v>
      </c>
      <c r="Q235" s="34">
        <v>5000</v>
      </c>
    </row>
    <row r="236" spans="6:17">
      <c r="F236" s="32">
        <v>207</v>
      </c>
      <c r="G236" s="33">
        <v>4.7894360505304941E-2</v>
      </c>
      <c r="H236" s="34">
        <v>1006.0724045437564</v>
      </c>
      <c r="I236" s="34">
        <v>21006.072404543756</v>
      </c>
      <c r="J236" s="34">
        <v>126.06220117536759</v>
      </c>
      <c r="K236" s="34">
        <v>5000</v>
      </c>
      <c r="L236" s="34">
        <v>237.81879589434084</v>
      </c>
      <c r="M236" s="34">
        <v>5000</v>
      </c>
      <c r="N236" s="34">
        <v>380.56881634297406</v>
      </c>
      <c r="O236" s="34">
        <v>5000</v>
      </c>
      <c r="P236" s="34">
        <v>261.62259113107666</v>
      </c>
      <c r="Q236" s="34">
        <v>5000</v>
      </c>
    </row>
    <row r="237" spans="6:17">
      <c r="F237" s="32">
        <v>208</v>
      </c>
      <c r="G237" s="33">
        <v>5.7308937449348937E-2</v>
      </c>
      <c r="H237" s="34">
        <v>1215.8582960209133</v>
      </c>
      <c r="I237" s="34">
        <v>21215.858296020913</v>
      </c>
      <c r="J237" s="34">
        <v>118.05305571847657</v>
      </c>
      <c r="K237" s="34">
        <v>5000</v>
      </c>
      <c r="L237" s="34">
        <v>286.69997469984173</v>
      </c>
      <c r="M237" s="34">
        <v>5000</v>
      </c>
      <c r="N237" s="34">
        <v>518.03665115580134</v>
      </c>
      <c r="O237" s="34">
        <v>5000</v>
      </c>
      <c r="P237" s="34">
        <v>293.06861444679362</v>
      </c>
      <c r="Q237" s="34">
        <v>5000</v>
      </c>
    </row>
    <row r="238" spans="6:17">
      <c r="F238" s="32">
        <v>209</v>
      </c>
      <c r="G238" s="33">
        <v>4.7276286423015977E-2</v>
      </c>
      <c r="H238" s="34">
        <v>992.44483472586217</v>
      </c>
      <c r="I238" s="34">
        <v>20992.444834725862</v>
      </c>
      <c r="J238" s="34">
        <v>116.41949413731709</v>
      </c>
      <c r="K238" s="34">
        <v>5000</v>
      </c>
      <c r="L238" s="34">
        <v>154.85489700429571</v>
      </c>
      <c r="M238" s="34">
        <v>5000</v>
      </c>
      <c r="N238" s="34">
        <v>456.14539133229118</v>
      </c>
      <c r="O238" s="34">
        <v>5000</v>
      </c>
      <c r="P238" s="34">
        <v>265.0250522519591</v>
      </c>
      <c r="Q238" s="34">
        <v>5000</v>
      </c>
    </row>
    <row r="239" spans="6:17">
      <c r="F239" s="32">
        <v>210</v>
      </c>
      <c r="G239" s="33">
        <v>5.5715241773405123E-2</v>
      </c>
      <c r="H239" s="34">
        <v>1180.0517013118078</v>
      </c>
      <c r="I239" s="34">
        <v>21180.051701311808</v>
      </c>
      <c r="J239" s="34">
        <v>114.18571652651372</v>
      </c>
      <c r="K239" s="34">
        <v>5000</v>
      </c>
      <c r="L239" s="34">
        <v>280.14161261849222</v>
      </c>
      <c r="M239" s="34">
        <v>5000</v>
      </c>
      <c r="N239" s="34">
        <v>497.6601894121568</v>
      </c>
      <c r="O239" s="34">
        <v>5000</v>
      </c>
      <c r="P239" s="34">
        <v>288.06418275464603</v>
      </c>
      <c r="Q239" s="34">
        <v>5000</v>
      </c>
    </row>
    <row r="240" spans="6:17">
      <c r="F240" s="32">
        <v>211</v>
      </c>
      <c r="G240" s="33">
        <v>5.3501059579245933E-2</v>
      </c>
      <c r="H240" s="34">
        <v>1130.5043734219653</v>
      </c>
      <c r="I240" s="34">
        <v>21130.504373421965</v>
      </c>
      <c r="J240" s="34">
        <v>117.50835409744559</v>
      </c>
      <c r="K240" s="34">
        <v>5000</v>
      </c>
      <c r="L240" s="34">
        <v>300.98922441701143</v>
      </c>
      <c r="M240" s="34">
        <v>5000</v>
      </c>
      <c r="N240" s="34">
        <v>441.96578949371997</v>
      </c>
      <c r="O240" s="34">
        <v>5000</v>
      </c>
      <c r="P240" s="34">
        <v>270.04100541378921</v>
      </c>
      <c r="Q240" s="34">
        <v>5000</v>
      </c>
    </row>
    <row r="241" spans="6:17">
      <c r="F241" s="32">
        <v>212</v>
      </c>
      <c r="G241" s="33">
        <v>4.7950296328370508E-2</v>
      </c>
      <c r="H241" s="34">
        <v>1007.3065753489063</v>
      </c>
      <c r="I241" s="34">
        <v>21007.306575348906</v>
      </c>
      <c r="J241" s="34">
        <v>118.27901768988522</v>
      </c>
      <c r="K241" s="34">
        <v>5000</v>
      </c>
      <c r="L241" s="34">
        <v>259.98217690691763</v>
      </c>
      <c r="M241" s="34">
        <v>5000</v>
      </c>
      <c r="N241" s="34">
        <v>338.22199187073602</v>
      </c>
      <c r="O241" s="34">
        <v>5000</v>
      </c>
      <c r="P241" s="34">
        <v>290.82338888136837</v>
      </c>
      <c r="Q241" s="34">
        <v>5000</v>
      </c>
    </row>
    <row r="242" spans="6:17">
      <c r="F242" s="32">
        <v>213</v>
      </c>
      <c r="G242" s="33">
        <v>5.2372269769709982E-2</v>
      </c>
      <c r="H242" s="34">
        <v>1105.3342594139285</v>
      </c>
      <c r="I242" s="34">
        <v>21105.334259413929</v>
      </c>
      <c r="J242" s="34">
        <v>116.05778636328887</v>
      </c>
      <c r="K242" s="34">
        <v>5000</v>
      </c>
      <c r="L242" s="34">
        <v>246.74085591658513</v>
      </c>
      <c r="M242" s="34">
        <v>5000</v>
      </c>
      <c r="N242" s="34">
        <v>459.68467603481895</v>
      </c>
      <c r="O242" s="34">
        <v>5000</v>
      </c>
      <c r="P242" s="34">
        <v>282.85094109923284</v>
      </c>
      <c r="Q242" s="34">
        <v>5000</v>
      </c>
    </row>
    <row r="243" spans="6:17">
      <c r="F243" s="32">
        <v>214</v>
      </c>
      <c r="G243" s="33">
        <v>5.3211971713627307E-2</v>
      </c>
      <c r="H243" s="34">
        <v>1124.0524832139599</v>
      </c>
      <c r="I243" s="34">
        <v>21124.05248321396</v>
      </c>
      <c r="J243" s="34">
        <v>121.40338449156025</v>
      </c>
      <c r="K243" s="34">
        <v>5000</v>
      </c>
      <c r="L243" s="34">
        <v>273.45721986719309</v>
      </c>
      <c r="M243" s="34">
        <v>5000</v>
      </c>
      <c r="N243" s="34">
        <v>450.33603226880859</v>
      </c>
      <c r="O243" s="34">
        <v>5000</v>
      </c>
      <c r="P243" s="34">
        <v>278.855846586398</v>
      </c>
      <c r="Q243" s="34">
        <v>5000</v>
      </c>
    </row>
    <row r="244" spans="6:17">
      <c r="F244" s="32">
        <v>215</v>
      </c>
      <c r="G244" s="33">
        <v>4.7360676287243629E-2</v>
      </c>
      <c r="H244" s="34">
        <v>994.30445727692859</v>
      </c>
      <c r="I244" s="34">
        <v>20994.304457276929</v>
      </c>
      <c r="J244" s="34">
        <v>120.44495953669139</v>
      </c>
      <c r="K244" s="34">
        <v>5000</v>
      </c>
      <c r="L244" s="34">
        <v>183.06267030842355</v>
      </c>
      <c r="M244" s="34">
        <v>5000</v>
      </c>
      <c r="N244" s="34">
        <v>416.26487381129846</v>
      </c>
      <c r="O244" s="34">
        <v>5000</v>
      </c>
      <c r="P244" s="34">
        <v>274.53195362051338</v>
      </c>
      <c r="Q244" s="34">
        <v>5000</v>
      </c>
    </row>
    <row r="245" spans="6:17">
      <c r="F245" s="32">
        <v>216</v>
      </c>
      <c r="G245" s="33">
        <v>4.9839659489166702E-2</v>
      </c>
      <c r="H245" s="34">
        <v>1049.0789262446269</v>
      </c>
      <c r="I245" s="34">
        <v>21049.078926244627</v>
      </c>
      <c r="J245" s="34">
        <v>105.16915795357909</v>
      </c>
      <c r="K245" s="34">
        <v>5000</v>
      </c>
      <c r="L245" s="34">
        <v>265.34968938797192</v>
      </c>
      <c r="M245" s="34">
        <v>5000</v>
      </c>
      <c r="N245" s="34">
        <v>409.56015414508784</v>
      </c>
      <c r="O245" s="34">
        <v>5000</v>
      </c>
      <c r="P245" s="34">
        <v>268.99992475798899</v>
      </c>
      <c r="Q245" s="34">
        <v>5000</v>
      </c>
    </row>
    <row r="246" spans="6:17">
      <c r="F246" s="32">
        <v>217</v>
      </c>
      <c r="G246" s="33">
        <v>5.1588109802357361E-2</v>
      </c>
      <c r="H246" s="34">
        <v>1087.8840793867894</v>
      </c>
      <c r="I246" s="34">
        <v>21087.884079386789</v>
      </c>
      <c r="J246" s="34">
        <v>107.83900332079793</v>
      </c>
      <c r="K246" s="34">
        <v>5000</v>
      </c>
      <c r="L246" s="34">
        <v>186.52255720996163</v>
      </c>
      <c r="M246" s="34">
        <v>5000</v>
      </c>
      <c r="N246" s="34">
        <v>521.99599677355218</v>
      </c>
      <c r="O246" s="34">
        <v>5000</v>
      </c>
      <c r="P246" s="34">
        <v>271.52652208247582</v>
      </c>
      <c r="Q246" s="34">
        <v>5000</v>
      </c>
    </row>
    <row r="247" spans="6:17">
      <c r="F247" s="32">
        <v>218</v>
      </c>
      <c r="G247" s="33">
        <v>4.3822599191974662E-2</v>
      </c>
      <c r="H247" s="34">
        <v>916.620684716916</v>
      </c>
      <c r="I247" s="34">
        <v>20916.620684716916</v>
      </c>
      <c r="J247" s="34">
        <v>110.29798458012465</v>
      </c>
      <c r="K247" s="34">
        <v>5000</v>
      </c>
      <c r="L247" s="34">
        <v>200.90186009258559</v>
      </c>
      <c r="M247" s="34">
        <v>5000</v>
      </c>
      <c r="N247" s="34">
        <v>329.97634233766166</v>
      </c>
      <c r="O247" s="34">
        <v>5000</v>
      </c>
      <c r="P247" s="34">
        <v>275.44449770654137</v>
      </c>
      <c r="Q247" s="34">
        <v>5000</v>
      </c>
    </row>
    <row r="248" spans="6:17">
      <c r="F248" s="32">
        <v>219</v>
      </c>
      <c r="G248" s="33">
        <v>5.4132491520762625E-2</v>
      </c>
      <c r="H248" s="34">
        <v>1144.6104456594912</v>
      </c>
      <c r="I248" s="34">
        <v>21144.610445659491</v>
      </c>
      <c r="J248" s="34">
        <v>124.32452996475422</v>
      </c>
      <c r="K248" s="34">
        <v>5000</v>
      </c>
      <c r="L248" s="34">
        <v>248.30781295157794</v>
      </c>
      <c r="M248" s="34">
        <v>5000</v>
      </c>
      <c r="N248" s="34">
        <v>495.72076685159209</v>
      </c>
      <c r="O248" s="34">
        <v>5000</v>
      </c>
      <c r="P248" s="34">
        <v>276.25733589156789</v>
      </c>
      <c r="Q248" s="34">
        <v>5000</v>
      </c>
    </row>
    <row r="249" spans="6:17">
      <c r="F249" s="32">
        <v>220</v>
      </c>
      <c r="G249" s="33">
        <v>5.6401987709257188E-2</v>
      </c>
      <c r="H249" s="34">
        <v>1195.4664374998392</v>
      </c>
      <c r="I249" s="34">
        <v>21195.466437499839</v>
      </c>
      <c r="J249" s="34">
        <v>116.10938996079494</v>
      </c>
      <c r="K249" s="34">
        <v>5000</v>
      </c>
      <c r="L249" s="34">
        <v>263.53323373950843</v>
      </c>
      <c r="M249" s="34">
        <v>5000</v>
      </c>
      <c r="N249" s="34">
        <v>529.55518376761574</v>
      </c>
      <c r="O249" s="34">
        <v>5000</v>
      </c>
      <c r="P249" s="34">
        <v>286.26863003191829</v>
      </c>
      <c r="Q249" s="34">
        <v>5000</v>
      </c>
    </row>
    <row r="250" spans="6:17">
      <c r="F250" s="32">
        <v>221</v>
      </c>
      <c r="G250" s="33">
        <v>5.4978229582235381E-2</v>
      </c>
      <c r="H250" s="34">
        <v>1163.5336095576131</v>
      </c>
      <c r="I250" s="34">
        <v>21163.533609557613</v>
      </c>
      <c r="J250" s="34">
        <v>104.65180814791074</v>
      </c>
      <c r="K250" s="34">
        <v>5000</v>
      </c>
      <c r="L250" s="34">
        <v>247.03799430508934</v>
      </c>
      <c r="M250" s="34">
        <v>5000</v>
      </c>
      <c r="N250" s="34">
        <v>540.33486132607504</v>
      </c>
      <c r="O250" s="34">
        <v>5000</v>
      </c>
      <c r="P250" s="34">
        <v>271.50894577853796</v>
      </c>
      <c r="Q250" s="34">
        <v>5000</v>
      </c>
    </row>
    <row r="251" spans="6:17">
      <c r="F251" s="32">
        <v>222</v>
      </c>
      <c r="G251" s="33">
        <v>4.781466771760072E-2</v>
      </c>
      <c r="H251" s="34">
        <v>1004.3143093369945</v>
      </c>
      <c r="I251" s="34">
        <v>21004.314309336994</v>
      </c>
      <c r="J251" s="34">
        <v>110.62292296582382</v>
      </c>
      <c r="K251" s="34">
        <v>5000</v>
      </c>
      <c r="L251" s="34">
        <v>266.36812332923364</v>
      </c>
      <c r="M251" s="34">
        <v>5000</v>
      </c>
      <c r="N251" s="34">
        <v>360.54896559039298</v>
      </c>
      <c r="O251" s="34">
        <v>5000</v>
      </c>
      <c r="P251" s="34">
        <v>266.77429745154495</v>
      </c>
      <c r="Q251" s="34">
        <v>5000</v>
      </c>
    </row>
    <row r="252" spans="6:17">
      <c r="F252" s="32">
        <v>223</v>
      </c>
      <c r="G252" s="33">
        <v>5.8952443444537254E-2</v>
      </c>
      <c r="H252" s="34">
        <v>1252.9110358741527</v>
      </c>
      <c r="I252" s="34">
        <v>21252.911035874153</v>
      </c>
      <c r="J252" s="34">
        <v>118.672368444114</v>
      </c>
      <c r="K252" s="34">
        <v>5000</v>
      </c>
      <c r="L252" s="34">
        <v>245.6013654734752</v>
      </c>
      <c r="M252" s="34">
        <v>5000</v>
      </c>
      <c r="N252" s="34">
        <v>595.2076394135911</v>
      </c>
      <c r="O252" s="34">
        <v>5000</v>
      </c>
      <c r="P252" s="34">
        <v>293.42966254297244</v>
      </c>
      <c r="Q252" s="34">
        <v>5000</v>
      </c>
    </row>
    <row r="253" spans="6:17">
      <c r="F253" s="32">
        <v>224</v>
      </c>
      <c r="G253" s="33">
        <v>5.0619272007011315E-2</v>
      </c>
      <c r="H253" s="34">
        <v>1066.3640100220182</v>
      </c>
      <c r="I253" s="34">
        <v>21066.364010022018</v>
      </c>
      <c r="J253" s="34">
        <v>105.61774380897987</v>
      </c>
      <c r="K253" s="34">
        <v>5000</v>
      </c>
      <c r="L253" s="34">
        <v>248.37196354625576</v>
      </c>
      <c r="M253" s="34">
        <v>5000</v>
      </c>
      <c r="N253" s="34">
        <v>448.85331638619573</v>
      </c>
      <c r="O253" s="34">
        <v>5000</v>
      </c>
      <c r="P253" s="34">
        <v>263.52098628058684</v>
      </c>
      <c r="Q253" s="34">
        <v>5000</v>
      </c>
    </row>
    <row r="254" spans="6:17">
      <c r="F254" s="32">
        <v>225</v>
      </c>
      <c r="G254" s="33">
        <v>5.2230297826301272E-2</v>
      </c>
      <c r="H254" s="34">
        <v>1102.1727684797625</v>
      </c>
      <c r="I254" s="34">
        <v>21102.172768479762</v>
      </c>
      <c r="J254" s="34">
        <v>118.9153481059393</v>
      </c>
      <c r="K254" s="34">
        <v>5000</v>
      </c>
      <c r="L254" s="34">
        <v>246.72435171634697</v>
      </c>
      <c r="M254" s="34">
        <v>5000</v>
      </c>
      <c r="N254" s="34">
        <v>459.23486104826134</v>
      </c>
      <c r="O254" s="34">
        <v>5000</v>
      </c>
      <c r="P254" s="34">
        <v>277.29820760921575</v>
      </c>
      <c r="Q254" s="34">
        <v>5000</v>
      </c>
    </row>
    <row r="255" spans="6:17">
      <c r="F255" s="32">
        <v>226</v>
      </c>
      <c r="G255" s="33">
        <v>5.7878462182293949E-2</v>
      </c>
      <c r="H255" s="34">
        <v>1228.6835585217887</v>
      </c>
      <c r="I255" s="34">
        <v>21228.683558521789</v>
      </c>
      <c r="J255" s="34">
        <v>117.65250599871524</v>
      </c>
      <c r="K255" s="34">
        <v>5000</v>
      </c>
      <c r="L255" s="34">
        <v>333.50533908509988</v>
      </c>
      <c r="M255" s="34">
        <v>5000</v>
      </c>
      <c r="N255" s="34">
        <v>510.66499749998184</v>
      </c>
      <c r="O255" s="34">
        <v>5000</v>
      </c>
      <c r="P255" s="34">
        <v>266.86071593799261</v>
      </c>
      <c r="Q255" s="34">
        <v>5000</v>
      </c>
    </row>
    <row r="256" spans="6:17">
      <c r="F256" s="32">
        <v>227</v>
      </c>
      <c r="G256" s="33">
        <v>5.3382548108628358E-2</v>
      </c>
      <c r="H256" s="34">
        <v>1127.8589466519625</v>
      </c>
      <c r="I256" s="34">
        <v>21127.858946651962</v>
      </c>
      <c r="J256" s="34">
        <v>109.96321165604149</v>
      </c>
      <c r="K256" s="34">
        <v>5000</v>
      </c>
      <c r="L256" s="34">
        <v>292.18291632750879</v>
      </c>
      <c r="M256" s="34">
        <v>5000</v>
      </c>
      <c r="N256" s="34">
        <v>452.43966827496024</v>
      </c>
      <c r="O256" s="34">
        <v>5000</v>
      </c>
      <c r="P256" s="34">
        <v>273.27315039345194</v>
      </c>
      <c r="Q256" s="34">
        <v>5000</v>
      </c>
    </row>
    <row r="257" spans="6:17">
      <c r="F257" s="32">
        <v>228</v>
      </c>
      <c r="G257" s="33">
        <v>4.7130054109122591E-2</v>
      </c>
      <c r="H257" s="34">
        <v>989.22322636713579</v>
      </c>
      <c r="I257" s="34">
        <v>20989.223226367136</v>
      </c>
      <c r="J257" s="34">
        <v>114.14257104941316</v>
      </c>
      <c r="K257" s="34">
        <v>5000</v>
      </c>
      <c r="L257" s="34">
        <v>210.65271644488712</v>
      </c>
      <c r="M257" s="34">
        <v>5000</v>
      </c>
      <c r="N257" s="34">
        <v>378.70593254024789</v>
      </c>
      <c r="O257" s="34">
        <v>5000</v>
      </c>
      <c r="P257" s="34">
        <v>285.72200633258853</v>
      </c>
      <c r="Q257" s="34">
        <v>5000</v>
      </c>
    </row>
    <row r="258" spans="6:17">
      <c r="F258" s="32">
        <v>229</v>
      </c>
      <c r="G258" s="33">
        <v>5.1064925185026137E-2</v>
      </c>
      <c r="H258" s="34">
        <v>1076.257513086086</v>
      </c>
      <c r="I258" s="34">
        <v>21076.257513086086</v>
      </c>
      <c r="J258" s="34">
        <v>120.96776677250273</v>
      </c>
      <c r="K258" s="34">
        <v>5000</v>
      </c>
      <c r="L258" s="34">
        <v>269.27755059988976</v>
      </c>
      <c r="M258" s="34">
        <v>5000</v>
      </c>
      <c r="N258" s="34">
        <v>407.38765739367864</v>
      </c>
      <c r="O258" s="34">
        <v>5000</v>
      </c>
      <c r="P258" s="34">
        <v>278.62453832001484</v>
      </c>
      <c r="Q258" s="34">
        <v>5000</v>
      </c>
    </row>
    <row r="259" spans="6:17">
      <c r="F259" s="32">
        <v>230</v>
      </c>
      <c r="G259" s="33">
        <v>4.9649686045244501E-2</v>
      </c>
      <c r="H259" s="34">
        <v>1044.8712504473006</v>
      </c>
      <c r="I259" s="34">
        <v>21044.871250447301</v>
      </c>
      <c r="J259" s="34">
        <v>117.09875185129931</v>
      </c>
      <c r="K259" s="34">
        <v>5000</v>
      </c>
      <c r="L259" s="34">
        <v>289.5261156417655</v>
      </c>
      <c r="M259" s="34">
        <v>5000</v>
      </c>
      <c r="N259" s="34">
        <v>356.66397040463835</v>
      </c>
      <c r="O259" s="34">
        <v>5000</v>
      </c>
      <c r="P259" s="34">
        <v>281.58241254959466</v>
      </c>
      <c r="Q259" s="34">
        <v>5000</v>
      </c>
    </row>
    <row r="260" spans="6:17">
      <c r="F260" s="32">
        <v>231</v>
      </c>
      <c r="G260" s="33">
        <v>5.7030488575854306E-2</v>
      </c>
      <c r="H260" s="34">
        <v>1209.5934785785903</v>
      </c>
      <c r="I260" s="34">
        <v>21209.59347857859</v>
      </c>
      <c r="J260" s="34">
        <v>115.37709252817876</v>
      </c>
      <c r="K260" s="34">
        <v>5000</v>
      </c>
      <c r="L260" s="34">
        <v>284.69733843643917</v>
      </c>
      <c r="M260" s="34">
        <v>5000</v>
      </c>
      <c r="N260" s="34">
        <v>522.24272518113776</v>
      </c>
      <c r="O260" s="34">
        <v>5000</v>
      </c>
      <c r="P260" s="34">
        <v>287.2763224328346</v>
      </c>
      <c r="Q260" s="34">
        <v>5000</v>
      </c>
    </row>
    <row r="261" spans="6:17">
      <c r="F261" s="32">
        <v>232</v>
      </c>
      <c r="G261" s="33">
        <v>5.282143156426708E-2</v>
      </c>
      <c r="H261" s="34">
        <v>1115.3426254460501</v>
      </c>
      <c r="I261" s="34">
        <v>21115.34262544605</v>
      </c>
      <c r="J261" s="34">
        <v>121.22333116870777</v>
      </c>
      <c r="K261" s="34">
        <v>5000</v>
      </c>
      <c r="L261" s="34">
        <v>226.75575385853881</v>
      </c>
      <c r="M261" s="34">
        <v>5000</v>
      </c>
      <c r="N261" s="34">
        <v>484.92546061589383</v>
      </c>
      <c r="O261" s="34">
        <v>5000</v>
      </c>
      <c r="P261" s="34">
        <v>282.43807980290876</v>
      </c>
      <c r="Q261" s="34">
        <v>5000</v>
      </c>
    </row>
    <row r="262" spans="6:17">
      <c r="F262" s="32">
        <v>233</v>
      </c>
      <c r="G262" s="33">
        <v>5.4971397020779571E-2</v>
      </c>
      <c r="H262" s="34">
        <v>1163.3805971053407</v>
      </c>
      <c r="I262" s="34">
        <v>21163.380597105341</v>
      </c>
      <c r="J262" s="34">
        <v>122.71753067349619</v>
      </c>
      <c r="K262" s="34">
        <v>5000</v>
      </c>
      <c r="L262" s="34">
        <v>320.45653924965791</v>
      </c>
      <c r="M262" s="34">
        <v>5000</v>
      </c>
      <c r="N262" s="34">
        <v>441.084444224668</v>
      </c>
      <c r="O262" s="34">
        <v>5000</v>
      </c>
      <c r="P262" s="34">
        <v>279.12208295751861</v>
      </c>
      <c r="Q262" s="34">
        <v>5000</v>
      </c>
    </row>
    <row r="263" spans="6:17">
      <c r="F263" s="32">
        <v>234</v>
      </c>
      <c r="G263" s="33">
        <v>5.410335364372177E-2</v>
      </c>
      <c r="H263" s="34">
        <v>1143.9590964221134</v>
      </c>
      <c r="I263" s="34">
        <v>21143.959096422113</v>
      </c>
      <c r="J263" s="34">
        <v>120.74812854190259</v>
      </c>
      <c r="K263" s="34">
        <v>5000</v>
      </c>
      <c r="L263" s="34">
        <v>266.28257302582642</v>
      </c>
      <c r="M263" s="34">
        <v>5000</v>
      </c>
      <c r="N263" s="34">
        <v>469.29500528045901</v>
      </c>
      <c r="O263" s="34">
        <v>5000</v>
      </c>
      <c r="P263" s="34">
        <v>287.63338957392625</v>
      </c>
      <c r="Q263" s="34">
        <v>5000</v>
      </c>
    </row>
    <row r="264" spans="6:17">
      <c r="F264" s="32">
        <v>235</v>
      </c>
      <c r="G264" s="33">
        <v>4.7067776902836846E-2</v>
      </c>
      <c r="H264" s="34">
        <v>987.85151266813045</v>
      </c>
      <c r="I264" s="34">
        <v>20987.85151266813</v>
      </c>
      <c r="J264" s="34">
        <v>116.83742803199038</v>
      </c>
      <c r="K264" s="34">
        <v>5000</v>
      </c>
      <c r="L264" s="34">
        <v>187.37757982459698</v>
      </c>
      <c r="M264" s="34">
        <v>5000</v>
      </c>
      <c r="N264" s="34">
        <v>400.57461582838641</v>
      </c>
      <c r="O264" s="34">
        <v>5000</v>
      </c>
      <c r="P264" s="34">
        <v>283.06188898315759</v>
      </c>
      <c r="Q264" s="34">
        <v>5000</v>
      </c>
    </row>
    <row r="265" spans="6:17">
      <c r="F265" s="32">
        <v>236</v>
      </c>
      <c r="G265" s="33">
        <v>4.8416386880335331E-2</v>
      </c>
      <c r="H265" s="34">
        <v>1017.596062244229</v>
      </c>
      <c r="I265" s="34">
        <v>21017.596062244229</v>
      </c>
      <c r="J265" s="34">
        <v>112.00603580298139</v>
      </c>
      <c r="K265" s="34">
        <v>5000</v>
      </c>
      <c r="L265" s="34">
        <v>219.90358004458358</v>
      </c>
      <c r="M265" s="34">
        <v>5000</v>
      </c>
      <c r="N265" s="34">
        <v>409.30454244099656</v>
      </c>
      <c r="O265" s="34">
        <v>5000</v>
      </c>
      <c r="P265" s="34">
        <v>276.38190395566471</v>
      </c>
      <c r="Q265" s="34">
        <v>5000</v>
      </c>
    </row>
    <row r="266" spans="6:17">
      <c r="F266" s="32">
        <v>237</v>
      </c>
      <c r="G266" s="33">
        <v>4.9511096055645971E-2</v>
      </c>
      <c r="H266" s="34">
        <v>1041.8027154274823</v>
      </c>
      <c r="I266" s="34">
        <v>21041.802715427482</v>
      </c>
      <c r="J266" s="34">
        <v>113.74373324944463</v>
      </c>
      <c r="K266" s="34">
        <v>5000</v>
      </c>
      <c r="L266" s="34">
        <v>248.8823803102905</v>
      </c>
      <c r="M266" s="34">
        <v>5000</v>
      </c>
      <c r="N266" s="34">
        <v>419.73025989140115</v>
      </c>
      <c r="O266" s="34">
        <v>5000</v>
      </c>
      <c r="P266" s="34">
        <v>259.44634197634696</v>
      </c>
      <c r="Q266" s="34">
        <v>5000</v>
      </c>
    </row>
    <row r="267" spans="6:17">
      <c r="F267" s="32">
        <v>238</v>
      </c>
      <c r="G267" s="33">
        <v>5.8329528763262604E-2</v>
      </c>
      <c r="H267" s="34">
        <v>1238.8522427947828</v>
      </c>
      <c r="I267" s="34">
        <v>21238.852242794783</v>
      </c>
      <c r="J267" s="34">
        <v>121.19240987469129</v>
      </c>
      <c r="K267" s="34">
        <v>5000</v>
      </c>
      <c r="L267" s="34">
        <v>296.1451046764696</v>
      </c>
      <c r="M267" s="34">
        <v>5000</v>
      </c>
      <c r="N267" s="34">
        <v>563.0352483840843</v>
      </c>
      <c r="O267" s="34">
        <v>5000</v>
      </c>
      <c r="P267" s="34">
        <v>258.47947985954124</v>
      </c>
      <c r="Q267" s="34">
        <v>5000</v>
      </c>
    </row>
    <row r="268" spans="6:17">
      <c r="F268" s="32">
        <v>239</v>
      </c>
      <c r="G268" s="33">
        <v>5.326478951340189E-2</v>
      </c>
      <c r="H268" s="34">
        <v>1125.2309816601228</v>
      </c>
      <c r="I268" s="34">
        <v>21125.230981660123</v>
      </c>
      <c r="J268" s="34">
        <v>115.40976705153389</v>
      </c>
      <c r="K268" s="34">
        <v>5000</v>
      </c>
      <c r="L268" s="34">
        <v>243.87627741006872</v>
      </c>
      <c r="M268" s="34">
        <v>5000</v>
      </c>
      <c r="N268" s="34">
        <v>503.86188597432374</v>
      </c>
      <c r="O268" s="34">
        <v>5000</v>
      </c>
      <c r="P268" s="34">
        <v>262.08305122419642</v>
      </c>
      <c r="Q268" s="34">
        <v>5000</v>
      </c>
    </row>
    <row r="269" spans="6:17">
      <c r="F269" s="32">
        <v>240</v>
      </c>
      <c r="G269" s="33">
        <v>5.235893468751978E-2</v>
      </c>
      <c r="H269" s="34">
        <v>1105.0372678869644</v>
      </c>
      <c r="I269" s="34">
        <v>21105.037267886964</v>
      </c>
      <c r="J269" s="34">
        <v>115.83545026005777</v>
      </c>
      <c r="K269" s="34">
        <v>5000</v>
      </c>
      <c r="L269" s="34">
        <v>296.89237087324091</v>
      </c>
      <c r="M269" s="34">
        <v>5000</v>
      </c>
      <c r="N269" s="34">
        <v>409.21621053380204</v>
      </c>
      <c r="O269" s="34">
        <v>5000</v>
      </c>
      <c r="P269" s="34">
        <v>283.09323621986186</v>
      </c>
      <c r="Q269" s="34">
        <v>5000</v>
      </c>
    </row>
    <row r="270" spans="6:17">
      <c r="F270" s="32">
        <v>241</v>
      </c>
      <c r="G270" s="33">
        <v>5.1025520148657647E-2</v>
      </c>
      <c r="H270" s="34">
        <v>1075.3823465653331</v>
      </c>
      <c r="I270" s="34">
        <v>21075.382346565333</v>
      </c>
      <c r="J270" s="34">
        <v>113.52771416554151</v>
      </c>
      <c r="K270" s="34">
        <v>5000</v>
      </c>
      <c r="L270" s="34">
        <v>311.73102031373855</v>
      </c>
      <c r="M270" s="34">
        <v>5000</v>
      </c>
      <c r="N270" s="34">
        <v>387.05921917605519</v>
      </c>
      <c r="O270" s="34">
        <v>5000</v>
      </c>
      <c r="P270" s="34">
        <v>263.06439290999788</v>
      </c>
      <c r="Q270" s="34">
        <v>5000</v>
      </c>
    </row>
    <row r="271" spans="6:17">
      <c r="F271" s="32">
        <v>242</v>
      </c>
      <c r="G271" s="33">
        <v>5.3193040231373417E-2</v>
      </c>
      <c r="H271" s="34">
        <v>1123.6301060645419</v>
      </c>
      <c r="I271" s="34">
        <v>21123.630106064542</v>
      </c>
      <c r="J271" s="34">
        <v>122.70811373708966</v>
      </c>
      <c r="K271" s="34">
        <v>5000</v>
      </c>
      <c r="L271" s="34">
        <v>283.50322167377544</v>
      </c>
      <c r="M271" s="34">
        <v>5000</v>
      </c>
      <c r="N271" s="34">
        <v>420.74477479739562</v>
      </c>
      <c r="O271" s="34">
        <v>5000</v>
      </c>
      <c r="P271" s="34">
        <v>296.67399585627936</v>
      </c>
      <c r="Q271" s="34">
        <v>5000</v>
      </c>
    </row>
    <row r="272" spans="6:17">
      <c r="F272" s="32">
        <v>243</v>
      </c>
      <c r="G272" s="33">
        <v>4.5118487154392956E-2</v>
      </c>
      <c r="H272" s="34">
        <v>945.00703066157439</v>
      </c>
      <c r="I272" s="34">
        <v>20945.007030661574</v>
      </c>
      <c r="J272" s="34">
        <v>121.47444498623463</v>
      </c>
      <c r="K272" s="34">
        <v>5000</v>
      </c>
      <c r="L272" s="34">
        <v>257.9819674465507</v>
      </c>
      <c r="M272" s="34">
        <v>5000</v>
      </c>
      <c r="N272" s="34">
        <v>294.93889279810992</v>
      </c>
      <c r="O272" s="34">
        <v>5000</v>
      </c>
      <c r="P272" s="34">
        <v>270.61172543068005</v>
      </c>
      <c r="Q272" s="34">
        <v>5000</v>
      </c>
    </row>
    <row r="273" spans="6:17">
      <c r="F273" s="32">
        <v>244</v>
      </c>
      <c r="G273" s="33">
        <v>5.7750275061864254E-2</v>
      </c>
      <c r="H273" s="34">
        <v>1225.7955302805931</v>
      </c>
      <c r="I273" s="34">
        <v>21225.795530280593</v>
      </c>
      <c r="J273" s="34">
        <v>117.06027601091228</v>
      </c>
      <c r="K273" s="34">
        <v>5000</v>
      </c>
      <c r="L273" s="34">
        <v>271.4381507550861</v>
      </c>
      <c r="M273" s="34">
        <v>5000</v>
      </c>
      <c r="N273" s="34">
        <v>553.08711175101507</v>
      </c>
      <c r="O273" s="34">
        <v>5000</v>
      </c>
      <c r="P273" s="34">
        <v>284.20999176357964</v>
      </c>
      <c r="Q273" s="34">
        <v>5000</v>
      </c>
    </row>
    <row r="274" spans="6:17">
      <c r="F274" s="32">
        <v>245</v>
      </c>
      <c r="G274" s="33">
        <v>5.0644247834086116E-2</v>
      </c>
      <c r="H274" s="34">
        <v>1066.9182278306835</v>
      </c>
      <c r="I274" s="34">
        <v>21066.918227830683</v>
      </c>
      <c r="J274" s="34">
        <v>121.90289472794302</v>
      </c>
      <c r="K274" s="34">
        <v>5000</v>
      </c>
      <c r="L274" s="34">
        <v>200.70322917320209</v>
      </c>
      <c r="M274" s="34">
        <v>5000</v>
      </c>
      <c r="N274" s="34">
        <v>450.38416272294216</v>
      </c>
      <c r="O274" s="34">
        <v>5000</v>
      </c>
      <c r="P274" s="34">
        <v>293.92794120659346</v>
      </c>
      <c r="Q274" s="34">
        <v>5000</v>
      </c>
    </row>
    <row r="275" spans="6:17">
      <c r="F275" s="32">
        <v>246</v>
      </c>
      <c r="G275" s="33">
        <v>4.6142267410477868E-2</v>
      </c>
      <c r="H275" s="34">
        <v>967.48741104632791</v>
      </c>
      <c r="I275" s="34">
        <v>20967.487411046328</v>
      </c>
      <c r="J275" s="34">
        <v>108.76235359512975</v>
      </c>
      <c r="K275" s="34">
        <v>5000</v>
      </c>
      <c r="L275" s="34">
        <v>230.7326064531253</v>
      </c>
      <c r="M275" s="34">
        <v>5000</v>
      </c>
      <c r="N275" s="34">
        <v>347.16309626388284</v>
      </c>
      <c r="O275" s="34">
        <v>5000</v>
      </c>
      <c r="P275" s="34">
        <v>280.82935473419184</v>
      </c>
      <c r="Q275" s="34">
        <v>5000</v>
      </c>
    </row>
    <row r="276" spans="6:17">
      <c r="F276" s="32">
        <v>247</v>
      </c>
      <c r="G276" s="33">
        <v>5.582807569939275E-2</v>
      </c>
      <c r="H276" s="34">
        <v>1182.5828381996689</v>
      </c>
      <c r="I276" s="34">
        <v>21182.582838199669</v>
      </c>
      <c r="J276" s="34">
        <v>112.94082602834987</v>
      </c>
      <c r="K276" s="34">
        <v>5000</v>
      </c>
      <c r="L276" s="34">
        <v>213.84847473673653</v>
      </c>
      <c r="M276" s="34">
        <v>5000</v>
      </c>
      <c r="N276" s="34">
        <v>565.5137135773648</v>
      </c>
      <c r="O276" s="34">
        <v>5000</v>
      </c>
      <c r="P276" s="34">
        <v>290.2798238572168</v>
      </c>
      <c r="Q276" s="34">
        <v>5000</v>
      </c>
    </row>
    <row r="277" spans="6:17">
      <c r="F277" s="32">
        <v>248</v>
      </c>
      <c r="G277" s="33">
        <v>5.6100630386568255E-2</v>
      </c>
      <c r="H277" s="34">
        <v>1188.6993930199133</v>
      </c>
      <c r="I277" s="34">
        <v>21188.699393019913</v>
      </c>
      <c r="J277" s="34">
        <v>125.46878705142171</v>
      </c>
      <c r="K277" s="34">
        <v>5000</v>
      </c>
      <c r="L277" s="34">
        <v>202.77995858028135</v>
      </c>
      <c r="M277" s="34">
        <v>5000</v>
      </c>
      <c r="N277" s="34">
        <v>580.3599075309121</v>
      </c>
      <c r="O277" s="34">
        <v>5000</v>
      </c>
      <c r="P277" s="34">
        <v>280.09073985729719</v>
      </c>
      <c r="Q277" s="34">
        <v>5000</v>
      </c>
    </row>
    <row r="278" spans="6:17">
      <c r="F278" s="32">
        <v>249</v>
      </c>
      <c r="G278" s="33">
        <v>5.4756137791038481E-2</v>
      </c>
      <c r="H278" s="34">
        <v>1158.5610863016373</v>
      </c>
      <c r="I278" s="34">
        <v>21158.561086301637</v>
      </c>
      <c r="J278" s="34">
        <v>108.30600785160459</v>
      </c>
      <c r="K278" s="34">
        <v>5000</v>
      </c>
      <c r="L278" s="34">
        <v>297.82855986622417</v>
      </c>
      <c r="M278" s="34">
        <v>5000</v>
      </c>
      <c r="N278" s="34">
        <v>474.33324363132942</v>
      </c>
      <c r="O278" s="34">
        <v>5000</v>
      </c>
      <c r="P278" s="34">
        <v>278.09327495247999</v>
      </c>
      <c r="Q278" s="34">
        <v>5000</v>
      </c>
    </row>
    <row r="279" spans="6:17">
      <c r="F279" s="32">
        <v>250</v>
      </c>
      <c r="G279" s="33">
        <v>5.4954057278445725E-2</v>
      </c>
      <c r="H279" s="34">
        <v>1162.9922905163403</v>
      </c>
      <c r="I279" s="34">
        <v>21162.99229051634</v>
      </c>
      <c r="J279" s="34">
        <v>110.95286879107789</v>
      </c>
      <c r="K279" s="34">
        <v>5000</v>
      </c>
      <c r="L279" s="34">
        <v>252.11154743672614</v>
      </c>
      <c r="M279" s="34">
        <v>5000</v>
      </c>
      <c r="N279" s="34">
        <v>525.17703468491618</v>
      </c>
      <c r="O279" s="34">
        <v>5000</v>
      </c>
      <c r="P279" s="34">
        <v>274.75083960362008</v>
      </c>
      <c r="Q279" s="34">
        <v>5000</v>
      </c>
    </row>
    <row r="280" spans="6:17">
      <c r="F280" s="32">
        <v>251</v>
      </c>
      <c r="G280" s="33">
        <v>4.6310230687148457E-2</v>
      </c>
      <c r="H280" s="34">
        <v>971.18019249626013</v>
      </c>
      <c r="I280" s="34">
        <v>20971.18019249626</v>
      </c>
      <c r="J280" s="34">
        <v>115.79680559801818</v>
      </c>
      <c r="K280" s="34">
        <v>5000</v>
      </c>
      <c r="L280" s="34">
        <v>295.51726813459027</v>
      </c>
      <c r="M280" s="34">
        <v>5000</v>
      </c>
      <c r="N280" s="34">
        <v>282.30111523126016</v>
      </c>
      <c r="O280" s="34">
        <v>5000</v>
      </c>
      <c r="P280" s="34">
        <v>277.56500353239335</v>
      </c>
      <c r="Q280" s="34">
        <v>5000</v>
      </c>
    </row>
    <row r="281" spans="6:17">
      <c r="F281" s="32">
        <v>252</v>
      </c>
      <c r="G281" s="33">
        <v>5.1054349159160586E-2</v>
      </c>
      <c r="H281" s="34">
        <v>1076.0226176056021</v>
      </c>
      <c r="I281" s="34">
        <v>21076.022617605602</v>
      </c>
      <c r="J281" s="34">
        <v>109.48590626312489</v>
      </c>
      <c r="K281" s="34">
        <v>5000</v>
      </c>
      <c r="L281" s="34">
        <v>249.68397142605863</v>
      </c>
      <c r="M281" s="34">
        <v>5000</v>
      </c>
      <c r="N281" s="34">
        <v>439.63220383960379</v>
      </c>
      <c r="O281" s="34">
        <v>5000</v>
      </c>
      <c r="P281" s="34">
        <v>277.22053607681482</v>
      </c>
      <c r="Q281" s="34">
        <v>5000</v>
      </c>
    </row>
    <row r="282" spans="6:17">
      <c r="F282" s="32">
        <v>253</v>
      </c>
      <c r="G282" s="33">
        <v>4.6392299761089377E-2</v>
      </c>
      <c r="H282" s="34">
        <v>972.98500734561094</v>
      </c>
      <c r="I282" s="34">
        <v>20972.985007345611</v>
      </c>
      <c r="J282" s="34">
        <v>121.53494522544224</v>
      </c>
      <c r="K282" s="34">
        <v>5000</v>
      </c>
      <c r="L282" s="34">
        <v>208.66711683739049</v>
      </c>
      <c r="M282" s="34">
        <v>5000</v>
      </c>
      <c r="N282" s="34">
        <v>372.81030194203777</v>
      </c>
      <c r="O282" s="34">
        <v>5000</v>
      </c>
      <c r="P282" s="34">
        <v>269.97264334074316</v>
      </c>
      <c r="Q282" s="34">
        <v>5000</v>
      </c>
    </row>
    <row r="283" spans="6:17">
      <c r="F283" s="32">
        <v>254</v>
      </c>
      <c r="G283" s="33">
        <v>5.1511660832775946E-2</v>
      </c>
      <c r="H283" s="34">
        <v>1086.1843779334886</v>
      </c>
      <c r="I283" s="34">
        <v>21086.184377933489</v>
      </c>
      <c r="J283" s="34">
        <v>112.6127838630091</v>
      </c>
      <c r="K283" s="34">
        <v>5000</v>
      </c>
      <c r="L283" s="34">
        <v>248.19890637315893</v>
      </c>
      <c r="M283" s="34">
        <v>5000</v>
      </c>
      <c r="N283" s="34">
        <v>419.54179382383973</v>
      </c>
      <c r="O283" s="34">
        <v>5000</v>
      </c>
      <c r="P283" s="34">
        <v>305.83089387348173</v>
      </c>
      <c r="Q283" s="34">
        <v>5000</v>
      </c>
    </row>
    <row r="284" spans="6:17">
      <c r="F284" s="32">
        <v>255</v>
      </c>
      <c r="G284" s="33">
        <v>5.1506766621066812E-2</v>
      </c>
      <c r="H284" s="34">
        <v>1086.0755735194434</v>
      </c>
      <c r="I284" s="34">
        <v>21086.075573519443</v>
      </c>
      <c r="J284" s="34">
        <v>118.58446712314799</v>
      </c>
      <c r="K284" s="34">
        <v>5000</v>
      </c>
      <c r="L284" s="34">
        <v>260.71542052044424</v>
      </c>
      <c r="M284" s="34">
        <v>5000</v>
      </c>
      <c r="N284" s="34">
        <v>421.60952500301028</v>
      </c>
      <c r="O284" s="34">
        <v>5000</v>
      </c>
      <c r="P284" s="34">
        <v>285.16616087284183</v>
      </c>
      <c r="Q284" s="34">
        <v>5000</v>
      </c>
    </row>
    <row r="285" spans="6:17">
      <c r="F285" s="32">
        <v>256</v>
      </c>
      <c r="G285" s="33">
        <v>5.4697400351075565E-2</v>
      </c>
      <c r="H285" s="34">
        <v>1157.2463753170596</v>
      </c>
      <c r="I285" s="34">
        <v>21157.24637531706</v>
      </c>
      <c r="J285" s="34">
        <v>125.61620566342117</v>
      </c>
      <c r="K285" s="34">
        <v>5000</v>
      </c>
      <c r="L285" s="34">
        <v>232.84145002871082</v>
      </c>
      <c r="M285" s="34">
        <v>5000</v>
      </c>
      <c r="N285" s="34">
        <v>506.01515422842203</v>
      </c>
      <c r="O285" s="34">
        <v>5000</v>
      </c>
      <c r="P285" s="34">
        <v>292.77356539650827</v>
      </c>
      <c r="Q285" s="34">
        <v>5000</v>
      </c>
    </row>
    <row r="286" spans="6:17">
      <c r="F286" s="32">
        <v>257</v>
      </c>
      <c r="G286" s="33">
        <v>5.1819697979116078E-2</v>
      </c>
      <c r="H286" s="34">
        <v>1093.0346869402638</v>
      </c>
      <c r="I286" s="34">
        <v>21093.034686940264</v>
      </c>
      <c r="J286" s="34">
        <v>117.0591962478029</v>
      </c>
      <c r="K286" s="34">
        <v>5000</v>
      </c>
      <c r="L286" s="34">
        <v>211.77629831353624</v>
      </c>
      <c r="M286" s="34">
        <v>5000</v>
      </c>
      <c r="N286" s="34">
        <v>480.43116787835424</v>
      </c>
      <c r="O286" s="34">
        <v>5000</v>
      </c>
      <c r="P286" s="34">
        <v>283.76802450056857</v>
      </c>
      <c r="Q286" s="34">
        <v>5000</v>
      </c>
    </row>
    <row r="287" spans="6:17">
      <c r="F287" s="32">
        <v>258</v>
      </c>
      <c r="G287" s="33">
        <v>5.3325157861462982E-2</v>
      </c>
      <c r="H287" s="34">
        <v>1126.5781129453389</v>
      </c>
      <c r="I287" s="34">
        <v>21126.578112945339</v>
      </c>
      <c r="J287" s="34">
        <v>117.72074926351888</v>
      </c>
      <c r="K287" s="34">
        <v>5000</v>
      </c>
      <c r="L287" s="34">
        <v>198.5348019639805</v>
      </c>
      <c r="M287" s="34">
        <v>5000</v>
      </c>
      <c r="N287" s="34">
        <v>509.86842556654392</v>
      </c>
      <c r="O287" s="34">
        <v>5000</v>
      </c>
      <c r="P287" s="34">
        <v>300.45413615129564</v>
      </c>
      <c r="Q287" s="34">
        <v>5000</v>
      </c>
    </row>
    <row r="288" spans="6:17">
      <c r="F288" s="32">
        <v>259</v>
      </c>
      <c r="G288" s="33">
        <v>5.2769351615221741E-2</v>
      </c>
      <c r="H288" s="34">
        <v>1114.1816769802426</v>
      </c>
      <c r="I288" s="34">
        <v>21114.181676980243</v>
      </c>
      <c r="J288" s="34">
        <v>123.06946419962424</v>
      </c>
      <c r="K288" s="34">
        <v>5000</v>
      </c>
      <c r="L288" s="34">
        <v>252.86229176277538</v>
      </c>
      <c r="M288" s="34">
        <v>5000</v>
      </c>
      <c r="N288" s="34">
        <v>458.07360504978533</v>
      </c>
      <c r="O288" s="34">
        <v>5000</v>
      </c>
      <c r="P288" s="34">
        <v>280.17631596805677</v>
      </c>
      <c r="Q288" s="34">
        <v>5000</v>
      </c>
    </row>
    <row r="289" spans="6:17">
      <c r="F289" s="32">
        <v>260</v>
      </c>
      <c r="G289" s="33">
        <v>4.7837538860701398E-2</v>
      </c>
      <c r="H289" s="34">
        <v>1004.8188373959201</v>
      </c>
      <c r="I289" s="34">
        <v>21004.81883739592</v>
      </c>
      <c r="J289" s="34">
        <v>110.63882145878961</v>
      </c>
      <c r="K289" s="34">
        <v>5000</v>
      </c>
      <c r="L289" s="34">
        <v>279.6583249020714</v>
      </c>
      <c r="M289" s="34">
        <v>5000</v>
      </c>
      <c r="N289" s="34">
        <v>336.26542673214317</v>
      </c>
      <c r="O289" s="34">
        <v>5000</v>
      </c>
      <c r="P289" s="34">
        <v>278.25626430291686</v>
      </c>
      <c r="Q289" s="34">
        <v>5000</v>
      </c>
    </row>
    <row r="290" spans="6:17">
      <c r="F290" s="32">
        <v>261</v>
      </c>
      <c r="G290" s="33">
        <v>4.6516437051624032E-2</v>
      </c>
      <c r="H290" s="34">
        <v>975.71555209164217</v>
      </c>
      <c r="I290" s="34">
        <v>20975.715552091642</v>
      </c>
      <c r="J290" s="34">
        <v>115.06839851728637</v>
      </c>
      <c r="K290" s="34">
        <v>5000</v>
      </c>
      <c r="L290" s="34">
        <v>230.83605947183332</v>
      </c>
      <c r="M290" s="34">
        <v>5000</v>
      </c>
      <c r="N290" s="34">
        <v>342.55531197477194</v>
      </c>
      <c r="O290" s="34">
        <v>5000</v>
      </c>
      <c r="P290" s="34">
        <v>287.25578212775054</v>
      </c>
      <c r="Q290" s="34">
        <v>5000</v>
      </c>
    </row>
    <row r="291" spans="6:17">
      <c r="F291" s="32">
        <v>262</v>
      </c>
      <c r="G291" s="33">
        <v>4.7527424832589697E-2</v>
      </c>
      <c r="H291" s="34">
        <v>997.97991189900858</v>
      </c>
      <c r="I291" s="34">
        <v>20997.979911899009</v>
      </c>
      <c r="J291" s="34">
        <v>124.70992318906519</v>
      </c>
      <c r="K291" s="34">
        <v>5000</v>
      </c>
      <c r="L291" s="34">
        <v>265.06797936540897</v>
      </c>
      <c r="M291" s="34">
        <v>5000</v>
      </c>
      <c r="N291" s="34">
        <v>323.12971641860531</v>
      </c>
      <c r="O291" s="34">
        <v>5000</v>
      </c>
      <c r="P291" s="34">
        <v>285.0722929259291</v>
      </c>
      <c r="Q291" s="34">
        <v>5000</v>
      </c>
    </row>
    <row r="292" spans="6:17">
      <c r="F292" s="32">
        <v>263</v>
      </c>
      <c r="G292" s="33">
        <v>4.6827412346785773E-2</v>
      </c>
      <c r="H292" s="34">
        <v>982.55893955319334</v>
      </c>
      <c r="I292" s="34">
        <v>20982.558939553193</v>
      </c>
      <c r="J292" s="34">
        <v>122.97190664081609</v>
      </c>
      <c r="K292" s="34">
        <v>5000</v>
      </c>
      <c r="L292" s="34">
        <v>227.41712845341954</v>
      </c>
      <c r="M292" s="34">
        <v>5000</v>
      </c>
      <c r="N292" s="34">
        <v>348.41159694821363</v>
      </c>
      <c r="O292" s="34">
        <v>5000</v>
      </c>
      <c r="P292" s="34">
        <v>283.75830751074409</v>
      </c>
      <c r="Q292" s="34">
        <v>5000</v>
      </c>
    </row>
    <row r="293" spans="6:17">
      <c r="F293" s="32">
        <v>264</v>
      </c>
      <c r="G293" s="33">
        <v>4.5125457494802144E-2</v>
      </c>
      <c r="H293" s="34">
        <v>945.15992386626021</v>
      </c>
      <c r="I293" s="34">
        <v>20945.15992386626</v>
      </c>
      <c r="J293" s="34">
        <v>114.13506315000632</v>
      </c>
      <c r="K293" s="34">
        <v>5000</v>
      </c>
      <c r="L293" s="34">
        <v>218.30768093435836</v>
      </c>
      <c r="M293" s="34">
        <v>5000</v>
      </c>
      <c r="N293" s="34">
        <v>332.2732207651643</v>
      </c>
      <c r="O293" s="34">
        <v>5000</v>
      </c>
      <c r="P293" s="34">
        <v>280.44395901673215</v>
      </c>
      <c r="Q293" s="34">
        <v>5000</v>
      </c>
    </row>
    <row r="294" spans="6:17">
      <c r="F294" s="32">
        <v>265</v>
      </c>
      <c r="G294" s="33">
        <v>4.2161646664450679E-2</v>
      </c>
      <c r="H294" s="34">
        <v>880.34993624191702</v>
      </c>
      <c r="I294" s="34">
        <v>20880.349936241917</v>
      </c>
      <c r="J294" s="34">
        <v>107.07301256986921</v>
      </c>
      <c r="K294" s="34">
        <v>5000</v>
      </c>
      <c r="L294" s="34">
        <v>234.48465638543166</v>
      </c>
      <c r="M294" s="34">
        <v>5000</v>
      </c>
      <c r="N294" s="34">
        <v>254.74608453241308</v>
      </c>
      <c r="O294" s="34">
        <v>5000</v>
      </c>
      <c r="P294" s="34">
        <v>284.04618275420125</v>
      </c>
      <c r="Q294" s="34">
        <v>5000</v>
      </c>
    </row>
    <row r="295" spans="6:17">
      <c r="F295" s="32">
        <v>266</v>
      </c>
      <c r="G295" s="33">
        <v>5.4474652475851711E-2</v>
      </c>
      <c r="H295" s="34">
        <v>1152.2621285297791</v>
      </c>
      <c r="I295" s="34">
        <v>21152.262128529779</v>
      </c>
      <c r="J295" s="34">
        <v>123.19316297756359</v>
      </c>
      <c r="K295" s="34">
        <v>5000</v>
      </c>
      <c r="L295" s="34">
        <v>220.10416654385062</v>
      </c>
      <c r="M295" s="34">
        <v>5000</v>
      </c>
      <c r="N295" s="34">
        <v>514.44020012163946</v>
      </c>
      <c r="O295" s="34">
        <v>5000</v>
      </c>
      <c r="P295" s="34">
        <v>294.52459888672365</v>
      </c>
      <c r="Q295" s="34">
        <v>5000</v>
      </c>
    </row>
    <row r="296" spans="6:17">
      <c r="F296" s="32">
        <v>267</v>
      </c>
      <c r="G296" s="33">
        <v>4.6700842680567838E-2</v>
      </c>
      <c r="H296" s="34">
        <v>979.77308218514008</v>
      </c>
      <c r="I296" s="34">
        <v>20979.77308218514</v>
      </c>
      <c r="J296" s="34">
        <v>109.0990519585921</v>
      </c>
      <c r="K296" s="34">
        <v>5000</v>
      </c>
      <c r="L296" s="34">
        <v>215.80639404239719</v>
      </c>
      <c r="M296" s="34">
        <v>5000</v>
      </c>
      <c r="N296" s="34">
        <v>390.44647728821747</v>
      </c>
      <c r="O296" s="34">
        <v>5000</v>
      </c>
      <c r="P296" s="34">
        <v>264.42115889593424</v>
      </c>
      <c r="Q296" s="34">
        <v>5000</v>
      </c>
    </row>
    <row r="297" spans="6:17">
      <c r="F297" s="32">
        <v>268</v>
      </c>
      <c r="G297" s="33">
        <v>4.979469339536708E-2</v>
      </c>
      <c r="H297" s="34">
        <v>1048.0828311367441</v>
      </c>
      <c r="I297" s="34">
        <v>21048.082831136744</v>
      </c>
      <c r="J297" s="34">
        <v>114.81428491230326</v>
      </c>
      <c r="K297" s="34">
        <v>5000</v>
      </c>
      <c r="L297" s="34">
        <v>270.82855515629672</v>
      </c>
      <c r="M297" s="34">
        <v>5000</v>
      </c>
      <c r="N297" s="34">
        <v>364.8367192459873</v>
      </c>
      <c r="O297" s="34">
        <v>5000</v>
      </c>
      <c r="P297" s="34">
        <v>297.60327182215678</v>
      </c>
      <c r="Q297" s="34">
        <v>5000</v>
      </c>
    </row>
    <row r="298" spans="6:17">
      <c r="F298" s="32">
        <v>269</v>
      </c>
      <c r="G298" s="33">
        <v>4.3514705827362853E-2</v>
      </c>
      <c r="H298" s="34">
        <v>909.88760815195201</v>
      </c>
      <c r="I298" s="34">
        <v>20909.887608151952</v>
      </c>
      <c r="J298" s="34">
        <v>116.86395961500602</v>
      </c>
      <c r="K298" s="34">
        <v>5000</v>
      </c>
      <c r="L298" s="34">
        <v>198.03013564406501</v>
      </c>
      <c r="M298" s="34">
        <v>5000</v>
      </c>
      <c r="N298" s="34">
        <v>300.81712510519901</v>
      </c>
      <c r="O298" s="34">
        <v>5000</v>
      </c>
      <c r="P298" s="34">
        <v>294.17638778768196</v>
      </c>
      <c r="Q298" s="34">
        <v>5000</v>
      </c>
    </row>
    <row r="299" spans="6:17">
      <c r="F299" s="32">
        <v>270</v>
      </c>
      <c r="G299" s="33">
        <v>5.5525373585583959E-2</v>
      </c>
      <c r="H299" s="34">
        <v>1175.7938653445744</v>
      </c>
      <c r="I299" s="34">
        <v>21175.793865344574</v>
      </c>
      <c r="J299" s="34">
        <v>115.29542229732397</v>
      </c>
      <c r="K299" s="34">
        <v>5000</v>
      </c>
      <c r="L299" s="34">
        <v>277.9258116055189</v>
      </c>
      <c r="M299" s="34">
        <v>5000</v>
      </c>
      <c r="N299" s="34">
        <v>516.20224623958256</v>
      </c>
      <c r="O299" s="34">
        <v>5000</v>
      </c>
      <c r="P299" s="34">
        <v>266.37038520214992</v>
      </c>
      <c r="Q299" s="34">
        <v>5000</v>
      </c>
    </row>
    <row r="300" spans="6:17">
      <c r="F300" s="32">
        <v>271</v>
      </c>
      <c r="G300" s="33">
        <v>5.3862459158581448E-2</v>
      </c>
      <c r="H300" s="34">
        <v>1138.575668621721</v>
      </c>
      <c r="I300" s="34">
        <v>21138.575668621721</v>
      </c>
      <c r="J300" s="34">
        <v>109.34455309175519</v>
      </c>
      <c r="K300" s="34">
        <v>5000</v>
      </c>
      <c r="L300" s="34">
        <v>342.75889258084044</v>
      </c>
      <c r="M300" s="34">
        <v>5000</v>
      </c>
      <c r="N300" s="34">
        <v>393.37214596125341</v>
      </c>
      <c r="O300" s="34">
        <v>5000</v>
      </c>
      <c r="P300" s="34">
        <v>293.10007698787012</v>
      </c>
      <c r="Q300" s="34">
        <v>5000</v>
      </c>
    </row>
    <row r="301" spans="6:17">
      <c r="F301" s="32">
        <v>272</v>
      </c>
      <c r="G301" s="33">
        <v>4.5748088718287998E-2</v>
      </c>
      <c r="H301" s="34">
        <v>958.82624236698757</v>
      </c>
      <c r="I301" s="34">
        <v>20958.826242366988</v>
      </c>
      <c r="J301" s="34">
        <v>124.90359599132353</v>
      </c>
      <c r="K301" s="34">
        <v>5000</v>
      </c>
      <c r="L301" s="34">
        <v>263.54710100303237</v>
      </c>
      <c r="M301" s="34">
        <v>5000</v>
      </c>
      <c r="N301" s="34">
        <v>298.17460114201731</v>
      </c>
      <c r="O301" s="34">
        <v>5000</v>
      </c>
      <c r="P301" s="34">
        <v>272.20094423061619</v>
      </c>
      <c r="Q301" s="34">
        <v>5000</v>
      </c>
    </row>
    <row r="302" spans="6:17">
      <c r="F302" s="32">
        <v>273</v>
      </c>
      <c r="G302" s="33">
        <v>5.3735146389090077E-2</v>
      </c>
      <c r="H302" s="34">
        <v>1135.7316333590716</v>
      </c>
      <c r="I302" s="34">
        <v>21135.731633359072</v>
      </c>
      <c r="J302" s="34">
        <v>117.09520654232529</v>
      </c>
      <c r="K302" s="34">
        <v>5000</v>
      </c>
      <c r="L302" s="34">
        <v>250.26528188405791</v>
      </c>
      <c r="M302" s="34">
        <v>5000</v>
      </c>
      <c r="N302" s="34">
        <v>481.2751134899263</v>
      </c>
      <c r="O302" s="34">
        <v>5000</v>
      </c>
      <c r="P302" s="34">
        <v>287.09603144276025</v>
      </c>
      <c r="Q302" s="34">
        <v>5000</v>
      </c>
    </row>
    <row r="303" spans="6:17">
      <c r="F303" s="32">
        <v>274</v>
      </c>
      <c r="G303" s="33">
        <v>5.332454367010294E-2</v>
      </c>
      <c r="H303" s="34">
        <v>1126.5644062820284</v>
      </c>
      <c r="I303" s="34">
        <v>21126.564406282028</v>
      </c>
      <c r="J303" s="34">
        <v>110.22687129449241</v>
      </c>
      <c r="K303" s="34">
        <v>5000</v>
      </c>
      <c r="L303" s="34">
        <v>319.83517131211011</v>
      </c>
      <c r="M303" s="34">
        <v>5000</v>
      </c>
      <c r="N303" s="34">
        <v>425.62143965692485</v>
      </c>
      <c r="O303" s="34">
        <v>5000</v>
      </c>
      <c r="P303" s="34">
        <v>270.88092401850008</v>
      </c>
      <c r="Q303" s="34">
        <v>5000</v>
      </c>
    </row>
    <row r="304" spans="6:17">
      <c r="F304" s="32">
        <v>275</v>
      </c>
      <c r="G304" s="33">
        <v>5.6155203524922544E-2</v>
      </c>
      <c r="H304" s="34">
        <v>1189.9245243421828</v>
      </c>
      <c r="I304" s="34">
        <v>21189.924524342183</v>
      </c>
      <c r="J304" s="34">
        <v>118.95989200968597</v>
      </c>
      <c r="K304" s="34">
        <v>5000</v>
      </c>
      <c r="L304" s="34">
        <v>286.14677011671756</v>
      </c>
      <c r="M304" s="34">
        <v>5000</v>
      </c>
      <c r="N304" s="34">
        <v>501.16526159874593</v>
      </c>
      <c r="O304" s="34">
        <v>5000</v>
      </c>
      <c r="P304" s="34">
        <v>283.65260061703339</v>
      </c>
      <c r="Q304" s="34">
        <v>5000</v>
      </c>
    </row>
    <row r="305" spans="6:17">
      <c r="F305" s="32">
        <v>276</v>
      </c>
      <c r="G305" s="33">
        <v>4.9039967942268989E-2</v>
      </c>
      <c r="H305" s="34">
        <v>1031.3781082082714</v>
      </c>
      <c r="I305" s="34">
        <v>21031.378108208271</v>
      </c>
      <c r="J305" s="34">
        <v>117.41159959517881</v>
      </c>
      <c r="K305" s="34">
        <v>5000</v>
      </c>
      <c r="L305" s="34">
        <v>281.9916989579342</v>
      </c>
      <c r="M305" s="34">
        <v>5000</v>
      </c>
      <c r="N305" s="34">
        <v>334.36374651139977</v>
      </c>
      <c r="O305" s="34">
        <v>5000</v>
      </c>
      <c r="P305" s="34">
        <v>297.61106314375684</v>
      </c>
      <c r="Q305" s="34">
        <v>5000</v>
      </c>
    </row>
    <row r="306" spans="6:17">
      <c r="F306" s="32">
        <v>277</v>
      </c>
      <c r="G306" s="33">
        <v>5.7883736418995003E-2</v>
      </c>
      <c r="H306" s="34">
        <v>1228.8024027730426</v>
      </c>
      <c r="I306" s="34">
        <v>21228.802402773043</v>
      </c>
      <c r="J306" s="34">
        <v>102.37134079362932</v>
      </c>
      <c r="K306" s="34">
        <v>5000</v>
      </c>
      <c r="L306" s="34">
        <v>304.65249941746515</v>
      </c>
      <c r="M306" s="34">
        <v>5000</v>
      </c>
      <c r="N306" s="34">
        <v>536.48661238293516</v>
      </c>
      <c r="O306" s="34">
        <v>5000</v>
      </c>
      <c r="P306" s="34">
        <v>285.29195017901384</v>
      </c>
      <c r="Q306" s="34">
        <v>5000</v>
      </c>
    </row>
    <row r="307" spans="6:17">
      <c r="F307" s="32">
        <v>278</v>
      </c>
      <c r="G307" s="33">
        <v>5.3058895558112364E-2</v>
      </c>
      <c r="H307" s="34">
        <v>1120.6377103966661</v>
      </c>
      <c r="I307" s="34">
        <v>21120.637710396666</v>
      </c>
      <c r="J307" s="34">
        <v>119.28769672627914</v>
      </c>
      <c r="K307" s="34">
        <v>5000</v>
      </c>
      <c r="L307" s="34">
        <v>263.14305320321273</v>
      </c>
      <c r="M307" s="34">
        <v>5000</v>
      </c>
      <c r="N307" s="34">
        <v>473.41141563281144</v>
      </c>
      <c r="O307" s="34">
        <v>5000</v>
      </c>
      <c r="P307" s="34">
        <v>264.79554483436277</v>
      </c>
      <c r="Q307" s="34">
        <v>5000</v>
      </c>
    </row>
    <row r="308" spans="6:17">
      <c r="F308" s="32">
        <v>279</v>
      </c>
      <c r="G308" s="33">
        <v>5.2812866485831514E-2</v>
      </c>
      <c r="H308" s="34">
        <v>1115.151686866564</v>
      </c>
      <c r="I308" s="34">
        <v>21115.151686866564</v>
      </c>
      <c r="J308" s="34">
        <v>119.25779324468749</v>
      </c>
      <c r="K308" s="34">
        <v>5000</v>
      </c>
      <c r="L308" s="34">
        <v>211.28109160155509</v>
      </c>
      <c r="M308" s="34">
        <v>5000</v>
      </c>
      <c r="N308" s="34">
        <v>507.89477719278329</v>
      </c>
      <c r="O308" s="34">
        <v>5000</v>
      </c>
      <c r="P308" s="34">
        <v>276.71802482753719</v>
      </c>
      <c r="Q308" s="34">
        <v>5000</v>
      </c>
    </row>
    <row r="309" spans="6:17">
      <c r="F309" s="32">
        <v>280</v>
      </c>
      <c r="G309" s="33">
        <v>4.4271536708167754E-2</v>
      </c>
      <c r="H309" s="34">
        <v>926.44591865941766</v>
      </c>
      <c r="I309" s="34">
        <v>20926.445918659418</v>
      </c>
      <c r="J309" s="34">
        <v>111.36517908244514</v>
      </c>
      <c r="K309" s="34">
        <v>5000</v>
      </c>
      <c r="L309" s="34">
        <v>236.5549981809927</v>
      </c>
      <c r="M309" s="34">
        <v>5000</v>
      </c>
      <c r="N309" s="34">
        <v>300.47197363404212</v>
      </c>
      <c r="O309" s="34">
        <v>5000</v>
      </c>
      <c r="P309" s="34">
        <v>278.05376776193953</v>
      </c>
      <c r="Q309" s="34">
        <v>5000</v>
      </c>
    </row>
    <row r="310" spans="6:17">
      <c r="F310" s="32">
        <v>281</v>
      </c>
      <c r="G310" s="33">
        <v>5.4075093322217632E-2</v>
      </c>
      <c r="H310" s="34">
        <v>1143.3274024285238</v>
      </c>
      <c r="I310" s="34">
        <v>21143.327402428524</v>
      </c>
      <c r="J310" s="34">
        <v>114.08906206231677</v>
      </c>
      <c r="K310" s="34">
        <v>5000</v>
      </c>
      <c r="L310" s="34">
        <v>299.32858302469231</v>
      </c>
      <c r="M310" s="34">
        <v>5000</v>
      </c>
      <c r="N310" s="34">
        <v>461.48802421276559</v>
      </c>
      <c r="O310" s="34">
        <v>5000</v>
      </c>
      <c r="P310" s="34">
        <v>268.42173312874911</v>
      </c>
      <c r="Q310" s="34">
        <v>5000</v>
      </c>
    </row>
    <row r="311" spans="6:17">
      <c r="F311" s="32">
        <v>282</v>
      </c>
      <c r="G311" s="33">
        <v>4.8073909968244309E-2</v>
      </c>
      <c r="H311" s="34">
        <v>1010.0345073353456</v>
      </c>
      <c r="I311" s="34">
        <v>21010.034507335346</v>
      </c>
      <c r="J311" s="34">
        <v>116.79986812248717</v>
      </c>
      <c r="K311" s="34">
        <v>5000</v>
      </c>
      <c r="L311" s="34">
        <v>231.70687186251689</v>
      </c>
      <c r="M311" s="34">
        <v>5000</v>
      </c>
      <c r="N311" s="34">
        <v>385.18837388497286</v>
      </c>
      <c r="O311" s="34">
        <v>5000</v>
      </c>
      <c r="P311" s="34">
        <v>276.33939346536681</v>
      </c>
      <c r="Q311" s="34">
        <v>5000</v>
      </c>
    </row>
    <row r="312" spans="6:17">
      <c r="F312" s="32">
        <v>283</v>
      </c>
      <c r="G312" s="33">
        <v>5.7745334932142074E-2</v>
      </c>
      <c r="H312" s="34">
        <v>1225.6842459460458</v>
      </c>
      <c r="I312" s="34">
        <v>21225.684245946046</v>
      </c>
      <c r="J312" s="34">
        <v>113.22587679880235</v>
      </c>
      <c r="K312" s="34">
        <v>5000</v>
      </c>
      <c r="L312" s="34">
        <v>281.3459990874635</v>
      </c>
      <c r="M312" s="34">
        <v>5000</v>
      </c>
      <c r="N312" s="34">
        <v>531.53161392317907</v>
      </c>
      <c r="O312" s="34">
        <v>5000</v>
      </c>
      <c r="P312" s="34">
        <v>299.58075613660185</v>
      </c>
      <c r="Q312" s="34">
        <v>5000</v>
      </c>
    </row>
    <row r="313" spans="6:17">
      <c r="F313" s="32">
        <v>284</v>
      </c>
      <c r="G313" s="33">
        <v>4.9030927538356216E-2</v>
      </c>
      <c r="H313" s="34">
        <v>1031.1781730490256</v>
      </c>
      <c r="I313" s="34">
        <v>21031.178173049026</v>
      </c>
      <c r="J313" s="34">
        <v>124.14134860328704</v>
      </c>
      <c r="K313" s="34">
        <v>5000</v>
      </c>
      <c r="L313" s="34">
        <v>330.24886194262763</v>
      </c>
      <c r="M313" s="34">
        <v>5000</v>
      </c>
      <c r="N313" s="34">
        <v>308.11265826931503</v>
      </c>
      <c r="O313" s="34">
        <v>5000</v>
      </c>
      <c r="P313" s="34">
        <v>268.67530423379594</v>
      </c>
      <c r="Q313" s="34">
        <v>5000</v>
      </c>
    </row>
    <row r="314" spans="6:17">
      <c r="F314" s="32">
        <v>285</v>
      </c>
      <c r="G314" s="33">
        <v>5.100328000505059E-2</v>
      </c>
      <c r="H314" s="34">
        <v>1074.8884359752483</v>
      </c>
      <c r="I314" s="34">
        <v>21074.888435975248</v>
      </c>
      <c r="J314" s="34">
        <v>119.6109011297267</v>
      </c>
      <c r="K314" s="34">
        <v>5000</v>
      </c>
      <c r="L314" s="34">
        <v>320.942854441294</v>
      </c>
      <c r="M314" s="34">
        <v>5000</v>
      </c>
      <c r="N314" s="34">
        <v>365.11284888476894</v>
      </c>
      <c r="O314" s="34">
        <v>5000</v>
      </c>
      <c r="P314" s="34">
        <v>269.22183151946047</v>
      </c>
      <c r="Q314" s="34">
        <v>5000</v>
      </c>
    </row>
    <row r="315" spans="6:17">
      <c r="F315" s="32">
        <v>286</v>
      </c>
      <c r="G315" s="33">
        <v>4.9923547767461267E-2</v>
      </c>
      <c r="H315" s="34">
        <v>1050.937482981466</v>
      </c>
      <c r="I315" s="34">
        <v>21050.937482981466</v>
      </c>
      <c r="J315" s="34">
        <v>114.60402325196628</v>
      </c>
      <c r="K315" s="34">
        <v>5000</v>
      </c>
      <c r="L315" s="34">
        <v>276.41855341683367</v>
      </c>
      <c r="M315" s="34">
        <v>5000</v>
      </c>
      <c r="N315" s="34">
        <v>390.64543758225682</v>
      </c>
      <c r="O315" s="34">
        <v>5000</v>
      </c>
      <c r="P315" s="34">
        <v>269.26946873041015</v>
      </c>
      <c r="Q315" s="34">
        <v>5000</v>
      </c>
    </row>
    <row r="316" spans="6:17">
      <c r="F316" s="32">
        <v>287</v>
      </c>
      <c r="G316" s="33">
        <v>4.3229956665856537E-2</v>
      </c>
      <c r="H316" s="34">
        <v>903.66451096669334</v>
      </c>
      <c r="I316" s="34">
        <v>20903.664510966693</v>
      </c>
      <c r="J316" s="34">
        <v>107.92492197939828</v>
      </c>
      <c r="K316" s="34">
        <v>5000</v>
      </c>
      <c r="L316" s="34">
        <v>268.86712539466316</v>
      </c>
      <c r="M316" s="34">
        <v>5000</v>
      </c>
      <c r="N316" s="34">
        <v>246.76552979362259</v>
      </c>
      <c r="O316" s="34">
        <v>5000</v>
      </c>
      <c r="P316" s="34">
        <v>280.1069337990084</v>
      </c>
      <c r="Q316" s="34">
        <v>5000</v>
      </c>
    </row>
    <row r="317" spans="6:17">
      <c r="F317" s="32">
        <v>288</v>
      </c>
      <c r="G317" s="33">
        <v>4.9835633770925411E-2</v>
      </c>
      <c r="H317" s="34">
        <v>1048.9897441367648</v>
      </c>
      <c r="I317" s="34">
        <v>21048.989744136765</v>
      </c>
      <c r="J317" s="34">
        <v>124.85952298305801</v>
      </c>
      <c r="K317" s="34">
        <v>5000</v>
      </c>
      <c r="L317" s="34">
        <v>251.62462260644406</v>
      </c>
      <c r="M317" s="34">
        <v>5000</v>
      </c>
      <c r="N317" s="34">
        <v>385.76984681132944</v>
      </c>
      <c r="O317" s="34">
        <v>5000</v>
      </c>
      <c r="P317" s="34">
        <v>286.73575173593599</v>
      </c>
      <c r="Q317" s="34">
        <v>5000</v>
      </c>
    </row>
    <row r="318" spans="6:17">
      <c r="F318" s="32">
        <v>289</v>
      </c>
      <c r="G318" s="33">
        <v>5.4079063681920767E-2</v>
      </c>
      <c r="H318" s="34">
        <v>1143.4161483393982</v>
      </c>
      <c r="I318" s="34">
        <v>21143.416148339398</v>
      </c>
      <c r="J318" s="34">
        <v>109.34453919299358</v>
      </c>
      <c r="K318" s="34">
        <v>5000</v>
      </c>
      <c r="L318" s="34">
        <v>274.8286837704818</v>
      </c>
      <c r="M318" s="34">
        <v>5000</v>
      </c>
      <c r="N318" s="34">
        <v>489.61286112714333</v>
      </c>
      <c r="O318" s="34">
        <v>5000</v>
      </c>
      <c r="P318" s="34">
        <v>269.63006424877676</v>
      </c>
      <c r="Q318" s="34">
        <v>5000</v>
      </c>
    </row>
    <row r="319" spans="6:17">
      <c r="F319" s="32">
        <v>290</v>
      </c>
      <c r="G319" s="33">
        <v>4.7244364340441963E-2</v>
      </c>
      <c r="H319" s="34">
        <v>991.74148275148036</v>
      </c>
      <c r="I319" s="34">
        <v>20991.74148275148</v>
      </c>
      <c r="J319" s="34">
        <v>107.06360790464259</v>
      </c>
      <c r="K319" s="34">
        <v>5000</v>
      </c>
      <c r="L319" s="34">
        <v>210.73887990957337</v>
      </c>
      <c r="M319" s="34">
        <v>5000</v>
      </c>
      <c r="N319" s="34">
        <v>406.64575847700871</v>
      </c>
      <c r="O319" s="34">
        <v>5000</v>
      </c>
      <c r="P319" s="34">
        <v>267.29323646025296</v>
      </c>
      <c r="Q319" s="34">
        <v>5000</v>
      </c>
    </row>
    <row r="320" spans="6:17">
      <c r="F320" s="32">
        <v>291</v>
      </c>
      <c r="G320" s="33">
        <v>4.9560540189086781E-2</v>
      </c>
      <c r="H320" s="34">
        <v>1042.8973603210179</v>
      </c>
      <c r="I320" s="34">
        <v>21042.897360321018</v>
      </c>
      <c r="J320" s="34">
        <v>110.53229258604551</v>
      </c>
      <c r="K320" s="34">
        <v>5000</v>
      </c>
      <c r="L320" s="34">
        <v>221.26711908019388</v>
      </c>
      <c r="M320" s="34">
        <v>5000</v>
      </c>
      <c r="N320" s="34">
        <v>431.69453957275709</v>
      </c>
      <c r="O320" s="34">
        <v>5000</v>
      </c>
      <c r="P320" s="34">
        <v>279.4034090820187</v>
      </c>
      <c r="Q320" s="34">
        <v>5000</v>
      </c>
    </row>
    <row r="321" spans="6:17">
      <c r="F321" s="32">
        <v>292</v>
      </c>
      <c r="G321" s="33">
        <v>5.588810121437978E-2</v>
      </c>
      <c r="H321" s="34">
        <v>1183.9296016979933</v>
      </c>
      <c r="I321" s="34">
        <v>21183.929601697993</v>
      </c>
      <c r="J321" s="34">
        <v>112.69334739114947</v>
      </c>
      <c r="K321" s="34">
        <v>5000</v>
      </c>
      <c r="L321" s="34">
        <v>261.43227415113142</v>
      </c>
      <c r="M321" s="34">
        <v>5000</v>
      </c>
      <c r="N321" s="34">
        <v>514.5192760353666</v>
      </c>
      <c r="O321" s="34">
        <v>5000</v>
      </c>
      <c r="P321" s="34">
        <v>295.28470412034494</v>
      </c>
      <c r="Q321" s="34">
        <v>5000</v>
      </c>
    </row>
    <row r="322" spans="6:17">
      <c r="F322" s="32">
        <v>293</v>
      </c>
      <c r="G322" s="33">
        <v>5.2732382968451071E-2</v>
      </c>
      <c r="H322" s="34">
        <v>1113.3576619814885</v>
      </c>
      <c r="I322" s="34">
        <v>21113.357661981488</v>
      </c>
      <c r="J322" s="34">
        <v>116.90971200022796</v>
      </c>
      <c r="K322" s="34">
        <v>5000</v>
      </c>
      <c r="L322" s="34">
        <v>269.91743982655862</v>
      </c>
      <c r="M322" s="34">
        <v>5000</v>
      </c>
      <c r="N322" s="34">
        <v>435.99514529567568</v>
      </c>
      <c r="O322" s="34">
        <v>5000</v>
      </c>
      <c r="P322" s="34">
        <v>290.53536485902714</v>
      </c>
      <c r="Q322" s="34">
        <v>5000</v>
      </c>
    </row>
    <row r="323" spans="6:17">
      <c r="F323" s="32">
        <v>294</v>
      </c>
      <c r="G323" s="33">
        <v>5.072316619795985E-2</v>
      </c>
      <c r="H323" s="34">
        <v>1068.6696312771819</v>
      </c>
      <c r="I323" s="34">
        <v>21068.669631277182</v>
      </c>
      <c r="J323" s="34">
        <v>114.12082678642309</v>
      </c>
      <c r="K323" s="34">
        <v>5000</v>
      </c>
      <c r="L323" s="34">
        <v>261.54260918585533</v>
      </c>
      <c r="M323" s="34">
        <v>5000</v>
      </c>
      <c r="N323" s="34">
        <v>421.90698390092348</v>
      </c>
      <c r="O323" s="34">
        <v>5000</v>
      </c>
      <c r="P323" s="34">
        <v>271.09921140397819</v>
      </c>
      <c r="Q323" s="34">
        <v>5000</v>
      </c>
    </row>
    <row r="324" spans="6:17">
      <c r="F324" s="32">
        <v>295</v>
      </c>
      <c r="G324" s="33">
        <v>4.8023762879629478E-2</v>
      </c>
      <c r="H324" s="34">
        <v>1008.9277653588579</v>
      </c>
      <c r="I324" s="34">
        <v>21008.927765358858</v>
      </c>
      <c r="J324" s="34">
        <v>119.73026683382795</v>
      </c>
      <c r="K324" s="34">
        <v>5000</v>
      </c>
      <c r="L324" s="34">
        <v>249.68689529470612</v>
      </c>
      <c r="M324" s="34">
        <v>5000</v>
      </c>
      <c r="N324" s="34">
        <v>376.0655900098036</v>
      </c>
      <c r="O324" s="34">
        <v>5000</v>
      </c>
      <c r="P324" s="34">
        <v>263.44501322052201</v>
      </c>
      <c r="Q324" s="34">
        <v>5000</v>
      </c>
    </row>
    <row r="325" spans="6:17">
      <c r="F325" s="32">
        <v>296</v>
      </c>
      <c r="G325" s="33">
        <v>4.9729812689462055E-2</v>
      </c>
      <c r="H325" s="34">
        <v>1046.6457509354841</v>
      </c>
      <c r="I325" s="34">
        <v>21046.645750935484</v>
      </c>
      <c r="J325" s="34">
        <v>108.43190983633031</v>
      </c>
      <c r="K325" s="34">
        <v>5000</v>
      </c>
      <c r="L325" s="34">
        <v>216.24486313551915</v>
      </c>
      <c r="M325" s="34">
        <v>5000</v>
      </c>
      <c r="N325" s="34">
        <v>441.68329527422429</v>
      </c>
      <c r="O325" s="34">
        <v>5000</v>
      </c>
      <c r="P325" s="34">
        <v>280.28568268941126</v>
      </c>
      <c r="Q325" s="34">
        <v>5000</v>
      </c>
    </row>
    <row r="326" spans="6:17">
      <c r="F326" s="32">
        <v>297</v>
      </c>
      <c r="G326" s="33">
        <v>5.2091519842737695E-2</v>
      </c>
      <c r="H326" s="34">
        <v>1099.0833172859784</v>
      </c>
      <c r="I326" s="34">
        <v>21099.083317285978</v>
      </c>
      <c r="J326" s="34">
        <v>111.74964644131069</v>
      </c>
      <c r="K326" s="34">
        <v>5000</v>
      </c>
      <c r="L326" s="34">
        <v>218.68752195329762</v>
      </c>
      <c r="M326" s="34">
        <v>5000</v>
      </c>
      <c r="N326" s="34">
        <v>486.74713072638315</v>
      </c>
      <c r="O326" s="34">
        <v>5000</v>
      </c>
      <c r="P326" s="34">
        <v>281.89901816498514</v>
      </c>
      <c r="Q326" s="34">
        <v>5000</v>
      </c>
    </row>
    <row r="327" spans="6:17">
      <c r="F327" s="32">
        <v>298</v>
      </c>
      <c r="G327" s="33">
        <v>5.7881079686802533E-2</v>
      </c>
      <c r="H327" s="34">
        <v>1228.7425385228562</v>
      </c>
      <c r="I327" s="34">
        <v>21228.742538522856</v>
      </c>
      <c r="J327" s="34">
        <v>116.41813032124719</v>
      </c>
      <c r="K327" s="34">
        <v>5000</v>
      </c>
      <c r="L327" s="34">
        <v>285.26931360003891</v>
      </c>
      <c r="M327" s="34">
        <v>5000</v>
      </c>
      <c r="N327" s="34">
        <v>555.36738939238512</v>
      </c>
      <c r="O327" s="34">
        <v>5000</v>
      </c>
      <c r="P327" s="34">
        <v>271.68770520918224</v>
      </c>
      <c r="Q327" s="34">
        <v>5000</v>
      </c>
    </row>
    <row r="328" spans="6:17">
      <c r="F328" s="32">
        <v>299</v>
      </c>
      <c r="G328" s="33">
        <v>4.3705122873293478E-2</v>
      </c>
      <c r="H328" s="34">
        <v>914.05117644487109</v>
      </c>
      <c r="I328" s="34">
        <v>20914.051176444871</v>
      </c>
      <c r="J328" s="34">
        <v>112.2951328133031</v>
      </c>
      <c r="K328" s="34">
        <v>5000</v>
      </c>
      <c r="L328" s="34">
        <v>210.02434276530312</v>
      </c>
      <c r="M328" s="34">
        <v>5000</v>
      </c>
      <c r="N328" s="34">
        <v>321.42757066837748</v>
      </c>
      <c r="O328" s="34">
        <v>5000</v>
      </c>
      <c r="P328" s="34">
        <v>270.3041301978883</v>
      </c>
      <c r="Q328" s="34">
        <v>5000</v>
      </c>
    </row>
    <row r="329" spans="6:17">
      <c r="F329" s="32">
        <v>300</v>
      </c>
      <c r="G329" s="33">
        <v>5.4292081935919244E-2</v>
      </c>
      <c r="H329" s="34">
        <v>1148.1786479499569</v>
      </c>
      <c r="I329" s="34">
        <v>21148.178647949957</v>
      </c>
      <c r="J329" s="34">
        <v>102.83676516159449</v>
      </c>
      <c r="K329" s="34">
        <v>5000</v>
      </c>
      <c r="L329" s="34">
        <v>299.22017014885751</v>
      </c>
      <c r="M329" s="34">
        <v>5000</v>
      </c>
      <c r="N329" s="34">
        <v>460.22251897699152</v>
      </c>
      <c r="O329" s="34">
        <v>5000</v>
      </c>
      <c r="P329" s="34">
        <v>285.89919366251252</v>
      </c>
      <c r="Q329" s="34">
        <v>5000</v>
      </c>
    </row>
    <row r="330" spans="6:17">
      <c r="F330" s="32">
        <v>301</v>
      </c>
      <c r="G330" s="33">
        <v>5.3471991408637384E-2</v>
      </c>
      <c r="H330" s="34">
        <v>1129.8554490366369</v>
      </c>
      <c r="I330" s="34">
        <v>21129.855449036637</v>
      </c>
      <c r="J330" s="34">
        <v>115.52379036140155</v>
      </c>
      <c r="K330" s="34">
        <v>5000</v>
      </c>
      <c r="L330" s="34">
        <v>291.30601275443132</v>
      </c>
      <c r="M330" s="34">
        <v>5000</v>
      </c>
      <c r="N330" s="34">
        <v>442.27852182580136</v>
      </c>
      <c r="O330" s="34">
        <v>5000</v>
      </c>
      <c r="P330" s="34">
        <v>280.74712409500171</v>
      </c>
      <c r="Q330" s="34">
        <v>5000</v>
      </c>
    </row>
    <row r="331" spans="6:17">
      <c r="F331" s="32">
        <v>302</v>
      </c>
      <c r="G331" s="33">
        <v>4.6644290509945369E-2</v>
      </c>
      <c r="H331" s="34">
        <v>978.52858163287601</v>
      </c>
      <c r="I331" s="34">
        <v>20978.528581632876</v>
      </c>
      <c r="J331" s="34">
        <v>114.8898538034482</v>
      </c>
      <c r="K331" s="34">
        <v>5000</v>
      </c>
      <c r="L331" s="34">
        <v>221.57458732381929</v>
      </c>
      <c r="M331" s="34">
        <v>5000</v>
      </c>
      <c r="N331" s="34">
        <v>363.18182267274278</v>
      </c>
      <c r="O331" s="34">
        <v>5000</v>
      </c>
      <c r="P331" s="34">
        <v>278.88231783286574</v>
      </c>
      <c r="Q331" s="34">
        <v>5000</v>
      </c>
    </row>
    <row r="332" spans="6:17">
      <c r="F332" s="32">
        <v>303</v>
      </c>
      <c r="G332" s="33">
        <v>6.4904852667180865E-2</v>
      </c>
      <c r="H332" s="34">
        <v>1388.1978289013605</v>
      </c>
      <c r="I332" s="34">
        <v>21388.19782890136</v>
      </c>
      <c r="J332" s="34">
        <v>113.6445888451135</v>
      </c>
      <c r="K332" s="34">
        <v>5000</v>
      </c>
      <c r="L332" s="34">
        <v>307.03453477937455</v>
      </c>
      <c r="M332" s="34">
        <v>5000</v>
      </c>
      <c r="N332" s="34">
        <v>681.2195441124486</v>
      </c>
      <c r="O332" s="34">
        <v>5000</v>
      </c>
      <c r="P332" s="34">
        <v>286.29916116442473</v>
      </c>
      <c r="Q332" s="34">
        <v>5000</v>
      </c>
    </row>
    <row r="333" spans="6:17">
      <c r="F333" s="32">
        <v>304</v>
      </c>
      <c r="G333" s="33">
        <v>4.6450230436701483E-2</v>
      </c>
      <c r="H333" s="34">
        <v>974.25917176770963</v>
      </c>
      <c r="I333" s="34">
        <v>20974.25917176771</v>
      </c>
      <c r="J333" s="34">
        <v>118.19483389853667</v>
      </c>
      <c r="K333" s="34">
        <v>5000</v>
      </c>
      <c r="L333" s="34">
        <v>237.04185592460726</v>
      </c>
      <c r="M333" s="34">
        <v>5000</v>
      </c>
      <c r="N333" s="34">
        <v>344.04174034373045</v>
      </c>
      <c r="O333" s="34">
        <v>5000</v>
      </c>
      <c r="P333" s="34">
        <v>274.98074160083343</v>
      </c>
      <c r="Q333" s="34">
        <v>5000</v>
      </c>
    </row>
    <row r="334" spans="6:17">
      <c r="F334" s="32">
        <v>305</v>
      </c>
      <c r="G334" s="33">
        <v>4.9692951860957686E-2</v>
      </c>
      <c r="H334" s="34">
        <v>1045.8293865813139</v>
      </c>
      <c r="I334" s="34">
        <v>21045.829386581314</v>
      </c>
      <c r="J334" s="34">
        <v>114.58130612380683</v>
      </c>
      <c r="K334" s="34">
        <v>5000</v>
      </c>
      <c r="L334" s="34">
        <v>159.34782844244182</v>
      </c>
      <c r="M334" s="34">
        <v>5000</v>
      </c>
      <c r="N334" s="34">
        <v>487.13264936448377</v>
      </c>
      <c r="O334" s="34">
        <v>5000</v>
      </c>
      <c r="P334" s="34">
        <v>284.76760265058056</v>
      </c>
      <c r="Q334" s="34">
        <v>5000</v>
      </c>
    </row>
    <row r="335" spans="6:17">
      <c r="F335" s="32">
        <v>306</v>
      </c>
      <c r="G335" s="33">
        <v>4.8399534760325436E-2</v>
      </c>
      <c r="H335" s="34">
        <v>1017.2238566137166</v>
      </c>
      <c r="I335" s="34">
        <v>21017.223856613717</v>
      </c>
      <c r="J335" s="34">
        <v>112.39619754316209</v>
      </c>
      <c r="K335" s="34">
        <v>5000</v>
      </c>
      <c r="L335" s="34">
        <v>246.33841688785651</v>
      </c>
      <c r="M335" s="34">
        <v>5000</v>
      </c>
      <c r="N335" s="34">
        <v>372.54223130599621</v>
      </c>
      <c r="O335" s="34">
        <v>5000</v>
      </c>
      <c r="P335" s="34">
        <v>285.94701087670092</v>
      </c>
      <c r="Q335" s="34">
        <v>5000</v>
      </c>
    </row>
    <row r="336" spans="6:17">
      <c r="F336" s="32">
        <v>307</v>
      </c>
      <c r="G336" s="33">
        <v>4.9003172094085577E-2</v>
      </c>
      <c r="H336" s="34">
        <v>1030.564364804246</v>
      </c>
      <c r="I336" s="34">
        <v>21030.564364804246</v>
      </c>
      <c r="J336" s="34">
        <v>112.50986476423168</v>
      </c>
      <c r="K336" s="34">
        <v>5000</v>
      </c>
      <c r="L336" s="34">
        <v>215.28994034336938</v>
      </c>
      <c r="M336" s="34">
        <v>5000</v>
      </c>
      <c r="N336" s="34">
        <v>409.65520102575374</v>
      </c>
      <c r="O336" s="34">
        <v>5000</v>
      </c>
      <c r="P336" s="34">
        <v>293.10935867089302</v>
      </c>
      <c r="Q336" s="34">
        <v>5000</v>
      </c>
    </row>
    <row r="337" spans="6:17">
      <c r="F337" s="32">
        <v>308</v>
      </c>
      <c r="G337" s="33">
        <v>4.6847763161558406E-2</v>
      </c>
      <c r="H337" s="34">
        <v>983.006939519968</v>
      </c>
      <c r="I337" s="34">
        <v>20983.006939519968</v>
      </c>
      <c r="J337" s="34">
        <v>114.04564614704395</v>
      </c>
      <c r="K337" s="34">
        <v>5000</v>
      </c>
      <c r="L337" s="34">
        <v>275.03453598048691</v>
      </c>
      <c r="M337" s="34">
        <v>5000</v>
      </c>
      <c r="N337" s="34">
        <v>315.58931402716917</v>
      </c>
      <c r="O337" s="34">
        <v>5000</v>
      </c>
      <c r="P337" s="34">
        <v>278.33744336526615</v>
      </c>
      <c r="Q337" s="34">
        <v>5000</v>
      </c>
    </row>
    <row r="338" spans="6:17">
      <c r="F338" s="32">
        <v>309</v>
      </c>
      <c r="G338" s="33">
        <v>4.4387450763354659E-2</v>
      </c>
      <c r="H338" s="34">
        <v>928.98425829195912</v>
      </c>
      <c r="I338" s="34">
        <v>20928.984258291959</v>
      </c>
      <c r="J338" s="34">
        <v>113.33907318495312</v>
      </c>
      <c r="K338" s="34">
        <v>5000</v>
      </c>
      <c r="L338" s="34">
        <v>239.53407528120715</v>
      </c>
      <c r="M338" s="34">
        <v>5000</v>
      </c>
      <c r="N338" s="34">
        <v>289.90658307998183</v>
      </c>
      <c r="O338" s="34">
        <v>5000</v>
      </c>
      <c r="P338" s="34">
        <v>286.20452674581611</v>
      </c>
      <c r="Q338" s="34">
        <v>5000</v>
      </c>
    </row>
    <row r="339" spans="6:17">
      <c r="F339" s="32">
        <v>310</v>
      </c>
      <c r="G339" s="33">
        <v>5.7737310361859029E-2</v>
      </c>
      <c r="H339" s="34">
        <v>1225.5034821347326</v>
      </c>
      <c r="I339" s="34">
        <v>21225.503482134733</v>
      </c>
      <c r="J339" s="34">
        <v>117.8479367918635</v>
      </c>
      <c r="K339" s="34">
        <v>5000</v>
      </c>
      <c r="L339" s="34">
        <v>270.23283273499601</v>
      </c>
      <c r="M339" s="34">
        <v>5000</v>
      </c>
      <c r="N339" s="34">
        <v>539.44521099348367</v>
      </c>
      <c r="O339" s="34">
        <v>5000</v>
      </c>
      <c r="P339" s="34">
        <v>297.97750161438944</v>
      </c>
      <c r="Q339" s="34">
        <v>5000</v>
      </c>
    </row>
    <row r="340" spans="6:17">
      <c r="F340" s="32">
        <v>311</v>
      </c>
      <c r="G340" s="33">
        <v>5.832157904327985E-2</v>
      </c>
      <c r="H340" s="34">
        <v>1238.6729428083672</v>
      </c>
      <c r="I340" s="34">
        <v>21238.672942808367</v>
      </c>
      <c r="J340" s="34">
        <v>110.69584385664166</v>
      </c>
      <c r="K340" s="34">
        <v>5000</v>
      </c>
      <c r="L340" s="34">
        <v>233.04311100793529</v>
      </c>
      <c r="M340" s="34">
        <v>5000</v>
      </c>
      <c r="N340" s="34">
        <v>612.75644225710312</v>
      </c>
      <c r="O340" s="34">
        <v>5000</v>
      </c>
      <c r="P340" s="34">
        <v>282.17754568668715</v>
      </c>
      <c r="Q340" s="34">
        <v>5000</v>
      </c>
    </row>
    <row r="341" spans="6:17">
      <c r="F341" s="32">
        <v>312</v>
      </c>
      <c r="G341" s="33">
        <v>4.3423759989849549E-2</v>
      </c>
      <c r="H341" s="34">
        <v>907.89961476335156</v>
      </c>
      <c r="I341" s="34">
        <v>20907.899614763352</v>
      </c>
      <c r="J341" s="34">
        <v>105.21586624915199</v>
      </c>
      <c r="K341" s="34">
        <v>5000</v>
      </c>
      <c r="L341" s="34">
        <v>224.8941576867137</v>
      </c>
      <c r="M341" s="34">
        <v>5000</v>
      </c>
      <c r="N341" s="34">
        <v>294.32471938232266</v>
      </c>
      <c r="O341" s="34">
        <v>5000</v>
      </c>
      <c r="P341" s="34">
        <v>283.46487144516504</v>
      </c>
      <c r="Q341" s="34">
        <v>5000</v>
      </c>
    </row>
    <row r="342" spans="6:17">
      <c r="F342" s="32">
        <v>313</v>
      </c>
      <c r="G342" s="33">
        <v>4.6382750544783642E-2</v>
      </c>
      <c r="H342" s="34">
        <v>972.77499062189236</v>
      </c>
      <c r="I342" s="34">
        <v>20972.774990621892</v>
      </c>
      <c r="J342" s="34">
        <v>112.24965635600893</v>
      </c>
      <c r="K342" s="34">
        <v>5000</v>
      </c>
      <c r="L342" s="34">
        <v>236.57321807162589</v>
      </c>
      <c r="M342" s="34">
        <v>5000</v>
      </c>
      <c r="N342" s="34">
        <v>340.46609164847905</v>
      </c>
      <c r="O342" s="34">
        <v>5000</v>
      </c>
      <c r="P342" s="34">
        <v>283.4860245457794</v>
      </c>
      <c r="Q342" s="34">
        <v>5000</v>
      </c>
    </row>
    <row r="343" spans="6:17">
      <c r="F343" s="32">
        <v>314</v>
      </c>
      <c r="G343" s="33">
        <v>4.741248090789954E-2</v>
      </c>
      <c r="H343" s="34">
        <v>995.44619171764498</v>
      </c>
      <c r="I343" s="34">
        <v>20995.446191717645</v>
      </c>
      <c r="J343" s="34">
        <v>113.03412923153519</v>
      </c>
      <c r="K343" s="34">
        <v>5000</v>
      </c>
      <c r="L343" s="34">
        <v>361.66262413431468</v>
      </c>
      <c r="M343" s="34">
        <v>5000</v>
      </c>
      <c r="N343" s="34">
        <v>241.66148923711717</v>
      </c>
      <c r="O343" s="34">
        <v>5000</v>
      </c>
      <c r="P343" s="34">
        <v>279.08794911467521</v>
      </c>
      <c r="Q343" s="34">
        <v>5000</v>
      </c>
    </row>
    <row r="344" spans="6:17">
      <c r="F344" s="32">
        <v>315</v>
      </c>
      <c r="G344" s="33">
        <v>4.7299407260724312E-2</v>
      </c>
      <c r="H344" s="34">
        <v>992.95429479529412</v>
      </c>
      <c r="I344" s="34">
        <v>20992.954294795294</v>
      </c>
      <c r="J344" s="34">
        <v>108.14379752767218</v>
      </c>
      <c r="K344" s="34">
        <v>5000</v>
      </c>
      <c r="L344" s="34">
        <v>217.87347004935054</v>
      </c>
      <c r="M344" s="34">
        <v>5000</v>
      </c>
      <c r="N344" s="34">
        <v>379.36648983833493</v>
      </c>
      <c r="O344" s="34">
        <v>5000</v>
      </c>
      <c r="P344" s="34">
        <v>287.57053737993647</v>
      </c>
      <c r="Q344" s="34">
        <v>5000</v>
      </c>
    </row>
    <row r="345" spans="6:17">
      <c r="F345" s="32">
        <v>316</v>
      </c>
      <c r="G345" s="33">
        <v>5.15359841225798E-2</v>
      </c>
      <c r="H345" s="34">
        <v>1086.7251315782196</v>
      </c>
      <c r="I345" s="34">
        <v>21086.72513157822</v>
      </c>
      <c r="J345" s="34">
        <v>110.2166059259871</v>
      </c>
      <c r="K345" s="34">
        <v>5000</v>
      </c>
      <c r="L345" s="34">
        <v>279.32079969069127</v>
      </c>
      <c r="M345" s="34">
        <v>5000</v>
      </c>
      <c r="N345" s="34">
        <v>431.2752283079808</v>
      </c>
      <c r="O345" s="34">
        <v>5000</v>
      </c>
      <c r="P345" s="34">
        <v>265.91249765356042</v>
      </c>
      <c r="Q345" s="34">
        <v>5000</v>
      </c>
    </row>
    <row r="346" spans="6:17">
      <c r="F346" s="32">
        <v>317</v>
      </c>
      <c r="G346" s="33">
        <v>5.1174389092224958E-2</v>
      </c>
      <c r="H346" s="34">
        <v>1078.689034189636</v>
      </c>
      <c r="I346" s="34">
        <v>21078.689034189636</v>
      </c>
      <c r="J346" s="34">
        <v>108.96215562884936</v>
      </c>
      <c r="K346" s="34">
        <v>5000</v>
      </c>
      <c r="L346" s="34">
        <v>268.96304627897825</v>
      </c>
      <c r="M346" s="34">
        <v>5000</v>
      </c>
      <c r="N346" s="34">
        <v>430.59403285554254</v>
      </c>
      <c r="O346" s="34">
        <v>5000</v>
      </c>
      <c r="P346" s="34">
        <v>270.16979942626585</v>
      </c>
      <c r="Q346" s="34">
        <v>5000</v>
      </c>
    </row>
    <row r="347" spans="6:17">
      <c r="F347" s="32">
        <v>318</v>
      </c>
      <c r="G347" s="33">
        <v>4.8789440864443298E-2</v>
      </c>
      <c r="H347" s="34">
        <v>1025.8389248492422</v>
      </c>
      <c r="I347" s="34">
        <v>21025.838924849242</v>
      </c>
      <c r="J347" s="34">
        <v>124.9295335402694</v>
      </c>
      <c r="K347" s="34">
        <v>5000</v>
      </c>
      <c r="L347" s="34">
        <v>258.02740160835219</v>
      </c>
      <c r="M347" s="34">
        <v>5000</v>
      </c>
      <c r="N347" s="34">
        <v>367.87530030829384</v>
      </c>
      <c r="O347" s="34">
        <v>5000</v>
      </c>
      <c r="P347" s="34">
        <v>275.00668939232855</v>
      </c>
      <c r="Q347" s="34">
        <v>5000</v>
      </c>
    </row>
    <row r="348" spans="6:17">
      <c r="F348" s="32">
        <v>319</v>
      </c>
      <c r="G348" s="33">
        <v>4.7736842990249391E-2</v>
      </c>
      <c r="H348" s="34">
        <v>1002.5977092330286</v>
      </c>
      <c r="I348" s="34">
        <v>21002.597709233029</v>
      </c>
      <c r="J348" s="34">
        <v>103.94416551720769</v>
      </c>
      <c r="K348" s="34">
        <v>5000</v>
      </c>
      <c r="L348" s="34">
        <v>268.97587779391324</v>
      </c>
      <c r="M348" s="34">
        <v>5000</v>
      </c>
      <c r="N348" s="34">
        <v>337.82729552537057</v>
      </c>
      <c r="O348" s="34">
        <v>5000</v>
      </c>
      <c r="P348" s="34">
        <v>291.85037039653434</v>
      </c>
      <c r="Q348" s="34">
        <v>5000</v>
      </c>
    </row>
    <row r="349" spans="6:17">
      <c r="F349" s="32">
        <v>320</v>
      </c>
      <c r="G349" s="33">
        <v>5.1139553448743033E-2</v>
      </c>
      <c r="H349" s="34">
        <v>1077.9151693932581</v>
      </c>
      <c r="I349" s="34">
        <v>21077.915169393258</v>
      </c>
      <c r="J349" s="34">
        <v>113.07414600706306</v>
      </c>
      <c r="K349" s="34">
        <v>5000</v>
      </c>
      <c r="L349" s="34">
        <v>227.20538902476528</v>
      </c>
      <c r="M349" s="34">
        <v>5000</v>
      </c>
      <c r="N349" s="34">
        <v>451.10609162654237</v>
      </c>
      <c r="O349" s="34">
        <v>5000</v>
      </c>
      <c r="P349" s="34">
        <v>286.52954273488558</v>
      </c>
      <c r="Q349" s="34">
        <v>5000</v>
      </c>
    </row>
    <row r="350" spans="6:17">
      <c r="F350" s="32">
        <v>321</v>
      </c>
      <c r="G350" s="33">
        <v>4.9778011888850754E-2</v>
      </c>
      <c r="H350" s="34">
        <v>1047.7133240791336</v>
      </c>
      <c r="I350" s="34">
        <v>21047.713324079134</v>
      </c>
      <c r="J350" s="34">
        <v>107.52923842811833</v>
      </c>
      <c r="K350" s="34">
        <v>5000</v>
      </c>
      <c r="L350" s="34">
        <v>257.96770726230352</v>
      </c>
      <c r="M350" s="34">
        <v>5000</v>
      </c>
      <c r="N350" s="34">
        <v>397.12587315656401</v>
      </c>
      <c r="O350" s="34">
        <v>5000</v>
      </c>
      <c r="P350" s="34">
        <v>285.09050523214592</v>
      </c>
      <c r="Q350" s="34">
        <v>5000</v>
      </c>
    </row>
    <row r="351" spans="6:17">
      <c r="F351" s="32">
        <v>322</v>
      </c>
      <c r="G351" s="33">
        <v>4.9116313224175583E-2</v>
      </c>
      <c r="H351" s="34">
        <v>1033.0666916942282</v>
      </c>
      <c r="I351" s="34">
        <v>21033.066691694228</v>
      </c>
      <c r="J351" s="34">
        <v>115.04310876885029</v>
      </c>
      <c r="K351" s="34">
        <v>5000</v>
      </c>
      <c r="L351" s="34">
        <v>212.67710179580172</v>
      </c>
      <c r="M351" s="34">
        <v>5000</v>
      </c>
      <c r="N351" s="34">
        <v>417.1997596363417</v>
      </c>
      <c r="O351" s="34">
        <v>5000</v>
      </c>
      <c r="P351" s="34">
        <v>288.14672149323542</v>
      </c>
      <c r="Q351" s="34">
        <v>5000</v>
      </c>
    </row>
    <row r="352" spans="6:17">
      <c r="F352" s="32">
        <v>323</v>
      </c>
      <c r="G352" s="33">
        <v>5.4033958813720674E-2</v>
      </c>
      <c r="H352" s="34">
        <v>1142.4080032716593</v>
      </c>
      <c r="I352" s="34">
        <v>21142.408003271659</v>
      </c>
      <c r="J352" s="34">
        <v>111.68600864297696</v>
      </c>
      <c r="K352" s="34">
        <v>5000</v>
      </c>
      <c r="L352" s="34">
        <v>240.11926422038141</v>
      </c>
      <c r="M352" s="34">
        <v>5000</v>
      </c>
      <c r="N352" s="34">
        <v>499.81102072122212</v>
      </c>
      <c r="O352" s="34">
        <v>5000</v>
      </c>
      <c r="P352" s="34">
        <v>290.79170968707695</v>
      </c>
      <c r="Q352" s="34">
        <v>5000</v>
      </c>
    </row>
    <row r="353" spans="6:17">
      <c r="F353" s="32">
        <v>324</v>
      </c>
      <c r="G353" s="33">
        <v>5.4035785529689843E-2</v>
      </c>
      <c r="H353" s="34">
        <v>1142.4488305817576</v>
      </c>
      <c r="I353" s="34">
        <v>21142.448830581758</v>
      </c>
      <c r="J353" s="34">
        <v>110.34082486482566</v>
      </c>
      <c r="K353" s="34">
        <v>5000</v>
      </c>
      <c r="L353" s="34">
        <v>284.85060271138263</v>
      </c>
      <c r="M353" s="34">
        <v>5000</v>
      </c>
      <c r="N353" s="34">
        <v>460.03044729680096</v>
      </c>
      <c r="O353" s="34">
        <v>5000</v>
      </c>
      <c r="P353" s="34">
        <v>287.22695570874839</v>
      </c>
      <c r="Q353" s="34">
        <v>5000</v>
      </c>
    </row>
    <row r="354" spans="6:17">
      <c r="F354" s="32">
        <v>325</v>
      </c>
      <c r="G354" s="33">
        <v>4.6513523840621983E-2</v>
      </c>
      <c r="H354" s="34">
        <v>975.65146446496874</v>
      </c>
      <c r="I354" s="34">
        <v>20975.651464464969</v>
      </c>
      <c r="J354" s="34">
        <v>121.67378687135169</v>
      </c>
      <c r="K354" s="34">
        <v>5000</v>
      </c>
      <c r="L354" s="34">
        <v>221.15153845438726</v>
      </c>
      <c r="M354" s="34">
        <v>5000</v>
      </c>
      <c r="N354" s="34">
        <v>342.82167801009109</v>
      </c>
      <c r="O354" s="34">
        <v>5000</v>
      </c>
      <c r="P354" s="34">
        <v>290.00446112913778</v>
      </c>
      <c r="Q354" s="34">
        <v>5000</v>
      </c>
    </row>
    <row r="355" spans="6:17">
      <c r="F355" s="32">
        <v>326</v>
      </c>
      <c r="G355" s="33">
        <v>5.2406125809214492E-2</v>
      </c>
      <c r="H355" s="34">
        <v>1106.0883198293704</v>
      </c>
      <c r="I355" s="34">
        <v>21106.08831982937</v>
      </c>
      <c r="J355" s="34">
        <v>115.06894339737119</v>
      </c>
      <c r="K355" s="34">
        <v>5000</v>
      </c>
      <c r="L355" s="34">
        <v>231.20585821698933</v>
      </c>
      <c r="M355" s="34">
        <v>5000</v>
      </c>
      <c r="N355" s="34">
        <v>509.9357494400283</v>
      </c>
      <c r="O355" s="34">
        <v>5000</v>
      </c>
      <c r="P355" s="34">
        <v>249.87776877498163</v>
      </c>
      <c r="Q355" s="34">
        <v>5000</v>
      </c>
    </row>
    <row r="356" spans="6:17">
      <c r="F356" s="32">
        <v>327</v>
      </c>
      <c r="G356" s="33">
        <v>4.3994913317467771E-2</v>
      </c>
      <c r="H356" s="34">
        <v>920.39077888457905</v>
      </c>
      <c r="I356" s="34">
        <v>20920.390778884579</v>
      </c>
      <c r="J356" s="34">
        <v>114.3651594550156</v>
      </c>
      <c r="K356" s="34">
        <v>5000</v>
      </c>
      <c r="L356" s="34">
        <v>233.60015031708008</v>
      </c>
      <c r="M356" s="34">
        <v>5000</v>
      </c>
      <c r="N356" s="34">
        <v>283.76569912766718</v>
      </c>
      <c r="O356" s="34">
        <v>5000</v>
      </c>
      <c r="P356" s="34">
        <v>288.65976998481619</v>
      </c>
      <c r="Q356" s="34">
        <v>5000</v>
      </c>
    </row>
    <row r="357" spans="6:17">
      <c r="F357" s="32">
        <v>328</v>
      </c>
      <c r="G357" s="33">
        <v>5.3508504120653506E-2</v>
      </c>
      <c r="H357" s="34">
        <v>1130.6705734517127</v>
      </c>
      <c r="I357" s="34">
        <v>21130.670573451713</v>
      </c>
      <c r="J357" s="34">
        <v>108.1030703842971</v>
      </c>
      <c r="K357" s="34">
        <v>5000</v>
      </c>
      <c r="L357" s="34">
        <v>283.37401901024714</v>
      </c>
      <c r="M357" s="34">
        <v>5000</v>
      </c>
      <c r="N357" s="34">
        <v>443.92349365498922</v>
      </c>
      <c r="O357" s="34">
        <v>5000</v>
      </c>
      <c r="P357" s="34">
        <v>295.26999040217834</v>
      </c>
      <c r="Q357" s="34">
        <v>5000</v>
      </c>
    </row>
    <row r="358" spans="6:17">
      <c r="F358" s="32">
        <v>329</v>
      </c>
      <c r="G358" s="33">
        <v>5.1939903630795571E-2</v>
      </c>
      <c r="H358" s="34">
        <v>1095.7090975500469</v>
      </c>
      <c r="I358" s="34">
        <v>21095.709097550047</v>
      </c>
      <c r="J358" s="34">
        <v>119.93900943098924</v>
      </c>
      <c r="K358" s="34">
        <v>5000</v>
      </c>
      <c r="L358" s="34">
        <v>270.05521768723702</v>
      </c>
      <c r="M358" s="34">
        <v>5000</v>
      </c>
      <c r="N358" s="34">
        <v>435.81849234111269</v>
      </c>
      <c r="O358" s="34">
        <v>5000</v>
      </c>
      <c r="P358" s="34">
        <v>269.89637809070791</v>
      </c>
      <c r="Q358" s="34">
        <v>5000</v>
      </c>
    </row>
    <row r="359" spans="6:17">
      <c r="F359" s="32">
        <v>330</v>
      </c>
      <c r="G359" s="33">
        <v>5.353709230344713E-2</v>
      </c>
      <c r="H359" s="34">
        <v>1131.3088313992703</v>
      </c>
      <c r="I359" s="34">
        <v>21131.30883139927</v>
      </c>
      <c r="J359" s="34">
        <v>113.75907683347214</v>
      </c>
      <c r="K359" s="34">
        <v>5000</v>
      </c>
      <c r="L359" s="34">
        <v>289.20663926207544</v>
      </c>
      <c r="M359" s="34">
        <v>5000</v>
      </c>
      <c r="N359" s="34">
        <v>433.55649164029091</v>
      </c>
      <c r="O359" s="34">
        <v>5000</v>
      </c>
      <c r="P359" s="34">
        <v>294.78662366343178</v>
      </c>
      <c r="Q359" s="34">
        <v>5000</v>
      </c>
    </row>
    <row r="360" spans="6:17">
      <c r="F360" s="32">
        <v>331</v>
      </c>
      <c r="G360" s="33">
        <v>4.8976427187468023E-2</v>
      </c>
      <c r="H360" s="34">
        <v>1029.9729383705271</v>
      </c>
      <c r="I360" s="34">
        <v>21029.972938370527</v>
      </c>
      <c r="J360" s="34">
        <v>105.28628124262832</v>
      </c>
      <c r="K360" s="34">
        <v>5000</v>
      </c>
      <c r="L360" s="34">
        <v>270.61617601622584</v>
      </c>
      <c r="M360" s="34">
        <v>5000</v>
      </c>
      <c r="N360" s="34">
        <v>368.96361696618715</v>
      </c>
      <c r="O360" s="34">
        <v>5000</v>
      </c>
      <c r="P360" s="34">
        <v>285.10686414548763</v>
      </c>
      <c r="Q360" s="34">
        <v>5000</v>
      </c>
    </row>
    <row r="361" spans="6:17">
      <c r="F361" s="32">
        <v>332</v>
      </c>
      <c r="G361" s="33">
        <v>4.6921016449827831E-2</v>
      </c>
      <c r="H361" s="34">
        <v>984.61968545459604</v>
      </c>
      <c r="I361" s="34">
        <v>20984.619685454596</v>
      </c>
      <c r="J361" s="34">
        <v>116.72769851423618</v>
      </c>
      <c r="K361" s="34">
        <v>5000</v>
      </c>
      <c r="L361" s="34">
        <v>292.84684305182509</v>
      </c>
      <c r="M361" s="34">
        <v>5000</v>
      </c>
      <c r="N361" s="34">
        <v>283.98752167353359</v>
      </c>
      <c r="O361" s="34">
        <v>5000</v>
      </c>
      <c r="P361" s="34">
        <v>291.05762221500026</v>
      </c>
      <c r="Q361" s="34">
        <v>5000</v>
      </c>
    </row>
    <row r="362" spans="6:17">
      <c r="F362" s="32">
        <v>333</v>
      </c>
      <c r="G362" s="33">
        <v>5.3738133154448774E-2</v>
      </c>
      <c r="H362" s="34">
        <v>1135.7983458340059</v>
      </c>
      <c r="I362" s="34">
        <v>21135.798345834006</v>
      </c>
      <c r="J362" s="34">
        <v>120.23408021155592</v>
      </c>
      <c r="K362" s="34">
        <v>5000</v>
      </c>
      <c r="L362" s="34">
        <v>279.52427516004354</v>
      </c>
      <c r="M362" s="34">
        <v>5000</v>
      </c>
      <c r="N362" s="34">
        <v>446.33864907845418</v>
      </c>
      <c r="O362" s="34">
        <v>5000</v>
      </c>
      <c r="P362" s="34">
        <v>289.70134138395133</v>
      </c>
      <c r="Q362" s="34">
        <v>5000</v>
      </c>
    </row>
    <row r="363" spans="6:17">
      <c r="F363" s="32">
        <v>334</v>
      </c>
      <c r="G363" s="33">
        <v>4.7708438960587893E-2</v>
      </c>
      <c r="H363" s="34">
        <v>1001.971264105603</v>
      </c>
      <c r="I363" s="34">
        <v>21001.971264105603</v>
      </c>
      <c r="J363" s="34">
        <v>121.22949598119703</v>
      </c>
      <c r="K363" s="34">
        <v>5000</v>
      </c>
      <c r="L363" s="34">
        <v>258.55122736456269</v>
      </c>
      <c r="M363" s="34">
        <v>5000</v>
      </c>
      <c r="N363" s="34">
        <v>332.51625626407622</v>
      </c>
      <c r="O363" s="34">
        <v>5000</v>
      </c>
      <c r="P363" s="34">
        <v>289.67428449576619</v>
      </c>
      <c r="Q363" s="34">
        <v>5000</v>
      </c>
    </row>
    <row r="364" spans="6:17">
      <c r="F364" s="32">
        <v>335</v>
      </c>
      <c r="G364" s="33">
        <v>5.6690592147819692E-2</v>
      </c>
      <c r="H364" s="34">
        <v>1201.9511663071062</v>
      </c>
      <c r="I364" s="34">
        <v>21201.951166307106</v>
      </c>
      <c r="J364" s="34">
        <v>125.31595656017089</v>
      </c>
      <c r="K364" s="34">
        <v>5000</v>
      </c>
      <c r="L364" s="34">
        <v>330.19653762744383</v>
      </c>
      <c r="M364" s="34">
        <v>5000</v>
      </c>
      <c r="N364" s="34">
        <v>462.10426210771493</v>
      </c>
      <c r="O364" s="34">
        <v>5000</v>
      </c>
      <c r="P364" s="34">
        <v>284.33441001177562</v>
      </c>
      <c r="Q364" s="34">
        <v>5000</v>
      </c>
    </row>
    <row r="365" spans="6:17">
      <c r="F365" s="32">
        <v>336</v>
      </c>
      <c r="G365" s="33">
        <v>5.083975628450467E-2</v>
      </c>
      <c r="H365" s="34">
        <v>1071.2576010451521</v>
      </c>
      <c r="I365" s="34">
        <v>21071.257601045152</v>
      </c>
      <c r="J365" s="34">
        <v>123.04971875364208</v>
      </c>
      <c r="K365" s="34">
        <v>5000</v>
      </c>
      <c r="L365" s="34">
        <v>176.5368619522751</v>
      </c>
      <c r="M365" s="34">
        <v>5000</v>
      </c>
      <c r="N365" s="34">
        <v>496.57514320784867</v>
      </c>
      <c r="O365" s="34">
        <v>5000</v>
      </c>
      <c r="P365" s="34">
        <v>275.09587713138808</v>
      </c>
      <c r="Q365" s="34">
        <v>5000</v>
      </c>
    </row>
    <row r="366" spans="6:17">
      <c r="F366" s="32">
        <v>337</v>
      </c>
      <c r="G366" s="33">
        <v>5.6927210139201621E-2</v>
      </c>
      <c r="H366" s="34">
        <v>1207.2707589751226</v>
      </c>
      <c r="I366" s="34">
        <v>21207.270758975123</v>
      </c>
      <c r="J366" s="34">
        <v>119.62649150046855</v>
      </c>
      <c r="K366" s="34">
        <v>5000</v>
      </c>
      <c r="L366" s="34">
        <v>303.37775631263412</v>
      </c>
      <c r="M366" s="34">
        <v>5000</v>
      </c>
      <c r="N366" s="34">
        <v>474.0916682043071</v>
      </c>
      <c r="O366" s="34">
        <v>5000</v>
      </c>
      <c r="P366" s="34">
        <v>310.17484295771374</v>
      </c>
      <c r="Q366" s="34">
        <v>5000</v>
      </c>
    </row>
    <row r="367" spans="6:17">
      <c r="F367" s="32">
        <v>338</v>
      </c>
      <c r="G367" s="33">
        <v>4.4493196299927359E-2</v>
      </c>
      <c r="H367" s="34">
        <v>931.30046018790017</v>
      </c>
      <c r="I367" s="34">
        <v>20931.3004601879</v>
      </c>
      <c r="J367" s="34">
        <v>105.26312205629165</v>
      </c>
      <c r="K367" s="34">
        <v>5000</v>
      </c>
      <c r="L367" s="34">
        <v>285.0537916377034</v>
      </c>
      <c r="M367" s="34">
        <v>5000</v>
      </c>
      <c r="N367" s="34">
        <v>268.40650668341095</v>
      </c>
      <c r="O367" s="34">
        <v>5000</v>
      </c>
      <c r="P367" s="34">
        <v>272.57703981049235</v>
      </c>
      <c r="Q367" s="34">
        <v>5000</v>
      </c>
    </row>
    <row r="368" spans="6:17">
      <c r="F368" s="32">
        <v>339</v>
      </c>
      <c r="G368" s="33">
        <v>5.1502867371400002E-2</v>
      </c>
      <c r="H368" s="34">
        <v>1085.9888891528535</v>
      </c>
      <c r="I368" s="34">
        <v>21085.988889152854</v>
      </c>
      <c r="J368" s="34">
        <v>114.84019133622314</v>
      </c>
      <c r="K368" s="34">
        <v>5000</v>
      </c>
      <c r="L368" s="34">
        <v>227.09399661743009</v>
      </c>
      <c r="M368" s="34">
        <v>5000</v>
      </c>
      <c r="N368" s="34">
        <v>469.41048456875706</v>
      </c>
      <c r="O368" s="34">
        <v>5000</v>
      </c>
      <c r="P368" s="34">
        <v>274.64421663044322</v>
      </c>
      <c r="Q368" s="34">
        <v>5000</v>
      </c>
    </row>
    <row r="369" spans="6:17">
      <c r="F369" s="32">
        <v>340</v>
      </c>
      <c r="G369" s="33">
        <v>5.1386441032188507E-2</v>
      </c>
      <c r="H369" s="34">
        <v>1083.4009391158652</v>
      </c>
      <c r="I369" s="34">
        <v>21083.400939115865</v>
      </c>
      <c r="J369" s="34">
        <v>125.92427372324255</v>
      </c>
      <c r="K369" s="34">
        <v>5000</v>
      </c>
      <c r="L369" s="34">
        <v>238.75857233928491</v>
      </c>
      <c r="M369" s="34">
        <v>5000</v>
      </c>
      <c r="N369" s="34">
        <v>424.57312535787696</v>
      </c>
      <c r="O369" s="34">
        <v>5000</v>
      </c>
      <c r="P369" s="34">
        <v>294.14496769546167</v>
      </c>
      <c r="Q369" s="34">
        <v>5000</v>
      </c>
    </row>
    <row r="370" spans="6:17">
      <c r="F370" s="32">
        <v>341</v>
      </c>
      <c r="G370" s="33">
        <v>6.0460222503267762E-2</v>
      </c>
      <c r="H370" s="34">
        <v>1287.0178347180845</v>
      </c>
      <c r="I370" s="34">
        <v>21287.017834718084</v>
      </c>
      <c r="J370" s="34">
        <v>111.52396840258734</v>
      </c>
      <c r="K370" s="34">
        <v>5000</v>
      </c>
      <c r="L370" s="34">
        <v>257.20254559208843</v>
      </c>
      <c r="M370" s="34">
        <v>5000</v>
      </c>
      <c r="N370" s="34">
        <v>632.3221009935678</v>
      </c>
      <c r="O370" s="34">
        <v>5000</v>
      </c>
      <c r="P370" s="34">
        <v>285.96921972984273</v>
      </c>
      <c r="Q370" s="34">
        <v>5000</v>
      </c>
    </row>
    <row r="371" spans="6:17">
      <c r="F371" s="32">
        <v>342</v>
      </c>
      <c r="G371" s="33">
        <v>5.6099886529116592E-2</v>
      </c>
      <c r="H371" s="34">
        <v>1188.6826948844755</v>
      </c>
      <c r="I371" s="34">
        <v>21188.682694884475</v>
      </c>
      <c r="J371" s="34">
        <v>109.47262964022866</v>
      </c>
      <c r="K371" s="34">
        <v>5000</v>
      </c>
      <c r="L371" s="34">
        <v>268.92737606633091</v>
      </c>
      <c r="M371" s="34">
        <v>5000</v>
      </c>
      <c r="N371" s="34">
        <v>532.02593841697399</v>
      </c>
      <c r="O371" s="34">
        <v>5000</v>
      </c>
      <c r="P371" s="34">
        <v>278.25675076094376</v>
      </c>
      <c r="Q371" s="34">
        <v>5000</v>
      </c>
    </row>
    <row r="372" spans="6:17">
      <c r="F372" s="32">
        <v>343</v>
      </c>
      <c r="G372" s="33">
        <v>5.2064770323616304E-2</v>
      </c>
      <c r="H372" s="34">
        <v>1098.4879281549802</v>
      </c>
      <c r="I372" s="34">
        <v>21098.48792815498</v>
      </c>
      <c r="J372" s="34">
        <v>109.38306010251563</v>
      </c>
      <c r="K372" s="34">
        <v>5000</v>
      </c>
      <c r="L372" s="34">
        <v>251.55638487607666</v>
      </c>
      <c r="M372" s="34">
        <v>5000</v>
      </c>
      <c r="N372" s="34">
        <v>453.25908574603</v>
      </c>
      <c r="O372" s="34">
        <v>5000</v>
      </c>
      <c r="P372" s="34">
        <v>284.28939743035971</v>
      </c>
      <c r="Q372" s="34">
        <v>5000</v>
      </c>
    </row>
    <row r="373" spans="6:17">
      <c r="F373" s="32">
        <v>344</v>
      </c>
      <c r="G373" s="33">
        <v>5.3106005955812073E-2</v>
      </c>
      <c r="H373" s="34">
        <v>1121.6885161346545</v>
      </c>
      <c r="I373" s="34">
        <v>21121.688516134654</v>
      </c>
      <c r="J373" s="34">
        <v>118.39216806738386</v>
      </c>
      <c r="K373" s="34">
        <v>5000</v>
      </c>
      <c r="L373" s="34">
        <v>249.12676124162044</v>
      </c>
      <c r="M373" s="34">
        <v>5000</v>
      </c>
      <c r="N373" s="34">
        <v>477.33583086772796</v>
      </c>
      <c r="O373" s="34">
        <v>5000</v>
      </c>
      <c r="P373" s="34">
        <v>276.83375595792404</v>
      </c>
      <c r="Q373" s="34">
        <v>5000</v>
      </c>
    </row>
    <row r="374" spans="6:17">
      <c r="F374" s="32">
        <v>345</v>
      </c>
      <c r="G374" s="33">
        <v>4.7217681611257174E-2</v>
      </c>
      <c r="H374" s="34">
        <v>991.15360770143889</v>
      </c>
      <c r="I374" s="34">
        <v>20991.153607701439</v>
      </c>
      <c r="J374" s="34">
        <v>104.09970374017303</v>
      </c>
      <c r="K374" s="34">
        <v>5000</v>
      </c>
      <c r="L374" s="34">
        <v>222.62468254683426</v>
      </c>
      <c r="M374" s="34">
        <v>5000</v>
      </c>
      <c r="N374" s="34">
        <v>407.57768594468962</v>
      </c>
      <c r="O374" s="34">
        <v>5000</v>
      </c>
      <c r="P374" s="34">
        <v>256.85153546974198</v>
      </c>
      <c r="Q374" s="34">
        <v>5000</v>
      </c>
    </row>
    <row r="375" spans="6:17">
      <c r="F375" s="32">
        <v>346</v>
      </c>
      <c r="G375" s="33">
        <v>4.563688734723987E-2</v>
      </c>
      <c r="H375" s="34">
        <v>956.3841423079939</v>
      </c>
      <c r="I375" s="34">
        <v>20956.384142307994</v>
      </c>
      <c r="J375" s="34">
        <v>119.19288201544168</v>
      </c>
      <c r="K375" s="34">
        <v>5000</v>
      </c>
      <c r="L375" s="34">
        <v>217.3222107336187</v>
      </c>
      <c r="M375" s="34">
        <v>5000</v>
      </c>
      <c r="N375" s="34">
        <v>341.68711288827581</v>
      </c>
      <c r="O375" s="34">
        <v>5000</v>
      </c>
      <c r="P375" s="34">
        <v>278.18193667065862</v>
      </c>
      <c r="Q375" s="34">
        <v>5000</v>
      </c>
    </row>
    <row r="376" spans="6:17">
      <c r="F376" s="32">
        <v>347</v>
      </c>
      <c r="G376" s="33">
        <v>4.8124611873185244E-2</v>
      </c>
      <c r="H376" s="34">
        <v>1011.1536126149695</v>
      </c>
      <c r="I376" s="34">
        <v>21011.153612614969</v>
      </c>
      <c r="J376" s="34">
        <v>112.81453357231567</v>
      </c>
      <c r="K376" s="34">
        <v>5000</v>
      </c>
      <c r="L376" s="34">
        <v>225.42545468827393</v>
      </c>
      <c r="M376" s="34">
        <v>5000</v>
      </c>
      <c r="N376" s="34">
        <v>394.16778379714924</v>
      </c>
      <c r="O376" s="34">
        <v>5000</v>
      </c>
      <c r="P376" s="34">
        <v>278.74584055722971</v>
      </c>
      <c r="Q376" s="34">
        <v>5000</v>
      </c>
    </row>
    <row r="377" spans="6:17">
      <c r="F377" s="32">
        <v>348</v>
      </c>
      <c r="G377" s="33">
        <v>5.5037989908849699E-2</v>
      </c>
      <c r="H377" s="34">
        <v>1164.8720122312807</v>
      </c>
      <c r="I377" s="34">
        <v>21164.872012231281</v>
      </c>
      <c r="J377" s="34">
        <v>113.01848523531044</v>
      </c>
      <c r="K377" s="34">
        <v>5000</v>
      </c>
      <c r="L377" s="34">
        <v>268.01183649774339</v>
      </c>
      <c r="M377" s="34">
        <v>5000</v>
      </c>
      <c r="N377" s="34">
        <v>507.171324905652</v>
      </c>
      <c r="O377" s="34">
        <v>5000</v>
      </c>
      <c r="P377" s="34">
        <v>276.67036559257213</v>
      </c>
      <c r="Q377" s="34">
        <v>5000</v>
      </c>
    </row>
    <row r="378" spans="6:17">
      <c r="F378" s="32">
        <v>349</v>
      </c>
      <c r="G378" s="33">
        <v>5.4293204606681959E-2</v>
      </c>
      <c r="H378" s="34">
        <v>1148.2037534498522</v>
      </c>
      <c r="I378" s="34">
        <v>21148.203753449852</v>
      </c>
      <c r="J378" s="34">
        <v>119.52293298655513</v>
      </c>
      <c r="K378" s="34">
        <v>5000</v>
      </c>
      <c r="L378" s="34">
        <v>253.76341861530818</v>
      </c>
      <c r="M378" s="34">
        <v>5000</v>
      </c>
      <c r="N378" s="34">
        <v>493.12380572071743</v>
      </c>
      <c r="O378" s="34">
        <v>5000</v>
      </c>
      <c r="P378" s="34">
        <v>281.79359612727421</v>
      </c>
      <c r="Q378" s="34">
        <v>5000</v>
      </c>
    </row>
    <row r="379" spans="6:17">
      <c r="F379" s="32">
        <v>350</v>
      </c>
      <c r="G379" s="33">
        <v>5.3528604040752471E-2</v>
      </c>
      <c r="H379" s="34">
        <v>1131.1193189626465</v>
      </c>
      <c r="I379" s="34">
        <v>21131.119318962647</v>
      </c>
      <c r="J379" s="34">
        <v>116.86497734054592</v>
      </c>
      <c r="K379" s="34">
        <v>5000</v>
      </c>
      <c r="L379" s="34">
        <v>294.01204015059011</v>
      </c>
      <c r="M379" s="34">
        <v>5000</v>
      </c>
      <c r="N379" s="34">
        <v>434.92421150447171</v>
      </c>
      <c r="O379" s="34">
        <v>5000</v>
      </c>
      <c r="P379" s="34">
        <v>285.31808996703603</v>
      </c>
      <c r="Q379" s="34">
        <v>5000</v>
      </c>
    </row>
    <row r="380" spans="6:17">
      <c r="F380" s="32">
        <v>351</v>
      </c>
      <c r="G380" s="33">
        <v>4.9987591510143078E-2</v>
      </c>
      <c r="H380" s="34">
        <v>1052.3566021543556</v>
      </c>
      <c r="I380" s="34">
        <v>21052.356602154356</v>
      </c>
      <c r="J380" s="34">
        <v>107.8368875610031</v>
      </c>
      <c r="K380" s="34">
        <v>5000</v>
      </c>
      <c r="L380" s="34">
        <v>247.47934718058605</v>
      </c>
      <c r="M380" s="34">
        <v>5000</v>
      </c>
      <c r="N380" s="34">
        <v>428.97573759791976</v>
      </c>
      <c r="O380" s="34">
        <v>5000</v>
      </c>
      <c r="P380" s="34">
        <v>268.06462981484583</v>
      </c>
      <c r="Q380" s="34">
        <v>5000</v>
      </c>
    </row>
    <row r="381" spans="6:17">
      <c r="F381" s="32">
        <v>352</v>
      </c>
      <c r="G381" s="33">
        <v>5.2651763201268603E-2</v>
      </c>
      <c r="H381" s="34">
        <v>1111.5609056114117</v>
      </c>
      <c r="I381" s="34">
        <v>21111.560905611412</v>
      </c>
      <c r="J381" s="34">
        <v>122.11331445387714</v>
      </c>
      <c r="K381" s="34">
        <v>5000</v>
      </c>
      <c r="L381" s="34">
        <v>260.21749197162353</v>
      </c>
      <c r="M381" s="34">
        <v>5000</v>
      </c>
      <c r="N381" s="34">
        <v>454.49405995177403</v>
      </c>
      <c r="O381" s="34">
        <v>5000</v>
      </c>
      <c r="P381" s="34">
        <v>274.73603923413793</v>
      </c>
      <c r="Q381" s="34">
        <v>5000</v>
      </c>
    </row>
    <row r="382" spans="6:17">
      <c r="F382" s="32">
        <v>353</v>
      </c>
      <c r="G382" s="33">
        <v>4.9801082742949872E-2</v>
      </c>
      <c r="H382" s="34">
        <v>1048.2243630988596</v>
      </c>
      <c r="I382" s="34">
        <v>21048.22436309886</v>
      </c>
      <c r="J382" s="34">
        <v>115.11603052298778</v>
      </c>
      <c r="K382" s="34">
        <v>5000</v>
      </c>
      <c r="L382" s="34">
        <v>193.10966940266007</v>
      </c>
      <c r="M382" s="34">
        <v>5000</v>
      </c>
      <c r="N382" s="34">
        <v>459.87137031998009</v>
      </c>
      <c r="O382" s="34">
        <v>5000</v>
      </c>
      <c r="P382" s="34">
        <v>280.12729285322894</v>
      </c>
      <c r="Q382" s="34">
        <v>5000</v>
      </c>
    </row>
    <row r="383" spans="6:17">
      <c r="F383" s="32">
        <v>354</v>
      </c>
      <c r="G383" s="33">
        <v>5.0316624804032414E-2</v>
      </c>
      <c r="H383" s="34">
        <v>1059.6505344457473</v>
      </c>
      <c r="I383" s="34">
        <v>21059.650534445747</v>
      </c>
      <c r="J383" s="34">
        <v>113.21805289712393</v>
      </c>
      <c r="K383" s="34">
        <v>5000</v>
      </c>
      <c r="L383" s="34">
        <v>212.49136665534206</v>
      </c>
      <c r="M383" s="34">
        <v>5000</v>
      </c>
      <c r="N383" s="34">
        <v>455.21892234239931</v>
      </c>
      <c r="O383" s="34">
        <v>5000</v>
      </c>
      <c r="P383" s="34">
        <v>278.72219255088112</v>
      </c>
      <c r="Q383" s="34">
        <v>5000</v>
      </c>
    </row>
    <row r="384" spans="6:17">
      <c r="F384" s="32">
        <v>355</v>
      </c>
      <c r="G384" s="33">
        <v>4.1641178030058699E-2</v>
      </c>
      <c r="H384" s="34">
        <v>869.01016770448769</v>
      </c>
      <c r="I384" s="34">
        <v>20869.010167704488</v>
      </c>
      <c r="J384" s="34">
        <v>116.02547237890303</v>
      </c>
      <c r="K384" s="34">
        <v>5000</v>
      </c>
      <c r="L384" s="34">
        <v>247.1272502148222</v>
      </c>
      <c r="M384" s="34">
        <v>5000</v>
      </c>
      <c r="N384" s="34">
        <v>233.42102367665848</v>
      </c>
      <c r="O384" s="34">
        <v>5000</v>
      </c>
      <c r="P384" s="34">
        <v>272.43642143410216</v>
      </c>
      <c r="Q384" s="34">
        <v>5000</v>
      </c>
    </row>
    <row r="385" spans="6:17">
      <c r="F385" s="32">
        <v>356</v>
      </c>
      <c r="G385" s="33">
        <v>5.4990415349659032E-2</v>
      </c>
      <c r="H385" s="34">
        <v>1163.8065103859408</v>
      </c>
      <c r="I385" s="34">
        <v>21163.806510385941</v>
      </c>
      <c r="J385" s="34">
        <v>116.39767193670559</v>
      </c>
      <c r="K385" s="34">
        <v>5000</v>
      </c>
      <c r="L385" s="34">
        <v>232.00174574630273</v>
      </c>
      <c r="M385" s="34">
        <v>5000</v>
      </c>
      <c r="N385" s="34">
        <v>551.55920046909159</v>
      </c>
      <c r="O385" s="34">
        <v>5000</v>
      </c>
      <c r="P385" s="34">
        <v>263.84789223384087</v>
      </c>
      <c r="Q385" s="34">
        <v>5000</v>
      </c>
    </row>
    <row r="386" spans="6:17">
      <c r="F386" s="32">
        <v>357</v>
      </c>
      <c r="G386" s="33">
        <v>4.8142563843005533E-2</v>
      </c>
      <c r="H386" s="34">
        <v>1011.5498816162035</v>
      </c>
      <c r="I386" s="34">
        <v>21011.549881616203</v>
      </c>
      <c r="J386" s="34">
        <v>114.93859805945976</v>
      </c>
      <c r="K386" s="34">
        <v>5000</v>
      </c>
      <c r="L386" s="34">
        <v>247.31823804272608</v>
      </c>
      <c r="M386" s="34">
        <v>5000</v>
      </c>
      <c r="N386" s="34">
        <v>353.66318390779816</v>
      </c>
      <c r="O386" s="34">
        <v>5000</v>
      </c>
      <c r="P386" s="34">
        <v>295.62986160621858</v>
      </c>
      <c r="Q386" s="34">
        <v>5000</v>
      </c>
    </row>
    <row r="387" spans="6:17">
      <c r="F387" s="32">
        <v>358</v>
      </c>
      <c r="G387" s="33">
        <v>4.6700358608698138E-2</v>
      </c>
      <c r="H387" s="34">
        <v>979.76242895761243</v>
      </c>
      <c r="I387" s="34">
        <v>20979.762428957612</v>
      </c>
      <c r="J387" s="34">
        <v>112.58411851069377</v>
      </c>
      <c r="K387" s="34">
        <v>5000</v>
      </c>
      <c r="L387" s="34">
        <v>169.84853442046915</v>
      </c>
      <c r="M387" s="34">
        <v>5000</v>
      </c>
      <c r="N387" s="34">
        <v>399.58781330151851</v>
      </c>
      <c r="O387" s="34">
        <v>5000</v>
      </c>
      <c r="P387" s="34">
        <v>297.74196272493191</v>
      </c>
      <c r="Q387" s="34">
        <v>5000</v>
      </c>
    </row>
    <row r="388" spans="6:17">
      <c r="F388" s="32">
        <v>359</v>
      </c>
      <c r="G388" s="33">
        <v>4.8054428378746399E-2</v>
      </c>
      <c r="H388" s="34">
        <v>1009.6045364632591</v>
      </c>
      <c r="I388" s="34">
        <v>21009.604536463259</v>
      </c>
      <c r="J388" s="34">
        <v>113.32437864046733</v>
      </c>
      <c r="K388" s="34">
        <v>5000</v>
      </c>
      <c r="L388" s="34">
        <v>304.47209806247884</v>
      </c>
      <c r="M388" s="34">
        <v>5000</v>
      </c>
      <c r="N388" s="34">
        <v>318.15223303383118</v>
      </c>
      <c r="O388" s="34">
        <v>5000</v>
      </c>
      <c r="P388" s="34">
        <v>273.65582672648179</v>
      </c>
      <c r="Q388" s="34">
        <v>5000</v>
      </c>
    </row>
    <row r="389" spans="6:17">
      <c r="F389" s="32">
        <v>360</v>
      </c>
      <c r="G389" s="33">
        <v>4.9818545654590304E-2</v>
      </c>
      <c r="H389" s="34">
        <v>1048.6111979297857</v>
      </c>
      <c r="I389" s="34">
        <v>21048.611197929786</v>
      </c>
      <c r="J389" s="34">
        <v>108.62314568950478</v>
      </c>
      <c r="K389" s="34">
        <v>5000</v>
      </c>
      <c r="L389" s="34">
        <v>274.7877169401645</v>
      </c>
      <c r="M389" s="34">
        <v>5000</v>
      </c>
      <c r="N389" s="34">
        <v>375.78967132165963</v>
      </c>
      <c r="O389" s="34">
        <v>5000</v>
      </c>
      <c r="P389" s="34">
        <v>289.41066397845498</v>
      </c>
      <c r="Q389" s="34">
        <v>5000</v>
      </c>
    </row>
    <row r="390" spans="6:17">
      <c r="F390" s="32">
        <v>361</v>
      </c>
      <c r="G390" s="33">
        <v>5.183043648353225E-2</v>
      </c>
      <c r="H390" s="34">
        <v>1093.2735763276178</v>
      </c>
      <c r="I390" s="34">
        <v>21093.273576327618</v>
      </c>
      <c r="J390" s="34">
        <v>120.90573126132222</v>
      </c>
      <c r="K390" s="34">
        <v>5000</v>
      </c>
      <c r="L390" s="34">
        <v>218.59911468359587</v>
      </c>
      <c r="M390" s="34">
        <v>5000</v>
      </c>
      <c r="N390" s="34">
        <v>467.66359700321027</v>
      </c>
      <c r="O390" s="34">
        <v>5000</v>
      </c>
      <c r="P390" s="34">
        <v>286.10513337948851</v>
      </c>
      <c r="Q390" s="34">
        <v>5000</v>
      </c>
    </row>
    <row r="391" spans="6:17">
      <c r="F391" s="32">
        <v>362</v>
      </c>
      <c r="G391" s="33">
        <v>5.0837260238451851E-2</v>
      </c>
      <c r="H391" s="34">
        <v>1071.2021892309713</v>
      </c>
      <c r="I391" s="34">
        <v>21071.202189230971</v>
      </c>
      <c r="J391" s="34">
        <v>102.22239805583285</v>
      </c>
      <c r="K391" s="34">
        <v>5000</v>
      </c>
      <c r="L391" s="34">
        <v>266.55319908743422</v>
      </c>
      <c r="M391" s="34">
        <v>5000</v>
      </c>
      <c r="N391" s="34">
        <v>427.71580459211782</v>
      </c>
      <c r="O391" s="34">
        <v>5000</v>
      </c>
      <c r="P391" s="34">
        <v>274.71078749558819</v>
      </c>
      <c r="Q391" s="34">
        <v>5000</v>
      </c>
    </row>
    <row r="392" spans="6:17">
      <c r="F392" s="32">
        <v>363</v>
      </c>
      <c r="G392" s="33">
        <v>4.8882705618093249E-2</v>
      </c>
      <c r="H392" s="34">
        <v>1027.9006786404861</v>
      </c>
      <c r="I392" s="34">
        <v>21027.900678640486</v>
      </c>
      <c r="J392" s="34">
        <v>118.28128762733104</v>
      </c>
      <c r="K392" s="34">
        <v>5000</v>
      </c>
      <c r="L392" s="34">
        <v>231.78815354285234</v>
      </c>
      <c r="M392" s="34">
        <v>5000</v>
      </c>
      <c r="N392" s="34">
        <v>395.82966187222428</v>
      </c>
      <c r="O392" s="34">
        <v>5000</v>
      </c>
      <c r="P392" s="34">
        <v>282.00157559807849</v>
      </c>
      <c r="Q392" s="34">
        <v>5000</v>
      </c>
    </row>
    <row r="393" spans="6:17">
      <c r="F393" s="32">
        <v>364</v>
      </c>
      <c r="G393" s="33">
        <v>5.3461406383498881E-2</v>
      </c>
      <c r="H393" s="34">
        <v>1129.619156451623</v>
      </c>
      <c r="I393" s="34">
        <v>21129.619156451623</v>
      </c>
      <c r="J393" s="34">
        <v>113.96453273135012</v>
      </c>
      <c r="K393" s="34">
        <v>5000</v>
      </c>
      <c r="L393" s="34">
        <v>290.79926085160969</v>
      </c>
      <c r="M393" s="34">
        <v>5000</v>
      </c>
      <c r="N393" s="34">
        <v>438.9153968077344</v>
      </c>
      <c r="O393" s="34">
        <v>5000</v>
      </c>
      <c r="P393" s="34">
        <v>285.93996606093151</v>
      </c>
      <c r="Q393" s="34">
        <v>5000</v>
      </c>
    </row>
    <row r="394" spans="6:17">
      <c r="F394" s="32">
        <v>365</v>
      </c>
      <c r="G394" s="33">
        <v>5.1765951029623773E-2</v>
      </c>
      <c r="H394" s="34">
        <v>1091.8391105198752</v>
      </c>
      <c r="I394" s="34">
        <v>21091.839110519875</v>
      </c>
      <c r="J394" s="34">
        <v>115.95741056488987</v>
      </c>
      <c r="K394" s="34">
        <v>5000</v>
      </c>
      <c r="L394" s="34">
        <v>256.71280451179973</v>
      </c>
      <c r="M394" s="34">
        <v>5000</v>
      </c>
      <c r="N394" s="34">
        <v>435.41434130086418</v>
      </c>
      <c r="O394" s="34">
        <v>5000</v>
      </c>
      <c r="P394" s="34">
        <v>283.75455414232238</v>
      </c>
      <c r="Q394" s="34">
        <v>5000</v>
      </c>
    </row>
    <row r="395" spans="6:17">
      <c r="F395" s="32">
        <v>366</v>
      </c>
      <c r="G395" s="33">
        <v>4.8899958840800666E-2</v>
      </c>
      <c r="H395" s="34">
        <v>1028.2821306831502</v>
      </c>
      <c r="I395" s="34">
        <v>21028.28213068315</v>
      </c>
      <c r="J395" s="34">
        <v>115.18720462412693</v>
      </c>
      <c r="K395" s="34">
        <v>5000</v>
      </c>
      <c r="L395" s="34">
        <v>274.10204011160567</v>
      </c>
      <c r="M395" s="34">
        <v>5000</v>
      </c>
      <c r="N395" s="34">
        <v>357.73646374531108</v>
      </c>
      <c r="O395" s="34">
        <v>5000</v>
      </c>
      <c r="P395" s="34">
        <v>281.25642220210557</v>
      </c>
      <c r="Q395" s="34">
        <v>5000</v>
      </c>
    </row>
    <row r="396" spans="6:17">
      <c r="F396" s="32">
        <v>367</v>
      </c>
      <c r="G396" s="33">
        <v>5.6071366540799715E-2</v>
      </c>
      <c r="H396" s="34">
        <v>1188.0424971391294</v>
      </c>
      <c r="I396" s="34">
        <v>21188.042497139129</v>
      </c>
      <c r="J396" s="34">
        <v>104.53574221252438</v>
      </c>
      <c r="K396" s="34">
        <v>5000</v>
      </c>
      <c r="L396" s="34">
        <v>327.43677109059445</v>
      </c>
      <c r="M396" s="34">
        <v>5000</v>
      </c>
      <c r="N396" s="34">
        <v>478.77848180098772</v>
      </c>
      <c r="O396" s="34">
        <v>5000</v>
      </c>
      <c r="P396" s="34">
        <v>277.29150203502286</v>
      </c>
      <c r="Q396" s="34">
        <v>5000</v>
      </c>
    </row>
    <row r="397" spans="6:17">
      <c r="F397" s="32">
        <v>368</v>
      </c>
      <c r="G397" s="33">
        <v>4.3618229139804572E-2</v>
      </c>
      <c r="H397" s="34">
        <v>912.15099385621215</v>
      </c>
      <c r="I397" s="34">
        <v>20912.150993856212</v>
      </c>
      <c r="J397" s="34">
        <v>106.87282596467503</v>
      </c>
      <c r="K397" s="34">
        <v>5000</v>
      </c>
      <c r="L397" s="34">
        <v>210.07353855158908</v>
      </c>
      <c r="M397" s="34">
        <v>5000</v>
      </c>
      <c r="N397" s="34">
        <v>305.68714564986658</v>
      </c>
      <c r="O397" s="34">
        <v>5000</v>
      </c>
      <c r="P397" s="34">
        <v>289.51748369007964</v>
      </c>
      <c r="Q397" s="34">
        <v>5000</v>
      </c>
    </row>
    <row r="398" spans="6:17">
      <c r="F398" s="32">
        <v>369</v>
      </c>
      <c r="G398" s="33">
        <v>4.9841066915775549E-2</v>
      </c>
      <c r="H398" s="34">
        <v>1049.1101052745144</v>
      </c>
      <c r="I398" s="34">
        <v>21049.110105274514</v>
      </c>
      <c r="J398" s="34">
        <v>107.43474729438549</v>
      </c>
      <c r="K398" s="34">
        <v>5000</v>
      </c>
      <c r="L398" s="34">
        <v>294.6431041432761</v>
      </c>
      <c r="M398" s="34">
        <v>5000</v>
      </c>
      <c r="N398" s="34">
        <v>372.69601365223934</v>
      </c>
      <c r="O398" s="34">
        <v>5000</v>
      </c>
      <c r="P398" s="34">
        <v>274.33624018461342</v>
      </c>
      <c r="Q398" s="34">
        <v>5000</v>
      </c>
    </row>
    <row r="399" spans="6:17">
      <c r="F399" s="32">
        <v>370</v>
      </c>
      <c r="G399" s="33">
        <v>5.6260160257048393E-2</v>
      </c>
      <c r="H399" s="34">
        <v>1192.2811327403979</v>
      </c>
      <c r="I399" s="34">
        <v>21192.281132740398</v>
      </c>
      <c r="J399" s="34">
        <v>110.84441833096844</v>
      </c>
      <c r="K399" s="34">
        <v>5000</v>
      </c>
      <c r="L399" s="34">
        <v>340.20077271450646</v>
      </c>
      <c r="M399" s="34">
        <v>5000</v>
      </c>
      <c r="N399" s="34">
        <v>464.46175969269916</v>
      </c>
      <c r="O399" s="34">
        <v>5000</v>
      </c>
      <c r="P399" s="34">
        <v>276.77418200222473</v>
      </c>
      <c r="Q399" s="34">
        <v>5000</v>
      </c>
    </row>
    <row r="400" spans="6:17">
      <c r="F400" s="32">
        <v>371</v>
      </c>
      <c r="G400" s="33">
        <v>5.0398214670584071E-2</v>
      </c>
      <c r="H400" s="34">
        <v>1061.4599814194953</v>
      </c>
      <c r="I400" s="34">
        <v>21061.459981419495</v>
      </c>
      <c r="J400" s="34">
        <v>113.52163931532959</v>
      </c>
      <c r="K400" s="34">
        <v>5000</v>
      </c>
      <c r="L400" s="34">
        <v>237.16301493345691</v>
      </c>
      <c r="M400" s="34">
        <v>5000</v>
      </c>
      <c r="N400" s="34">
        <v>429.48462077284603</v>
      </c>
      <c r="O400" s="34">
        <v>5000</v>
      </c>
      <c r="P400" s="34">
        <v>281.29070639786096</v>
      </c>
      <c r="Q400" s="34">
        <v>5000</v>
      </c>
    </row>
    <row r="401" spans="6:17">
      <c r="F401" s="32">
        <v>372</v>
      </c>
      <c r="G401" s="33">
        <v>4.8681659694435345E-2</v>
      </c>
      <c r="H401" s="34">
        <v>1023.4567679794491</v>
      </c>
      <c r="I401" s="34">
        <v>21023.456767979449</v>
      </c>
      <c r="J401" s="34">
        <v>114.64548830521016</v>
      </c>
      <c r="K401" s="34">
        <v>5000</v>
      </c>
      <c r="L401" s="34">
        <v>251.05045170736685</v>
      </c>
      <c r="M401" s="34">
        <v>5000</v>
      </c>
      <c r="N401" s="34">
        <v>392.82921792390425</v>
      </c>
      <c r="O401" s="34">
        <v>5000</v>
      </c>
      <c r="P401" s="34">
        <v>264.93161004296871</v>
      </c>
      <c r="Q401" s="34">
        <v>5000</v>
      </c>
    </row>
    <row r="402" spans="6:17">
      <c r="F402" s="32">
        <v>373</v>
      </c>
      <c r="G402" s="33">
        <v>5.0124533982801159E-2</v>
      </c>
      <c r="H402" s="34">
        <v>1055.3916966183351</v>
      </c>
      <c r="I402" s="34">
        <v>21055.391696618335</v>
      </c>
      <c r="J402" s="34">
        <v>115.07815253481294</v>
      </c>
      <c r="K402" s="34">
        <v>5000</v>
      </c>
      <c r="L402" s="34">
        <v>299.39924212656206</v>
      </c>
      <c r="M402" s="34">
        <v>5000</v>
      </c>
      <c r="N402" s="34">
        <v>371.44380910277778</v>
      </c>
      <c r="O402" s="34">
        <v>5000</v>
      </c>
      <c r="P402" s="34">
        <v>269.47049285418416</v>
      </c>
      <c r="Q402" s="34">
        <v>5000</v>
      </c>
    </row>
    <row r="403" spans="6:17">
      <c r="F403" s="32">
        <v>374</v>
      </c>
      <c r="G403" s="33">
        <v>4.8148873547708915E-2</v>
      </c>
      <c r="H403" s="34">
        <v>1011.6891646106014</v>
      </c>
      <c r="I403" s="34">
        <v>21011.689164610601</v>
      </c>
      <c r="J403" s="34">
        <v>116.51390476148663</v>
      </c>
      <c r="K403" s="34">
        <v>5000</v>
      </c>
      <c r="L403" s="34">
        <v>283.78355675710191</v>
      </c>
      <c r="M403" s="34">
        <v>5000</v>
      </c>
      <c r="N403" s="34">
        <v>330.67249688175161</v>
      </c>
      <c r="O403" s="34">
        <v>5000</v>
      </c>
      <c r="P403" s="34">
        <v>280.71920621026402</v>
      </c>
      <c r="Q403" s="34">
        <v>5000</v>
      </c>
    </row>
    <row r="404" spans="6:17">
      <c r="F404" s="32">
        <v>375</v>
      </c>
      <c r="G404" s="33">
        <v>5.0172605502461942E-2</v>
      </c>
      <c r="H404" s="34">
        <v>1056.4573267336309</v>
      </c>
      <c r="I404" s="34">
        <v>21056.457326733631</v>
      </c>
      <c r="J404" s="34">
        <v>114.49045390323136</v>
      </c>
      <c r="K404" s="34">
        <v>5000</v>
      </c>
      <c r="L404" s="34">
        <v>259.70042949681465</v>
      </c>
      <c r="M404" s="34">
        <v>5000</v>
      </c>
      <c r="N404" s="34">
        <v>400.93042499237163</v>
      </c>
      <c r="O404" s="34">
        <v>5000</v>
      </c>
      <c r="P404" s="34">
        <v>281.33601834121237</v>
      </c>
      <c r="Q404" s="34">
        <v>5000</v>
      </c>
    </row>
    <row r="405" spans="6:17">
      <c r="F405" s="32">
        <v>376</v>
      </c>
      <c r="G405" s="33">
        <v>5.9338040137625205E-2</v>
      </c>
      <c r="H405" s="34">
        <v>1261.6230414230158</v>
      </c>
      <c r="I405" s="34">
        <v>21261.623041423016</v>
      </c>
      <c r="J405" s="34">
        <v>104.51629617586877</v>
      </c>
      <c r="K405" s="34">
        <v>5000</v>
      </c>
      <c r="L405" s="34">
        <v>269.71262039377962</v>
      </c>
      <c r="M405" s="34">
        <v>5000</v>
      </c>
      <c r="N405" s="34">
        <v>597.31442405518374</v>
      </c>
      <c r="O405" s="34">
        <v>5000</v>
      </c>
      <c r="P405" s="34">
        <v>290.07970079818097</v>
      </c>
      <c r="Q405" s="34">
        <v>5000</v>
      </c>
    </row>
    <row r="406" spans="6:17">
      <c r="F406" s="32">
        <v>377</v>
      </c>
      <c r="G406" s="33">
        <v>4.6197174778770243E-2</v>
      </c>
      <c r="H406" s="34">
        <v>968.69444202065642</v>
      </c>
      <c r="I406" s="34">
        <v>20968.694442020656</v>
      </c>
      <c r="J406" s="34">
        <v>114.56003006293759</v>
      </c>
      <c r="K406" s="34">
        <v>5000</v>
      </c>
      <c r="L406" s="34">
        <v>266.51847383913901</v>
      </c>
      <c r="M406" s="34">
        <v>5000</v>
      </c>
      <c r="N406" s="34">
        <v>310.04297368801326</v>
      </c>
      <c r="O406" s="34">
        <v>5000</v>
      </c>
      <c r="P406" s="34">
        <v>277.57296443056566</v>
      </c>
      <c r="Q406" s="34">
        <v>5000</v>
      </c>
    </row>
    <row r="407" spans="6:17">
      <c r="F407" s="32">
        <v>378</v>
      </c>
      <c r="G407" s="33">
        <v>5.055187652417116E-2</v>
      </c>
      <c r="H407" s="34">
        <v>1064.8686384066168</v>
      </c>
      <c r="I407" s="34">
        <v>21064.868638406617</v>
      </c>
      <c r="J407" s="34">
        <v>117.32605165599489</v>
      </c>
      <c r="K407" s="34">
        <v>5000</v>
      </c>
      <c r="L407" s="34">
        <v>248.59856283753834</v>
      </c>
      <c r="M407" s="34">
        <v>5000</v>
      </c>
      <c r="N407" s="34">
        <v>418.34106802024598</v>
      </c>
      <c r="O407" s="34">
        <v>5000</v>
      </c>
      <c r="P407" s="34">
        <v>280.60295589283669</v>
      </c>
      <c r="Q407" s="34">
        <v>5000</v>
      </c>
    </row>
    <row r="408" spans="6:17">
      <c r="F408" s="32">
        <v>379</v>
      </c>
      <c r="G408" s="33">
        <v>5.6555659644092912E-2</v>
      </c>
      <c r="H408" s="34">
        <v>1198.9188386621245</v>
      </c>
      <c r="I408" s="34">
        <v>21198.918838662124</v>
      </c>
      <c r="J408" s="34">
        <v>114.1500748696717</v>
      </c>
      <c r="K408" s="34">
        <v>5000</v>
      </c>
      <c r="L408" s="34">
        <v>259.54520744008096</v>
      </c>
      <c r="M408" s="34">
        <v>5000</v>
      </c>
      <c r="N408" s="34">
        <v>530.52741440055615</v>
      </c>
      <c r="O408" s="34">
        <v>5000</v>
      </c>
      <c r="P408" s="34">
        <v>294.69614195181384</v>
      </c>
      <c r="Q408" s="34">
        <v>5000</v>
      </c>
    </row>
    <row r="409" spans="6:17">
      <c r="F409" s="32">
        <v>380</v>
      </c>
      <c r="G409" s="33">
        <v>5.3824778050491288E-2</v>
      </c>
      <c r="H409" s="34">
        <v>1137.7338319976334</v>
      </c>
      <c r="I409" s="34">
        <v>21137.733831997633</v>
      </c>
      <c r="J409" s="34">
        <v>113.59510984626286</v>
      </c>
      <c r="K409" s="34">
        <v>5000</v>
      </c>
      <c r="L409" s="34">
        <v>215.8465377491375</v>
      </c>
      <c r="M409" s="34">
        <v>5000</v>
      </c>
      <c r="N409" s="34">
        <v>506.02177479078728</v>
      </c>
      <c r="O409" s="34">
        <v>5000</v>
      </c>
      <c r="P409" s="34">
        <v>302.27040961144849</v>
      </c>
      <c r="Q409" s="34">
        <v>5000</v>
      </c>
    </row>
    <row r="410" spans="6:17">
      <c r="F410" s="32">
        <v>381</v>
      </c>
      <c r="G410" s="33">
        <v>4.7340086428446296E-2</v>
      </c>
      <c r="H410" s="34">
        <v>993.85070693206217</v>
      </c>
      <c r="I410" s="34">
        <v>20993.850706932062</v>
      </c>
      <c r="J410" s="34">
        <v>107.41843330997744</v>
      </c>
      <c r="K410" s="34">
        <v>5000</v>
      </c>
      <c r="L410" s="34">
        <v>257.37045695678353</v>
      </c>
      <c r="M410" s="34">
        <v>5000</v>
      </c>
      <c r="N410" s="34">
        <v>333.36207463722258</v>
      </c>
      <c r="O410" s="34">
        <v>5000</v>
      </c>
      <c r="P410" s="34">
        <v>295.69974202808044</v>
      </c>
      <c r="Q410" s="34">
        <v>5000</v>
      </c>
    </row>
    <row r="411" spans="6:17">
      <c r="F411" s="32">
        <v>382</v>
      </c>
      <c r="G411" s="33">
        <v>4.6715824483889369E-2</v>
      </c>
      <c r="H411" s="34">
        <v>980.10280006163521</v>
      </c>
      <c r="I411" s="34">
        <v>20980.102800061635</v>
      </c>
      <c r="J411" s="34">
        <v>104.2468759595904</v>
      </c>
      <c r="K411" s="34">
        <v>5000</v>
      </c>
      <c r="L411" s="34">
        <v>221.72149670810995</v>
      </c>
      <c r="M411" s="34">
        <v>5000</v>
      </c>
      <c r="N411" s="34">
        <v>357.6571899408691</v>
      </c>
      <c r="O411" s="34">
        <v>5000</v>
      </c>
      <c r="P411" s="34">
        <v>296.47723745306666</v>
      </c>
      <c r="Q411" s="34">
        <v>5000</v>
      </c>
    </row>
    <row r="412" spans="6:17">
      <c r="F412" s="32">
        <v>383</v>
      </c>
      <c r="G412" s="33">
        <v>4.9325747962603472E-2</v>
      </c>
      <c r="H412" s="34">
        <v>1037.7003028512263</v>
      </c>
      <c r="I412" s="34">
        <v>21037.700302851226</v>
      </c>
      <c r="J412" s="34">
        <v>114.34652512120192</v>
      </c>
      <c r="K412" s="34">
        <v>5000</v>
      </c>
      <c r="L412" s="34">
        <v>292.93927132925091</v>
      </c>
      <c r="M412" s="34">
        <v>5000</v>
      </c>
      <c r="N412" s="34">
        <v>368.27439392424094</v>
      </c>
      <c r="O412" s="34">
        <v>5000</v>
      </c>
      <c r="P412" s="34">
        <v>262.14011247653161</v>
      </c>
      <c r="Q412" s="34">
        <v>5000</v>
      </c>
    </row>
    <row r="413" spans="6:17">
      <c r="F413" s="32">
        <v>384</v>
      </c>
      <c r="G413" s="33">
        <v>4.8582248932872246E-2</v>
      </c>
      <c r="H413" s="34">
        <v>1021.2600906043954</v>
      </c>
      <c r="I413" s="34">
        <v>21021.260090604395</v>
      </c>
      <c r="J413" s="34">
        <v>113.41567771259452</v>
      </c>
      <c r="K413" s="34">
        <v>5000</v>
      </c>
      <c r="L413" s="34">
        <v>251.52474608845296</v>
      </c>
      <c r="M413" s="34">
        <v>5000</v>
      </c>
      <c r="N413" s="34">
        <v>379.47279943081048</v>
      </c>
      <c r="O413" s="34">
        <v>5000</v>
      </c>
      <c r="P413" s="34">
        <v>276.84686737253833</v>
      </c>
      <c r="Q413" s="34">
        <v>5000</v>
      </c>
    </row>
    <row r="414" spans="6:17">
      <c r="F414" s="32">
        <v>385</v>
      </c>
      <c r="G414" s="33">
        <v>5.1093873077089312E-2</v>
      </c>
      <c r="H414" s="34">
        <v>1076.9004778749877</v>
      </c>
      <c r="I414" s="34">
        <v>21076.900477874988</v>
      </c>
      <c r="J414" s="34">
        <v>117.88570485410492</v>
      </c>
      <c r="K414" s="34">
        <v>5000</v>
      </c>
      <c r="L414" s="34">
        <v>288.29030194671759</v>
      </c>
      <c r="M414" s="34">
        <v>5000</v>
      </c>
      <c r="N414" s="34">
        <v>391.06521715977942</v>
      </c>
      <c r="O414" s="34">
        <v>5000</v>
      </c>
      <c r="P414" s="34">
        <v>279.65925391438486</v>
      </c>
      <c r="Q414" s="34">
        <v>5000</v>
      </c>
    </row>
    <row r="415" spans="6:17">
      <c r="F415" s="32">
        <v>386</v>
      </c>
      <c r="G415" s="33">
        <v>4.423859436918845E-2</v>
      </c>
      <c r="H415" s="34">
        <v>925.72464442609635</v>
      </c>
      <c r="I415" s="34">
        <v>20925.724644426096</v>
      </c>
      <c r="J415" s="34">
        <v>113.34765098936987</v>
      </c>
      <c r="K415" s="34">
        <v>5000</v>
      </c>
      <c r="L415" s="34">
        <v>240.90865499611755</v>
      </c>
      <c r="M415" s="34">
        <v>5000</v>
      </c>
      <c r="N415" s="34">
        <v>286.56717966389533</v>
      </c>
      <c r="O415" s="34">
        <v>5000</v>
      </c>
      <c r="P415" s="34">
        <v>284.90115877671178</v>
      </c>
      <c r="Q415" s="34">
        <v>5000</v>
      </c>
    </row>
    <row r="416" spans="6:17">
      <c r="F416" s="32">
        <v>387</v>
      </c>
      <c r="G416" s="33">
        <v>4.7343120201533778E-2</v>
      </c>
      <c r="H416" s="34">
        <v>993.91756267060555</v>
      </c>
      <c r="I416" s="34">
        <v>20993.917562670606</v>
      </c>
      <c r="J416" s="34">
        <v>105.4624728216013</v>
      </c>
      <c r="K416" s="34">
        <v>5000</v>
      </c>
      <c r="L416" s="34">
        <v>264.90689182754068</v>
      </c>
      <c r="M416" s="34">
        <v>5000</v>
      </c>
      <c r="N416" s="34">
        <v>343.29315248577041</v>
      </c>
      <c r="O416" s="34">
        <v>5000</v>
      </c>
      <c r="P416" s="34">
        <v>280.25504553569317</v>
      </c>
      <c r="Q416" s="34">
        <v>5000</v>
      </c>
    </row>
    <row r="417" spans="6:17">
      <c r="F417" s="32">
        <v>388</v>
      </c>
      <c r="G417" s="33">
        <v>5.4824591913410242E-2</v>
      </c>
      <c r="H417" s="34">
        <v>1160.0934904643145</v>
      </c>
      <c r="I417" s="34">
        <v>21160.093490464315</v>
      </c>
      <c r="J417" s="34">
        <v>117.20207663774181</v>
      </c>
      <c r="K417" s="34">
        <v>5000</v>
      </c>
      <c r="L417" s="34">
        <v>195.2937994212698</v>
      </c>
      <c r="M417" s="34">
        <v>5000</v>
      </c>
      <c r="N417" s="34">
        <v>567.96707135041197</v>
      </c>
      <c r="O417" s="34">
        <v>5000</v>
      </c>
      <c r="P417" s="34">
        <v>279.63054305488913</v>
      </c>
      <c r="Q417" s="34">
        <v>5000</v>
      </c>
    </row>
    <row r="418" spans="6:17">
      <c r="F418" s="32">
        <v>389</v>
      </c>
      <c r="G418" s="33">
        <v>4.3959027912355113E-2</v>
      </c>
      <c r="H418" s="34">
        <v>919.60552310565981</v>
      </c>
      <c r="I418" s="34">
        <v>20919.60552310566</v>
      </c>
      <c r="J418" s="34">
        <v>124.99417113560139</v>
      </c>
      <c r="K418" s="34">
        <v>5000</v>
      </c>
      <c r="L418" s="34">
        <v>183.46621633878658</v>
      </c>
      <c r="M418" s="34">
        <v>5000</v>
      </c>
      <c r="N418" s="34">
        <v>351.13167985269592</v>
      </c>
      <c r="O418" s="34">
        <v>5000</v>
      </c>
      <c r="P418" s="34">
        <v>260.0134557785741</v>
      </c>
      <c r="Q418" s="34">
        <v>5000</v>
      </c>
    </row>
    <row r="419" spans="6:17">
      <c r="F419" s="32">
        <v>390</v>
      </c>
      <c r="G419" s="33">
        <v>5.2728618088140389E-2</v>
      </c>
      <c r="H419" s="34">
        <v>1113.2737480513606</v>
      </c>
      <c r="I419" s="34">
        <v>21113.273748051361</v>
      </c>
      <c r="J419" s="34">
        <v>116.531546095046</v>
      </c>
      <c r="K419" s="34">
        <v>5000</v>
      </c>
      <c r="L419" s="34">
        <v>240.87719370935883</v>
      </c>
      <c r="M419" s="34">
        <v>5000</v>
      </c>
      <c r="N419" s="34">
        <v>468.46865955885733</v>
      </c>
      <c r="O419" s="34">
        <v>5000</v>
      </c>
      <c r="P419" s="34">
        <v>287.39634868809844</v>
      </c>
      <c r="Q419" s="34">
        <v>5000</v>
      </c>
    </row>
    <row r="420" spans="6:17">
      <c r="F420" s="32">
        <v>391</v>
      </c>
      <c r="G420" s="33">
        <v>4.958461315413467E-2</v>
      </c>
      <c r="H420" s="34">
        <v>1043.4303535150175</v>
      </c>
      <c r="I420" s="34">
        <v>21043.430353515017</v>
      </c>
      <c r="J420" s="34">
        <v>127.97925497291544</v>
      </c>
      <c r="K420" s="34">
        <v>5000</v>
      </c>
      <c r="L420" s="34">
        <v>245.01177775319138</v>
      </c>
      <c r="M420" s="34">
        <v>5000</v>
      </c>
      <c r="N420" s="34">
        <v>404.8436625713457</v>
      </c>
      <c r="O420" s="34">
        <v>5000</v>
      </c>
      <c r="P420" s="34">
        <v>265.59565821756587</v>
      </c>
      <c r="Q420" s="34">
        <v>5000</v>
      </c>
    </row>
    <row r="421" spans="6:17">
      <c r="F421" s="32">
        <v>392</v>
      </c>
      <c r="G421" s="33">
        <v>4.4216347031637689E-2</v>
      </c>
      <c r="H421" s="34">
        <v>925.23756593483631</v>
      </c>
      <c r="I421" s="34">
        <v>20925.237565934836</v>
      </c>
      <c r="J421" s="34">
        <v>105.02979529755885</v>
      </c>
      <c r="K421" s="34">
        <v>5000</v>
      </c>
      <c r="L421" s="34">
        <v>286.3445970609655</v>
      </c>
      <c r="M421" s="34">
        <v>5000</v>
      </c>
      <c r="N421" s="34">
        <v>259.0270689166482</v>
      </c>
      <c r="O421" s="34">
        <v>5000</v>
      </c>
      <c r="P421" s="34">
        <v>274.83610465966285</v>
      </c>
      <c r="Q421" s="34">
        <v>5000</v>
      </c>
    </row>
    <row r="422" spans="6:17">
      <c r="F422" s="32">
        <v>393</v>
      </c>
      <c r="G422" s="33">
        <v>5.4031773411027835E-2</v>
      </c>
      <c r="H422" s="34">
        <v>1142.3591594795689</v>
      </c>
      <c r="I422" s="34">
        <v>21142.359159479569</v>
      </c>
      <c r="J422" s="34">
        <v>120.87187441648621</v>
      </c>
      <c r="K422" s="34">
        <v>5000</v>
      </c>
      <c r="L422" s="34">
        <v>221.91514444973654</v>
      </c>
      <c r="M422" s="34">
        <v>5000</v>
      </c>
      <c r="N422" s="34">
        <v>528.02636809539672</v>
      </c>
      <c r="O422" s="34">
        <v>5000</v>
      </c>
      <c r="P422" s="34">
        <v>271.54577251794672</v>
      </c>
      <c r="Q422" s="34">
        <v>5000</v>
      </c>
    </row>
    <row r="423" spans="6:17">
      <c r="F423" s="32">
        <v>394</v>
      </c>
      <c r="G423" s="33">
        <v>4.559313708230614E-2</v>
      </c>
      <c r="H423" s="34">
        <v>955.42349607429423</v>
      </c>
      <c r="I423" s="34">
        <v>20955.423496074294</v>
      </c>
      <c r="J423" s="34">
        <v>126.72983126662257</v>
      </c>
      <c r="K423" s="34">
        <v>5000</v>
      </c>
      <c r="L423" s="34">
        <v>268.38610482101376</v>
      </c>
      <c r="M423" s="34">
        <v>5000</v>
      </c>
      <c r="N423" s="34">
        <v>272.68153083299694</v>
      </c>
      <c r="O423" s="34">
        <v>5000</v>
      </c>
      <c r="P423" s="34">
        <v>287.62602915366006</v>
      </c>
      <c r="Q423" s="34">
        <v>5000</v>
      </c>
    </row>
    <row r="424" spans="6:17">
      <c r="F424" s="32">
        <v>395</v>
      </c>
      <c r="G424" s="33">
        <v>4.6461763289683621E-2</v>
      </c>
      <c r="H424" s="34">
        <v>974.51285120931425</v>
      </c>
      <c r="I424" s="34">
        <v>20974.512851209314</v>
      </c>
      <c r="J424" s="34">
        <v>123.3792298751614</v>
      </c>
      <c r="K424" s="34">
        <v>5000</v>
      </c>
      <c r="L424" s="34">
        <v>211.54969710846126</v>
      </c>
      <c r="M424" s="34">
        <v>5000</v>
      </c>
      <c r="N424" s="34">
        <v>354.46632268839403</v>
      </c>
      <c r="O424" s="34">
        <v>5000</v>
      </c>
      <c r="P424" s="34">
        <v>285.11760153729938</v>
      </c>
      <c r="Q424" s="34">
        <v>5000</v>
      </c>
    </row>
    <row r="425" spans="6:17">
      <c r="F425" s="32">
        <v>396</v>
      </c>
      <c r="G425" s="33">
        <v>5.094832343389917E-2</v>
      </c>
      <c r="H425" s="34">
        <v>1073.6680560587083</v>
      </c>
      <c r="I425" s="34">
        <v>21073.668056058708</v>
      </c>
      <c r="J425" s="34">
        <v>123.41247495538573</v>
      </c>
      <c r="K425" s="34">
        <v>5000</v>
      </c>
      <c r="L425" s="34">
        <v>213.16151004059884</v>
      </c>
      <c r="M425" s="34">
        <v>5000</v>
      </c>
      <c r="N425" s="34">
        <v>464.56774125105858</v>
      </c>
      <c r="O425" s="34">
        <v>5000</v>
      </c>
      <c r="P425" s="34">
        <v>272.52632981166607</v>
      </c>
      <c r="Q425" s="34">
        <v>5000</v>
      </c>
    </row>
    <row r="426" spans="6:17">
      <c r="F426" s="32">
        <v>397</v>
      </c>
      <c r="G426" s="33">
        <v>5.7261236696463741E-2</v>
      </c>
      <c r="H426" s="34">
        <v>1214.7848147414552</v>
      </c>
      <c r="I426" s="34">
        <v>21214.784814741455</v>
      </c>
      <c r="J426" s="34">
        <v>108.11090124933799</v>
      </c>
      <c r="K426" s="34">
        <v>5000</v>
      </c>
      <c r="L426" s="34">
        <v>311.81330872705257</v>
      </c>
      <c r="M426" s="34">
        <v>5000</v>
      </c>
      <c r="N426" s="34">
        <v>499.26176651704827</v>
      </c>
      <c r="O426" s="34">
        <v>5000</v>
      </c>
      <c r="P426" s="34">
        <v>295.59883824801727</v>
      </c>
      <c r="Q426" s="34">
        <v>5000</v>
      </c>
    </row>
    <row r="427" spans="6:17">
      <c r="F427" s="32">
        <v>398</v>
      </c>
      <c r="G427" s="33">
        <v>5.031546215392288E-2</v>
      </c>
      <c r="H427" s="34">
        <v>1059.624752194879</v>
      </c>
      <c r="I427" s="34">
        <v>21059.624752194879</v>
      </c>
      <c r="J427" s="34">
        <v>102.77586785393851</v>
      </c>
      <c r="K427" s="34">
        <v>5000</v>
      </c>
      <c r="L427" s="34">
        <v>246.67022920967156</v>
      </c>
      <c r="M427" s="34">
        <v>5000</v>
      </c>
      <c r="N427" s="34">
        <v>456.29831022408598</v>
      </c>
      <c r="O427" s="34">
        <v>5000</v>
      </c>
      <c r="P427" s="34">
        <v>253.88034490718201</v>
      </c>
      <c r="Q427" s="34">
        <v>5000</v>
      </c>
    </row>
    <row r="428" spans="6:17">
      <c r="F428" s="32">
        <v>399</v>
      </c>
      <c r="G428" s="33">
        <v>4.9589062494677157E-2</v>
      </c>
      <c r="H428" s="34">
        <v>1043.5288681512975</v>
      </c>
      <c r="I428" s="34">
        <v>21043.528868151298</v>
      </c>
      <c r="J428" s="34">
        <v>123.61475102948589</v>
      </c>
      <c r="K428" s="34">
        <v>5000</v>
      </c>
      <c r="L428" s="34">
        <v>252.16726931603262</v>
      </c>
      <c r="M428" s="34">
        <v>5000</v>
      </c>
      <c r="N428" s="34">
        <v>382.30575408652385</v>
      </c>
      <c r="O428" s="34">
        <v>5000</v>
      </c>
      <c r="P428" s="34">
        <v>285.44109371925424</v>
      </c>
      <c r="Q428" s="34">
        <v>5000</v>
      </c>
    </row>
    <row r="429" spans="6:17">
      <c r="F429" s="32">
        <v>400</v>
      </c>
      <c r="G429" s="33">
        <v>5.3506572680987366E-2</v>
      </c>
      <c r="H429" s="34">
        <v>1130.6274536432284</v>
      </c>
      <c r="I429" s="34">
        <v>21130.627453643228</v>
      </c>
      <c r="J429" s="34">
        <v>116.64409131451066</v>
      </c>
      <c r="K429" s="34">
        <v>5000</v>
      </c>
      <c r="L429" s="34">
        <v>247.95118982195345</v>
      </c>
      <c r="M429" s="34">
        <v>5000</v>
      </c>
      <c r="N429" s="34">
        <v>486.8519180975436</v>
      </c>
      <c r="O429" s="34">
        <v>5000</v>
      </c>
      <c r="P429" s="34">
        <v>279.18025440922065</v>
      </c>
      <c r="Q429" s="34">
        <v>5000</v>
      </c>
    </row>
    <row r="430" spans="6:17">
      <c r="F430" s="32">
        <v>401</v>
      </c>
      <c r="G430" s="33">
        <v>4.6307243986934289E-2</v>
      </c>
      <c r="H430" s="34">
        <v>971.11451659804516</v>
      </c>
      <c r="I430" s="34">
        <v>20971.114516598045</v>
      </c>
      <c r="J430" s="34">
        <v>110.36491141472106</v>
      </c>
      <c r="K430" s="34">
        <v>5000</v>
      </c>
      <c r="L430" s="34">
        <v>231.12549521940946</v>
      </c>
      <c r="M430" s="34">
        <v>5000</v>
      </c>
      <c r="N430" s="34">
        <v>349.98389307978141</v>
      </c>
      <c r="O430" s="34">
        <v>5000</v>
      </c>
      <c r="P430" s="34">
        <v>279.64021688413413</v>
      </c>
      <c r="Q430" s="34">
        <v>5000</v>
      </c>
    </row>
    <row r="431" spans="6:17">
      <c r="F431" s="32">
        <v>402</v>
      </c>
      <c r="G431" s="33">
        <v>5.4509756817798564E-2</v>
      </c>
      <c r="H431" s="34">
        <v>1153.0474737494296</v>
      </c>
      <c r="I431" s="34">
        <v>21153.04747374943</v>
      </c>
      <c r="J431" s="34">
        <v>120.32728216488704</v>
      </c>
      <c r="K431" s="34">
        <v>5000</v>
      </c>
      <c r="L431" s="34">
        <v>280.15846950022751</v>
      </c>
      <c r="M431" s="34">
        <v>5000</v>
      </c>
      <c r="N431" s="34">
        <v>459.82380482736153</v>
      </c>
      <c r="O431" s="34">
        <v>5000</v>
      </c>
      <c r="P431" s="34">
        <v>292.73791725695355</v>
      </c>
      <c r="Q431" s="34">
        <v>5000</v>
      </c>
    </row>
    <row r="432" spans="6:17">
      <c r="F432" s="32">
        <v>403</v>
      </c>
      <c r="G432" s="33">
        <v>5.1318479243500498E-2</v>
      </c>
      <c r="H432" s="34">
        <v>1081.8905632857277</v>
      </c>
      <c r="I432" s="34">
        <v>21081.890563285728</v>
      </c>
      <c r="J432" s="34">
        <v>113.10134134491545</v>
      </c>
      <c r="K432" s="34">
        <v>5000</v>
      </c>
      <c r="L432" s="34">
        <v>274.38373102053811</v>
      </c>
      <c r="M432" s="34">
        <v>5000</v>
      </c>
      <c r="N432" s="34">
        <v>400.62254923843284</v>
      </c>
      <c r="O432" s="34">
        <v>5000</v>
      </c>
      <c r="P432" s="34">
        <v>293.7829416818422</v>
      </c>
      <c r="Q432" s="34">
        <v>5000</v>
      </c>
    </row>
    <row r="433" spans="6:17">
      <c r="F433" s="32">
        <v>404</v>
      </c>
      <c r="G433" s="33">
        <v>5.9223650198198197E-2</v>
      </c>
      <c r="H433" s="34">
        <v>1259.0378193642973</v>
      </c>
      <c r="I433" s="34">
        <v>21259.037819364297</v>
      </c>
      <c r="J433" s="34">
        <v>117.3920522160879</v>
      </c>
      <c r="K433" s="34">
        <v>5000</v>
      </c>
      <c r="L433" s="34">
        <v>264.67683795896755</v>
      </c>
      <c r="M433" s="34">
        <v>5000</v>
      </c>
      <c r="N433" s="34">
        <v>614.13472441939302</v>
      </c>
      <c r="O433" s="34">
        <v>5000</v>
      </c>
      <c r="P433" s="34">
        <v>262.83420476984975</v>
      </c>
      <c r="Q433" s="34">
        <v>5000</v>
      </c>
    </row>
    <row r="434" spans="6:17">
      <c r="F434" s="32">
        <v>405</v>
      </c>
      <c r="G434" s="33">
        <v>5.1345776193015578E-2</v>
      </c>
      <c r="H434" s="34">
        <v>1082.4971818912709</v>
      </c>
      <c r="I434" s="34">
        <v>21082.497181891271</v>
      </c>
      <c r="J434" s="34">
        <v>99.191007305332278</v>
      </c>
      <c r="K434" s="34">
        <v>5000</v>
      </c>
      <c r="L434" s="34">
        <v>256.64333320558762</v>
      </c>
      <c r="M434" s="34">
        <v>5000</v>
      </c>
      <c r="N434" s="34">
        <v>451.1106353024943</v>
      </c>
      <c r="O434" s="34">
        <v>5000</v>
      </c>
      <c r="P434" s="34">
        <v>275.55220607785759</v>
      </c>
      <c r="Q434" s="34">
        <v>5000</v>
      </c>
    </row>
    <row r="435" spans="6:17">
      <c r="F435" s="32">
        <v>406</v>
      </c>
      <c r="G435" s="33">
        <v>5.4729146839428852E-2</v>
      </c>
      <c r="H435" s="34">
        <v>1157.9569317394817</v>
      </c>
      <c r="I435" s="34">
        <v>21157.956931739482</v>
      </c>
      <c r="J435" s="34">
        <v>120.45674238008087</v>
      </c>
      <c r="K435" s="34">
        <v>5000</v>
      </c>
      <c r="L435" s="34">
        <v>273.41470676305744</v>
      </c>
      <c r="M435" s="34">
        <v>5000</v>
      </c>
      <c r="N435" s="34">
        <v>469.24751882514556</v>
      </c>
      <c r="O435" s="34">
        <v>5000</v>
      </c>
      <c r="P435" s="34">
        <v>294.83796377119779</v>
      </c>
      <c r="Q435" s="34">
        <v>5000</v>
      </c>
    </row>
    <row r="436" spans="6:17">
      <c r="F436" s="32">
        <v>407</v>
      </c>
      <c r="G436" s="33">
        <v>5.5673413464855458E-2</v>
      </c>
      <c r="H436" s="34">
        <v>1179.1135452222807</v>
      </c>
      <c r="I436" s="34">
        <v>21179.113545222281</v>
      </c>
      <c r="J436" s="34">
        <v>119.37311647625211</v>
      </c>
      <c r="K436" s="34">
        <v>5000</v>
      </c>
      <c r="L436" s="34">
        <v>286.30061800682142</v>
      </c>
      <c r="M436" s="34">
        <v>5000</v>
      </c>
      <c r="N436" s="34">
        <v>476.03462853268866</v>
      </c>
      <c r="O436" s="34">
        <v>5000</v>
      </c>
      <c r="P436" s="34">
        <v>297.40518220651938</v>
      </c>
      <c r="Q436" s="34">
        <v>5000</v>
      </c>
    </row>
    <row r="437" spans="6:17">
      <c r="F437" s="32">
        <v>408</v>
      </c>
      <c r="G437" s="33">
        <v>5.4772651909842408E-2</v>
      </c>
      <c r="H437" s="34">
        <v>1158.9307486820217</v>
      </c>
      <c r="I437" s="34">
        <v>21158.930748682022</v>
      </c>
      <c r="J437" s="34">
        <v>119.52238386205045</v>
      </c>
      <c r="K437" s="34">
        <v>5000</v>
      </c>
      <c r="L437" s="34">
        <v>241.26461634676889</v>
      </c>
      <c r="M437" s="34">
        <v>5000</v>
      </c>
      <c r="N437" s="34">
        <v>499.84286654211428</v>
      </c>
      <c r="O437" s="34">
        <v>5000</v>
      </c>
      <c r="P437" s="34">
        <v>298.30088193108622</v>
      </c>
      <c r="Q437" s="34">
        <v>5000</v>
      </c>
    </row>
    <row r="438" spans="6:17">
      <c r="F438" s="32">
        <v>409</v>
      </c>
      <c r="G438" s="33">
        <v>4.886993214478335E-2</v>
      </c>
      <c r="H438" s="34">
        <v>1027.6182784334487</v>
      </c>
      <c r="I438" s="34">
        <v>21027.618278433449</v>
      </c>
      <c r="J438" s="34">
        <v>119.29110630320884</v>
      </c>
      <c r="K438" s="34">
        <v>5000</v>
      </c>
      <c r="L438" s="34">
        <v>181.35695438924631</v>
      </c>
      <c r="M438" s="34">
        <v>5000</v>
      </c>
      <c r="N438" s="34">
        <v>456.86400374129153</v>
      </c>
      <c r="O438" s="34">
        <v>5000</v>
      </c>
      <c r="P438" s="34">
        <v>270.10621399970023</v>
      </c>
      <c r="Q438" s="34">
        <v>5000</v>
      </c>
    </row>
    <row r="439" spans="6:17">
      <c r="F439" s="32">
        <v>410</v>
      </c>
      <c r="G439" s="33">
        <v>4.8857180011843353E-2</v>
      </c>
      <c r="H439" s="34">
        <v>1027.3363575924741</v>
      </c>
      <c r="I439" s="34">
        <v>21027.336357592474</v>
      </c>
      <c r="J439" s="34">
        <v>108.43308489187802</v>
      </c>
      <c r="K439" s="34">
        <v>5000</v>
      </c>
      <c r="L439" s="34">
        <v>271.99794875657426</v>
      </c>
      <c r="M439" s="34">
        <v>5000</v>
      </c>
      <c r="N439" s="34">
        <v>359.86816082623591</v>
      </c>
      <c r="O439" s="34">
        <v>5000</v>
      </c>
      <c r="P439" s="34">
        <v>287.03716311778498</v>
      </c>
      <c r="Q439" s="34">
        <v>5000</v>
      </c>
    </row>
    <row r="440" spans="6:17">
      <c r="F440" s="32">
        <v>411</v>
      </c>
      <c r="G440" s="33">
        <v>5.2725405497510092E-2</v>
      </c>
      <c r="H440" s="34">
        <v>1113.2021444151906</v>
      </c>
      <c r="I440" s="34">
        <v>21113.202144415191</v>
      </c>
      <c r="J440" s="34">
        <v>98.779816110958564</v>
      </c>
      <c r="K440" s="34">
        <v>5000</v>
      </c>
      <c r="L440" s="34">
        <v>323.87517170218689</v>
      </c>
      <c r="M440" s="34">
        <v>5000</v>
      </c>
      <c r="N440" s="34">
        <v>417.7608008463103</v>
      </c>
      <c r="O440" s="34">
        <v>5000</v>
      </c>
      <c r="P440" s="34">
        <v>272.78635575573662</v>
      </c>
      <c r="Q440" s="34">
        <v>5000</v>
      </c>
    </row>
    <row r="441" spans="6:17">
      <c r="F441" s="32">
        <v>412</v>
      </c>
      <c r="G441" s="33">
        <v>4.4472387211429362E-2</v>
      </c>
      <c r="H441" s="34">
        <v>930.8446269102169</v>
      </c>
      <c r="I441" s="34">
        <v>20930.844626910217</v>
      </c>
      <c r="J441" s="34">
        <v>113.25464970279791</v>
      </c>
      <c r="K441" s="34">
        <v>5000</v>
      </c>
      <c r="L441" s="34">
        <v>301.76430694966893</v>
      </c>
      <c r="M441" s="34">
        <v>5000</v>
      </c>
      <c r="N441" s="34">
        <v>236.95848450426274</v>
      </c>
      <c r="O441" s="34">
        <v>5000</v>
      </c>
      <c r="P441" s="34">
        <v>278.86718575348641</v>
      </c>
      <c r="Q441" s="34">
        <v>5000</v>
      </c>
    </row>
    <row r="442" spans="6:17">
      <c r="F442" s="32">
        <v>413</v>
      </c>
      <c r="G442" s="33">
        <v>5.2124949604269243E-2</v>
      </c>
      <c r="H442" s="34">
        <v>1099.8274420770431</v>
      </c>
      <c r="I442" s="34">
        <v>21099.827442077043</v>
      </c>
      <c r="J442" s="34">
        <v>112.42678012573651</v>
      </c>
      <c r="K442" s="34">
        <v>5000</v>
      </c>
      <c r="L442" s="34">
        <v>266.20340167997347</v>
      </c>
      <c r="M442" s="34">
        <v>5000</v>
      </c>
      <c r="N442" s="34">
        <v>436.63115949165967</v>
      </c>
      <c r="O442" s="34">
        <v>5000</v>
      </c>
      <c r="P442" s="34">
        <v>284.56610077967434</v>
      </c>
      <c r="Q442" s="34">
        <v>5000</v>
      </c>
    </row>
    <row r="443" spans="6:17">
      <c r="F443" s="32">
        <v>414</v>
      </c>
      <c r="G443" s="33">
        <v>4.7274912233399198E-2</v>
      </c>
      <c r="H443" s="34">
        <v>992.41455568724632</v>
      </c>
      <c r="I443" s="34">
        <v>20992.414555687246</v>
      </c>
      <c r="J443" s="34">
        <v>105.5520361158533</v>
      </c>
      <c r="K443" s="34">
        <v>5000</v>
      </c>
      <c r="L443" s="34">
        <v>232.6126558533424</v>
      </c>
      <c r="M443" s="34">
        <v>5000</v>
      </c>
      <c r="N443" s="34">
        <v>366.66421081334374</v>
      </c>
      <c r="O443" s="34">
        <v>5000</v>
      </c>
      <c r="P443" s="34">
        <v>287.58565290470779</v>
      </c>
      <c r="Q443" s="34">
        <v>5000</v>
      </c>
    </row>
    <row r="444" spans="6:17">
      <c r="F444" s="32">
        <v>415</v>
      </c>
      <c r="G444" s="33">
        <v>5.1263072664519502E-2</v>
      </c>
      <c r="H444" s="34">
        <v>1080.659373267812</v>
      </c>
      <c r="I444" s="34">
        <v>21080.659373267812</v>
      </c>
      <c r="J444" s="34">
        <v>128.29061681892563</v>
      </c>
      <c r="K444" s="34">
        <v>5000</v>
      </c>
      <c r="L444" s="34">
        <v>213.32790258799378</v>
      </c>
      <c r="M444" s="34">
        <v>5000</v>
      </c>
      <c r="N444" s="34">
        <v>460.42447659647587</v>
      </c>
      <c r="O444" s="34">
        <v>5000</v>
      </c>
      <c r="P444" s="34">
        <v>278.61637726441859</v>
      </c>
      <c r="Q444" s="34">
        <v>5000</v>
      </c>
    </row>
    <row r="445" spans="6:17">
      <c r="F445" s="32">
        <v>416</v>
      </c>
      <c r="G445" s="33">
        <v>4.7204598280747155E-2</v>
      </c>
      <c r="H445" s="34">
        <v>990.86536722510937</v>
      </c>
      <c r="I445" s="34">
        <v>20990.865367225109</v>
      </c>
      <c r="J445" s="34">
        <v>110.50649429060104</v>
      </c>
      <c r="K445" s="34">
        <v>5000</v>
      </c>
      <c r="L445" s="34">
        <v>237.35712597528709</v>
      </c>
      <c r="M445" s="34">
        <v>5000</v>
      </c>
      <c r="N445" s="34">
        <v>374.29776127463356</v>
      </c>
      <c r="O445" s="34">
        <v>5000</v>
      </c>
      <c r="P445" s="34">
        <v>268.70398568458586</v>
      </c>
      <c r="Q445" s="34">
        <v>5000</v>
      </c>
    </row>
    <row r="446" spans="6:17">
      <c r="F446" s="32">
        <v>417</v>
      </c>
      <c r="G446" s="33">
        <v>4.8094603649773103E-2</v>
      </c>
      <c r="H446" s="34">
        <v>1010.4912491131217</v>
      </c>
      <c r="I446" s="34">
        <v>21010.491249113122</v>
      </c>
      <c r="J446" s="34">
        <v>118.84123216940588</v>
      </c>
      <c r="K446" s="34">
        <v>5000</v>
      </c>
      <c r="L446" s="34">
        <v>254.45680354698561</v>
      </c>
      <c r="M446" s="34">
        <v>5000</v>
      </c>
      <c r="N446" s="34">
        <v>371.34925299861243</v>
      </c>
      <c r="O446" s="34">
        <v>5000</v>
      </c>
      <c r="P446" s="34">
        <v>265.84396039811872</v>
      </c>
      <c r="Q446" s="34">
        <v>5000</v>
      </c>
    </row>
    <row r="447" spans="6:17">
      <c r="F447" s="32">
        <v>418</v>
      </c>
      <c r="G447" s="33">
        <v>4.8562620206881367E-2</v>
      </c>
      <c r="H447" s="34">
        <v>1020.8264093521502</v>
      </c>
      <c r="I447" s="34">
        <v>21020.82640935215</v>
      </c>
      <c r="J447" s="34">
        <v>114.2668173289876</v>
      </c>
      <c r="K447" s="34">
        <v>5000</v>
      </c>
      <c r="L447" s="34">
        <v>282.65723747630818</v>
      </c>
      <c r="M447" s="34">
        <v>5000</v>
      </c>
      <c r="N447" s="34">
        <v>329.08692161162071</v>
      </c>
      <c r="O447" s="34">
        <v>5000</v>
      </c>
      <c r="P447" s="34">
        <v>294.81543293523555</v>
      </c>
      <c r="Q447" s="34">
        <v>5000</v>
      </c>
    </row>
    <row r="448" spans="6:17">
      <c r="F448" s="32">
        <v>419</v>
      </c>
      <c r="G448" s="33">
        <v>5.1687496067812602E-2</v>
      </c>
      <c r="H448" s="34">
        <v>1090.0941589083741</v>
      </c>
      <c r="I448" s="34">
        <v>21090.094158908374</v>
      </c>
      <c r="J448" s="34">
        <v>115.03798315787299</v>
      </c>
      <c r="K448" s="34">
        <v>5000</v>
      </c>
      <c r="L448" s="34">
        <v>308.05061602211481</v>
      </c>
      <c r="M448" s="34">
        <v>5000</v>
      </c>
      <c r="N448" s="34">
        <v>393.2866731431759</v>
      </c>
      <c r="O448" s="34">
        <v>5000</v>
      </c>
      <c r="P448" s="34">
        <v>273.71888658520948</v>
      </c>
      <c r="Q448" s="34">
        <v>5000</v>
      </c>
    </row>
    <row r="449" spans="6:17">
      <c r="F449" s="32">
        <v>420</v>
      </c>
      <c r="G449" s="33">
        <v>4.6723266459611043E-2</v>
      </c>
      <c r="H449" s="34">
        <v>980.26658609582955</v>
      </c>
      <c r="I449" s="34">
        <v>20980.26658609583</v>
      </c>
      <c r="J449" s="34">
        <v>104.38614503305416</v>
      </c>
      <c r="K449" s="34">
        <v>5000</v>
      </c>
      <c r="L449" s="34">
        <v>262.25672809773459</v>
      </c>
      <c r="M449" s="34">
        <v>5000</v>
      </c>
      <c r="N449" s="34">
        <v>339.03810938322385</v>
      </c>
      <c r="O449" s="34">
        <v>5000</v>
      </c>
      <c r="P449" s="34">
        <v>274.58560358181603</v>
      </c>
      <c r="Q449" s="34">
        <v>5000</v>
      </c>
    </row>
    <row r="450" spans="6:17">
      <c r="F450" s="32">
        <v>421</v>
      </c>
      <c r="G450" s="33">
        <v>5.2794581282823147E-2</v>
      </c>
      <c r="H450" s="34">
        <v>1114.744072184978</v>
      </c>
      <c r="I450" s="34">
        <v>21114.744072184978</v>
      </c>
      <c r="J450" s="34">
        <v>114.49653316508648</v>
      </c>
      <c r="K450" s="34">
        <v>5000</v>
      </c>
      <c r="L450" s="34">
        <v>246.1001858847103</v>
      </c>
      <c r="M450" s="34">
        <v>5000</v>
      </c>
      <c r="N450" s="34">
        <v>486.93184945146913</v>
      </c>
      <c r="O450" s="34">
        <v>5000</v>
      </c>
      <c r="P450" s="34">
        <v>267.21550368371118</v>
      </c>
      <c r="Q450" s="34">
        <v>5000</v>
      </c>
    </row>
    <row r="451" spans="6:17">
      <c r="F451" s="32">
        <v>422</v>
      </c>
      <c r="G451" s="33">
        <v>4.7043815286309611E-2</v>
      </c>
      <c r="H451" s="34">
        <v>987.32378342124139</v>
      </c>
      <c r="I451" s="34">
        <v>20987.323783421241</v>
      </c>
      <c r="J451" s="34">
        <v>112.41663868367868</v>
      </c>
      <c r="K451" s="34">
        <v>5000</v>
      </c>
      <c r="L451" s="34">
        <v>319.93817012399904</v>
      </c>
      <c r="M451" s="34">
        <v>5000</v>
      </c>
      <c r="N451" s="34">
        <v>281.9478345509342</v>
      </c>
      <c r="O451" s="34">
        <v>5000</v>
      </c>
      <c r="P451" s="34">
        <v>273.02114006262673</v>
      </c>
      <c r="Q451" s="34">
        <v>5000</v>
      </c>
    </row>
    <row r="452" spans="6:17">
      <c r="F452" s="32">
        <v>423</v>
      </c>
      <c r="G452" s="33">
        <v>5.8168762653715414E-2</v>
      </c>
      <c r="H452" s="34">
        <v>1235.2268718037521</v>
      </c>
      <c r="I452" s="34">
        <v>21235.226871803752</v>
      </c>
      <c r="J452" s="34">
        <v>109.15857651131682</v>
      </c>
      <c r="K452" s="34">
        <v>5000</v>
      </c>
      <c r="L452" s="34">
        <v>294.62500939991151</v>
      </c>
      <c r="M452" s="34">
        <v>5000</v>
      </c>
      <c r="N452" s="34">
        <v>554.17639672467794</v>
      </c>
      <c r="O452" s="34">
        <v>5000</v>
      </c>
      <c r="P452" s="34">
        <v>277.26688916784951</v>
      </c>
      <c r="Q452" s="34">
        <v>5000</v>
      </c>
    </row>
    <row r="453" spans="6:17">
      <c r="F453" s="32">
        <v>424</v>
      </c>
      <c r="G453" s="33">
        <v>5.2908988598156098E-2</v>
      </c>
      <c r="H453" s="34">
        <v>1117.2947047579401</v>
      </c>
      <c r="I453" s="34">
        <v>21117.29470475794</v>
      </c>
      <c r="J453" s="34">
        <v>111.7585454700129</v>
      </c>
      <c r="K453" s="34">
        <v>5000</v>
      </c>
      <c r="L453" s="34">
        <v>247.83661101382495</v>
      </c>
      <c r="M453" s="34">
        <v>5000</v>
      </c>
      <c r="N453" s="34">
        <v>476.12068734222339</v>
      </c>
      <c r="O453" s="34">
        <v>5000</v>
      </c>
      <c r="P453" s="34">
        <v>281.57886093187881</v>
      </c>
      <c r="Q453" s="34">
        <v>5000</v>
      </c>
    </row>
    <row r="454" spans="6:17">
      <c r="F454" s="32">
        <v>425</v>
      </c>
      <c r="G454" s="33">
        <v>5.5808085096474294E-2</v>
      </c>
      <c r="H454" s="34">
        <v>1182.1343567038821</v>
      </c>
      <c r="I454" s="34">
        <v>21182.134356703882</v>
      </c>
      <c r="J454" s="34">
        <v>111.09632073125067</v>
      </c>
      <c r="K454" s="34">
        <v>5000</v>
      </c>
      <c r="L454" s="34">
        <v>321.08457990756415</v>
      </c>
      <c r="M454" s="34">
        <v>5000</v>
      </c>
      <c r="N454" s="34">
        <v>472.59146702256294</v>
      </c>
      <c r="O454" s="34">
        <v>5000</v>
      </c>
      <c r="P454" s="34">
        <v>277.36198904250614</v>
      </c>
      <c r="Q454" s="34">
        <v>5000</v>
      </c>
    </row>
    <row r="455" spans="6:17">
      <c r="F455" s="32">
        <v>426</v>
      </c>
      <c r="G455" s="33">
        <v>5.7839359199113878E-2</v>
      </c>
      <c r="H455" s="34">
        <v>1227.802493425057</v>
      </c>
      <c r="I455" s="34">
        <v>21227.802493425057</v>
      </c>
      <c r="J455" s="34">
        <v>108.61198892342873</v>
      </c>
      <c r="K455" s="34">
        <v>5000</v>
      </c>
      <c r="L455" s="34">
        <v>166.29477504159604</v>
      </c>
      <c r="M455" s="34">
        <v>5000</v>
      </c>
      <c r="N455" s="34">
        <v>664.82722853141422</v>
      </c>
      <c r="O455" s="34">
        <v>5000</v>
      </c>
      <c r="P455" s="34">
        <v>288.06850092861987</v>
      </c>
      <c r="Q455" s="34">
        <v>5000</v>
      </c>
    </row>
    <row r="456" spans="6:17">
      <c r="F456" s="32">
        <v>427</v>
      </c>
      <c r="G456" s="33">
        <v>5.7581982710702473E-2</v>
      </c>
      <c r="H456" s="34">
        <v>1222.0051326337561</v>
      </c>
      <c r="I456" s="34">
        <v>21222.005132633756</v>
      </c>
      <c r="J456" s="34">
        <v>111.37701870073033</v>
      </c>
      <c r="K456" s="34">
        <v>5000</v>
      </c>
      <c r="L456" s="34">
        <v>243.7881402626881</v>
      </c>
      <c r="M456" s="34">
        <v>5000</v>
      </c>
      <c r="N456" s="34">
        <v>572.7478463517491</v>
      </c>
      <c r="O456" s="34">
        <v>5000</v>
      </c>
      <c r="P456" s="34">
        <v>294.09212731859043</v>
      </c>
      <c r="Q456" s="34">
        <v>5000</v>
      </c>
    </row>
    <row r="457" spans="6:17">
      <c r="F457" s="32">
        <v>428</v>
      </c>
      <c r="G457" s="33">
        <v>5.4193438300836165E-2</v>
      </c>
      <c r="H457" s="34">
        <v>1145.9729821175351</v>
      </c>
      <c r="I457" s="34">
        <v>21145.972982117535</v>
      </c>
      <c r="J457" s="34">
        <v>101.52690902557606</v>
      </c>
      <c r="K457" s="34">
        <v>5000</v>
      </c>
      <c r="L457" s="34">
        <v>289.38193501695332</v>
      </c>
      <c r="M457" s="34">
        <v>5000</v>
      </c>
      <c r="N457" s="34">
        <v>479.3145750865333</v>
      </c>
      <c r="O457" s="34">
        <v>5000</v>
      </c>
      <c r="P457" s="34">
        <v>275.74956298847428</v>
      </c>
      <c r="Q457" s="34">
        <v>5000</v>
      </c>
    </row>
    <row r="458" spans="6:17">
      <c r="F458" s="32">
        <v>429</v>
      </c>
      <c r="G458" s="33">
        <v>5.3983396871337672E-2</v>
      </c>
      <c r="H458" s="34">
        <v>1141.2780006778739</v>
      </c>
      <c r="I458" s="34">
        <v>21141.278000677874</v>
      </c>
      <c r="J458" s="34">
        <v>105.38068915501481</v>
      </c>
      <c r="K458" s="34">
        <v>5000</v>
      </c>
      <c r="L458" s="34">
        <v>300.09434387623605</v>
      </c>
      <c r="M458" s="34">
        <v>5000</v>
      </c>
      <c r="N458" s="34">
        <v>461.06356586067614</v>
      </c>
      <c r="O458" s="34">
        <v>5000</v>
      </c>
      <c r="P458" s="34">
        <v>274.73940178594694</v>
      </c>
      <c r="Q458" s="34">
        <v>5000</v>
      </c>
    </row>
    <row r="459" spans="6:17">
      <c r="F459" s="32">
        <v>430</v>
      </c>
      <c r="G459" s="33">
        <v>5.2211609520850501E-2</v>
      </c>
      <c r="H459" s="34">
        <v>1101.7566799790657</v>
      </c>
      <c r="I459" s="34">
        <v>21101.756679979066</v>
      </c>
      <c r="J459" s="34">
        <v>117.89200015190636</v>
      </c>
      <c r="K459" s="34">
        <v>5000</v>
      </c>
      <c r="L459" s="34">
        <v>305.78305678091237</v>
      </c>
      <c r="M459" s="34">
        <v>5000</v>
      </c>
      <c r="N459" s="34">
        <v>404.33522411605009</v>
      </c>
      <c r="O459" s="34">
        <v>5000</v>
      </c>
      <c r="P459" s="34">
        <v>273.74639893019776</v>
      </c>
      <c r="Q459" s="34">
        <v>5000</v>
      </c>
    </row>
    <row r="460" spans="6:17">
      <c r="F460" s="32">
        <v>431</v>
      </c>
      <c r="G460" s="33">
        <v>4.6999762746318133E-2</v>
      </c>
      <c r="H460" s="34">
        <v>986.35364208848841</v>
      </c>
      <c r="I460" s="34">
        <v>20986.353642088488</v>
      </c>
      <c r="J460" s="34">
        <v>107.94593976372289</v>
      </c>
      <c r="K460" s="34">
        <v>5000</v>
      </c>
      <c r="L460" s="34">
        <v>197.73986659252841</v>
      </c>
      <c r="M460" s="34">
        <v>5000</v>
      </c>
      <c r="N460" s="34">
        <v>388.51243404521028</v>
      </c>
      <c r="O460" s="34">
        <v>5000</v>
      </c>
      <c r="P460" s="34">
        <v>292.15540168702864</v>
      </c>
      <c r="Q460" s="34">
        <v>5000</v>
      </c>
    </row>
    <row r="461" spans="6:17">
      <c r="F461" s="32">
        <v>432</v>
      </c>
      <c r="G461" s="33">
        <v>5.0780075544666223E-2</v>
      </c>
      <c r="H461" s="34">
        <v>1069.93277819793</v>
      </c>
      <c r="I461" s="34">
        <v>21069.93277819793</v>
      </c>
      <c r="J461" s="34">
        <v>114.89892286944541</v>
      </c>
      <c r="K461" s="34">
        <v>5000</v>
      </c>
      <c r="L461" s="34">
        <v>279.43094023204958</v>
      </c>
      <c r="M461" s="34">
        <v>5000</v>
      </c>
      <c r="N461" s="34">
        <v>403.62829263223557</v>
      </c>
      <c r="O461" s="34">
        <v>5000</v>
      </c>
      <c r="P461" s="34">
        <v>271.97462246419855</v>
      </c>
      <c r="Q461" s="34">
        <v>5000</v>
      </c>
    </row>
    <row r="462" spans="6:17">
      <c r="F462" s="32">
        <v>433</v>
      </c>
      <c r="G462" s="33">
        <v>5.8769707325664278E-2</v>
      </c>
      <c r="H462" s="34">
        <v>1248.7848677007787</v>
      </c>
      <c r="I462" s="34">
        <v>21248.784867700779</v>
      </c>
      <c r="J462" s="34">
        <v>117.61104203453397</v>
      </c>
      <c r="K462" s="34">
        <v>5000</v>
      </c>
      <c r="L462" s="34">
        <v>284.55843656091292</v>
      </c>
      <c r="M462" s="34">
        <v>5000</v>
      </c>
      <c r="N462" s="34">
        <v>568.27540577294985</v>
      </c>
      <c r="O462" s="34">
        <v>5000</v>
      </c>
      <c r="P462" s="34">
        <v>278.33998333238014</v>
      </c>
      <c r="Q462" s="34">
        <v>5000</v>
      </c>
    </row>
    <row r="463" spans="6:17">
      <c r="F463" s="32">
        <v>434</v>
      </c>
      <c r="G463" s="33">
        <v>5.1760543010455747E-2</v>
      </c>
      <c r="H463" s="34">
        <v>1091.7188191004898</v>
      </c>
      <c r="I463" s="34">
        <v>21091.71881910049</v>
      </c>
      <c r="J463" s="34">
        <v>115.64807362743886</v>
      </c>
      <c r="K463" s="34">
        <v>5000</v>
      </c>
      <c r="L463" s="34">
        <v>298.22483383285726</v>
      </c>
      <c r="M463" s="34">
        <v>5000</v>
      </c>
      <c r="N463" s="34">
        <v>402.41455236535057</v>
      </c>
      <c r="O463" s="34">
        <v>5000</v>
      </c>
      <c r="P463" s="34">
        <v>275.43135927484491</v>
      </c>
      <c r="Q463" s="34">
        <v>5000</v>
      </c>
    </row>
    <row r="464" spans="6:17">
      <c r="F464" s="32">
        <v>435</v>
      </c>
      <c r="G464" s="33">
        <v>5.6085079192416259E-2</v>
      </c>
      <c r="H464" s="34">
        <v>1188.3503048014463</v>
      </c>
      <c r="I464" s="34">
        <v>21188.350304801446</v>
      </c>
      <c r="J464" s="34">
        <v>118.87244590821956</v>
      </c>
      <c r="K464" s="34">
        <v>5000</v>
      </c>
      <c r="L464" s="34">
        <v>226.97495822277961</v>
      </c>
      <c r="M464" s="34">
        <v>5000</v>
      </c>
      <c r="N464" s="34">
        <v>548.80221780697138</v>
      </c>
      <c r="O464" s="34">
        <v>5000</v>
      </c>
      <c r="P464" s="34">
        <v>293.70068286347396</v>
      </c>
      <c r="Q464" s="34">
        <v>5000</v>
      </c>
    </row>
    <row r="465" spans="6:17">
      <c r="F465" s="32">
        <v>436</v>
      </c>
      <c r="G465" s="33">
        <v>4.4203564878653664E-2</v>
      </c>
      <c r="H465" s="34">
        <v>924.95772644395038</v>
      </c>
      <c r="I465" s="34">
        <v>20924.95772644395</v>
      </c>
      <c r="J465" s="34">
        <v>112.84053145672624</v>
      </c>
      <c r="K465" s="34">
        <v>5000</v>
      </c>
      <c r="L465" s="34">
        <v>305.39797006479603</v>
      </c>
      <c r="M465" s="34">
        <v>5000</v>
      </c>
      <c r="N465" s="34">
        <v>222.95130580660771</v>
      </c>
      <c r="O465" s="34">
        <v>5000</v>
      </c>
      <c r="P465" s="34">
        <v>283.76791911581859</v>
      </c>
      <c r="Q465" s="34">
        <v>5000</v>
      </c>
    </row>
    <row r="466" spans="6:17">
      <c r="F466" s="32">
        <v>437</v>
      </c>
      <c r="G466" s="33">
        <v>4.7929248332426684E-2</v>
      </c>
      <c r="H466" s="34">
        <v>1006.8421542932083</v>
      </c>
      <c r="I466" s="34">
        <v>21006.842154293208</v>
      </c>
      <c r="J466" s="34">
        <v>110.78820733372686</v>
      </c>
      <c r="K466" s="34">
        <v>5000</v>
      </c>
      <c r="L466" s="34">
        <v>210.22501817362536</v>
      </c>
      <c r="M466" s="34">
        <v>5000</v>
      </c>
      <c r="N466" s="34">
        <v>393.46324085095148</v>
      </c>
      <c r="O466" s="34">
        <v>5000</v>
      </c>
      <c r="P466" s="34">
        <v>292.3656879349046</v>
      </c>
      <c r="Q466" s="34">
        <v>5000</v>
      </c>
    </row>
    <row r="467" spans="6:17">
      <c r="F467" s="32">
        <v>438</v>
      </c>
      <c r="G467" s="33">
        <v>5.1072106236424136E-2</v>
      </c>
      <c r="H467" s="34">
        <v>1076.4170085435107</v>
      </c>
      <c r="I467" s="34">
        <v>21076.417008543511</v>
      </c>
      <c r="J467" s="34">
        <v>111.65893910418527</v>
      </c>
      <c r="K467" s="34">
        <v>5000</v>
      </c>
      <c r="L467" s="34">
        <v>305.28734683325183</v>
      </c>
      <c r="M467" s="34">
        <v>5000</v>
      </c>
      <c r="N467" s="34">
        <v>394.50822303690802</v>
      </c>
      <c r="O467" s="34">
        <v>5000</v>
      </c>
      <c r="P467" s="34">
        <v>264.96249956916654</v>
      </c>
      <c r="Q467" s="34">
        <v>5000</v>
      </c>
    </row>
    <row r="468" spans="6:17">
      <c r="F468" s="32">
        <v>439</v>
      </c>
      <c r="G468" s="33">
        <v>5.3576079219091514E-2</v>
      </c>
      <c r="H468" s="34">
        <v>1132.1793129422404</v>
      </c>
      <c r="I468" s="34">
        <v>21132.17931294224</v>
      </c>
      <c r="J468" s="34">
        <v>114.5121076147625</v>
      </c>
      <c r="K468" s="34">
        <v>5000</v>
      </c>
      <c r="L468" s="34">
        <v>330.7544076400718</v>
      </c>
      <c r="M468" s="34">
        <v>5000</v>
      </c>
      <c r="N468" s="34">
        <v>399.41401641387438</v>
      </c>
      <c r="O468" s="34">
        <v>5000</v>
      </c>
      <c r="P468" s="34">
        <v>287.49878127353077</v>
      </c>
      <c r="Q468" s="34">
        <v>5000</v>
      </c>
    </row>
    <row r="469" spans="6:17">
      <c r="F469" s="32">
        <v>440</v>
      </c>
      <c r="G469" s="33">
        <v>5.502886850449959E-2</v>
      </c>
      <c r="H469" s="34">
        <v>1164.6677167250928</v>
      </c>
      <c r="I469" s="34">
        <v>21164.667716725093</v>
      </c>
      <c r="J469" s="34">
        <v>118.54529146586992</v>
      </c>
      <c r="K469" s="34">
        <v>5000</v>
      </c>
      <c r="L469" s="34">
        <v>216.01931800528928</v>
      </c>
      <c r="M469" s="34">
        <v>5000</v>
      </c>
      <c r="N469" s="34">
        <v>528.3748772348672</v>
      </c>
      <c r="O469" s="34">
        <v>5000</v>
      </c>
      <c r="P469" s="34">
        <v>301.72823001906636</v>
      </c>
      <c r="Q469" s="34">
        <v>5000</v>
      </c>
    </row>
    <row r="470" spans="6:17">
      <c r="F470" s="32">
        <v>441</v>
      </c>
      <c r="G470" s="33">
        <v>4.8853287190921788E-2</v>
      </c>
      <c r="H470" s="34">
        <v>1027.2502976252836</v>
      </c>
      <c r="I470" s="34">
        <v>21027.250297625284</v>
      </c>
      <c r="J470" s="34">
        <v>117.72820460269486</v>
      </c>
      <c r="K470" s="34">
        <v>5000</v>
      </c>
      <c r="L470" s="34">
        <v>215.25550021072922</v>
      </c>
      <c r="M470" s="34">
        <v>5000</v>
      </c>
      <c r="N470" s="34">
        <v>415.6269150001026</v>
      </c>
      <c r="O470" s="34">
        <v>5000</v>
      </c>
      <c r="P470" s="34">
        <v>278.63967781175597</v>
      </c>
      <c r="Q470" s="34">
        <v>5000</v>
      </c>
    </row>
    <row r="471" spans="6:17">
      <c r="F471" s="32">
        <v>442</v>
      </c>
      <c r="G471" s="33">
        <v>5.7849103479881189E-2</v>
      </c>
      <c r="H471" s="34">
        <v>1228.0220438902033</v>
      </c>
      <c r="I471" s="34">
        <v>21228.022043890203</v>
      </c>
      <c r="J471" s="34">
        <v>117.35119279910577</v>
      </c>
      <c r="K471" s="34">
        <v>5000</v>
      </c>
      <c r="L471" s="34">
        <v>301.75541910162883</v>
      </c>
      <c r="M471" s="34">
        <v>5000</v>
      </c>
      <c r="N471" s="34">
        <v>529.9094576548523</v>
      </c>
      <c r="O471" s="34">
        <v>5000</v>
      </c>
      <c r="P471" s="34">
        <v>279.00597433461826</v>
      </c>
      <c r="Q471" s="34">
        <v>5000</v>
      </c>
    </row>
    <row r="472" spans="6:17">
      <c r="F472" s="32">
        <v>443</v>
      </c>
      <c r="G472" s="33">
        <v>4.7437925314356394E-2</v>
      </c>
      <c r="H472" s="34">
        <v>996.00701256160028</v>
      </c>
      <c r="I472" s="34">
        <v>20996.0070125616</v>
      </c>
      <c r="J472" s="34">
        <v>122.594403037353</v>
      </c>
      <c r="K472" s="34">
        <v>5000</v>
      </c>
      <c r="L472" s="34">
        <v>248.12268372703238</v>
      </c>
      <c r="M472" s="34">
        <v>5000</v>
      </c>
      <c r="N472" s="34">
        <v>359.21199877959589</v>
      </c>
      <c r="O472" s="34">
        <v>5000</v>
      </c>
      <c r="P472" s="34">
        <v>266.07792701761991</v>
      </c>
      <c r="Q472" s="34">
        <v>5000</v>
      </c>
    </row>
    <row r="473" spans="6:17">
      <c r="F473" s="32">
        <v>444</v>
      </c>
      <c r="G473" s="33">
        <v>5.9473031858466176E-2</v>
      </c>
      <c r="H473" s="34">
        <v>1264.6746743686454</v>
      </c>
      <c r="I473" s="34">
        <v>21264.674674368645</v>
      </c>
      <c r="J473" s="34">
        <v>108.03935971299779</v>
      </c>
      <c r="K473" s="34">
        <v>5000</v>
      </c>
      <c r="L473" s="34">
        <v>274.85050920362755</v>
      </c>
      <c r="M473" s="34">
        <v>5000</v>
      </c>
      <c r="N473" s="34">
        <v>601.55828400513838</v>
      </c>
      <c r="O473" s="34">
        <v>5000</v>
      </c>
      <c r="P473" s="34">
        <v>280.22652144688345</v>
      </c>
      <c r="Q473" s="34">
        <v>5000</v>
      </c>
    </row>
    <row r="474" spans="6:17">
      <c r="F474" s="32">
        <v>445</v>
      </c>
      <c r="G474" s="33">
        <v>5.8752722335446948E-2</v>
      </c>
      <c r="H474" s="34">
        <v>1248.4014292445172</v>
      </c>
      <c r="I474" s="34">
        <v>21248.401429244517</v>
      </c>
      <c r="J474" s="34">
        <v>108.96393400935722</v>
      </c>
      <c r="K474" s="34">
        <v>5000</v>
      </c>
      <c r="L474" s="34">
        <v>300.1805786637733</v>
      </c>
      <c r="M474" s="34">
        <v>5000</v>
      </c>
      <c r="N474" s="34">
        <v>555.8883639730866</v>
      </c>
      <c r="O474" s="34">
        <v>5000</v>
      </c>
      <c r="P474" s="34">
        <v>283.36855259830099</v>
      </c>
      <c r="Q474" s="34">
        <v>5000</v>
      </c>
    </row>
    <row r="475" spans="6:17">
      <c r="F475" s="32">
        <v>446</v>
      </c>
      <c r="G475" s="33">
        <v>5.0001126159254117E-2</v>
      </c>
      <c r="H475" s="34">
        <v>1052.6565354147169</v>
      </c>
      <c r="I475" s="34">
        <v>21052.656535414717</v>
      </c>
      <c r="J475" s="34">
        <v>108.38381944640787</v>
      </c>
      <c r="K475" s="34">
        <v>5000</v>
      </c>
      <c r="L475" s="34">
        <v>238.03594410742153</v>
      </c>
      <c r="M475" s="34">
        <v>5000</v>
      </c>
      <c r="N475" s="34">
        <v>414.19741158478973</v>
      </c>
      <c r="O475" s="34">
        <v>5000</v>
      </c>
      <c r="P475" s="34">
        <v>292.03936027609961</v>
      </c>
      <c r="Q475" s="34">
        <v>5000</v>
      </c>
    </row>
    <row r="476" spans="6:17">
      <c r="F476" s="32">
        <v>447</v>
      </c>
      <c r="G476" s="33">
        <v>4.3209613664008641E-2</v>
      </c>
      <c r="H476" s="34">
        <v>903.2200632675449</v>
      </c>
      <c r="I476" s="34">
        <v>20903.220063267545</v>
      </c>
      <c r="J476" s="34">
        <v>102.48489590643931</v>
      </c>
      <c r="K476" s="34">
        <v>5000</v>
      </c>
      <c r="L476" s="34">
        <v>183.42114215412221</v>
      </c>
      <c r="M476" s="34">
        <v>5000</v>
      </c>
      <c r="N476" s="34">
        <v>353.39867887737364</v>
      </c>
      <c r="O476" s="34">
        <v>5000</v>
      </c>
      <c r="P476" s="34">
        <v>263.91534632960884</v>
      </c>
      <c r="Q476" s="34">
        <v>5000</v>
      </c>
    </row>
    <row r="477" spans="6:17">
      <c r="F477" s="32">
        <v>448</v>
      </c>
      <c r="G477" s="33">
        <v>4.9555413877547264E-2</v>
      </c>
      <c r="H477" s="34">
        <v>1042.7838634910731</v>
      </c>
      <c r="I477" s="34">
        <v>21042.783863491073</v>
      </c>
      <c r="J477" s="34">
        <v>113.88218381657953</v>
      </c>
      <c r="K477" s="34">
        <v>5000</v>
      </c>
      <c r="L477" s="34">
        <v>239.51663105250736</v>
      </c>
      <c r="M477" s="34">
        <v>5000</v>
      </c>
      <c r="N477" s="34">
        <v>409.1068131949587</v>
      </c>
      <c r="O477" s="34">
        <v>5000</v>
      </c>
      <c r="P477" s="34">
        <v>280.27823542702845</v>
      </c>
      <c r="Q477" s="34">
        <v>5000</v>
      </c>
    </row>
    <row r="478" spans="6:17">
      <c r="F478" s="32">
        <v>449</v>
      </c>
      <c r="G478" s="33">
        <v>5.2538930544995179E-2</v>
      </c>
      <c r="H478" s="34">
        <v>1109.0467405740783</v>
      </c>
      <c r="I478" s="34">
        <v>21109.046740574078</v>
      </c>
      <c r="J478" s="34">
        <v>101.89882910611959</v>
      </c>
      <c r="K478" s="34">
        <v>5000</v>
      </c>
      <c r="L478" s="34">
        <v>242.15713857990613</v>
      </c>
      <c r="M478" s="34">
        <v>5000</v>
      </c>
      <c r="N478" s="34">
        <v>490.07449243926112</v>
      </c>
      <c r="O478" s="34">
        <v>5000</v>
      </c>
      <c r="P478" s="34">
        <v>274.91628044879144</v>
      </c>
      <c r="Q478" s="34">
        <v>5000</v>
      </c>
    </row>
    <row r="479" spans="6:17">
      <c r="F479" s="32">
        <v>450</v>
      </c>
      <c r="G479" s="33">
        <v>4.7473730343955037E-2</v>
      </c>
      <c r="H479" s="34">
        <v>996.79624292351946</v>
      </c>
      <c r="I479" s="34">
        <v>20996.796242923519</v>
      </c>
      <c r="J479" s="34">
        <v>119.82312030124012</v>
      </c>
      <c r="K479" s="34">
        <v>5000</v>
      </c>
      <c r="L479" s="34">
        <v>232.7856012128932</v>
      </c>
      <c r="M479" s="34">
        <v>5000</v>
      </c>
      <c r="N479" s="34">
        <v>353.53448936835957</v>
      </c>
      <c r="O479" s="34">
        <v>5000</v>
      </c>
      <c r="P479" s="34">
        <v>290.65303204102747</v>
      </c>
      <c r="Q479" s="34">
        <v>5000</v>
      </c>
    </row>
    <row r="480" spans="6:17">
      <c r="F480" s="32">
        <v>451</v>
      </c>
      <c r="G480" s="33">
        <v>5.4732197159217011E-2</v>
      </c>
      <c r="H480" s="34">
        <v>1158.0252071366886</v>
      </c>
      <c r="I480" s="34">
        <v>21158.025207136689</v>
      </c>
      <c r="J480" s="34">
        <v>112.48121611492934</v>
      </c>
      <c r="K480" s="34">
        <v>5000</v>
      </c>
      <c r="L480" s="34">
        <v>303.93218548762343</v>
      </c>
      <c r="M480" s="34">
        <v>5000</v>
      </c>
      <c r="N480" s="34">
        <v>468.47765494171927</v>
      </c>
      <c r="O480" s="34">
        <v>5000</v>
      </c>
      <c r="P480" s="34">
        <v>273.13415059241743</v>
      </c>
      <c r="Q480" s="34">
        <v>5000</v>
      </c>
    </row>
    <row r="481" spans="6:17">
      <c r="F481" s="32">
        <v>452</v>
      </c>
      <c r="G481" s="33">
        <v>4.6496234048358197E-2</v>
      </c>
      <c r="H481" s="34">
        <v>975.27111499035891</v>
      </c>
      <c r="I481" s="34">
        <v>20975.271114990359</v>
      </c>
      <c r="J481" s="34">
        <v>104.64446276449416</v>
      </c>
      <c r="K481" s="34">
        <v>5000</v>
      </c>
      <c r="L481" s="34">
        <v>234.2243434494967</v>
      </c>
      <c r="M481" s="34">
        <v>5000</v>
      </c>
      <c r="N481" s="34">
        <v>371.47356797289558</v>
      </c>
      <c r="O481" s="34">
        <v>5000</v>
      </c>
      <c r="P481" s="34">
        <v>264.92874080347337</v>
      </c>
      <c r="Q481" s="34">
        <v>5000</v>
      </c>
    </row>
    <row r="482" spans="6:17">
      <c r="F482" s="32">
        <v>453</v>
      </c>
      <c r="G482" s="33">
        <v>5.0812588847045995E-2</v>
      </c>
      <c r="H482" s="34">
        <v>1070.6545040525816</v>
      </c>
      <c r="I482" s="34">
        <v>21070.654504052582</v>
      </c>
      <c r="J482" s="34">
        <v>117.67460067319644</v>
      </c>
      <c r="K482" s="34">
        <v>5000</v>
      </c>
      <c r="L482" s="34">
        <v>254.83450912688932</v>
      </c>
      <c r="M482" s="34">
        <v>5000</v>
      </c>
      <c r="N482" s="34">
        <v>423.33530540383072</v>
      </c>
      <c r="O482" s="34">
        <v>5000</v>
      </c>
      <c r="P482" s="34">
        <v>274.81008884866515</v>
      </c>
      <c r="Q482" s="34">
        <v>5000</v>
      </c>
    </row>
    <row r="483" spans="6:17">
      <c r="F483" s="32">
        <v>454</v>
      </c>
      <c r="G483" s="33">
        <v>5.1655676879455457E-2</v>
      </c>
      <c r="H483" s="34">
        <v>1089.3865365162201</v>
      </c>
      <c r="I483" s="34">
        <v>21089.38653651622</v>
      </c>
      <c r="J483" s="34">
        <v>110.310912702922</v>
      </c>
      <c r="K483" s="34">
        <v>5000</v>
      </c>
      <c r="L483" s="34">
        <v>247.79124528480133</v>
      </c>
      <c r="M483" s="34">
        <v>5000</v>
      </c>
      <c r="N483" s="34">
        <v>453.46873157457412</v>
      </c>
      <c r="O483" s="34">
        <v>5000</v>
      </c>
      <c r="P483" s="34">
        <v>277.81564695392262</v>
      </c>
      <c r="Q483" s="34">
        <v>5000</v>
      </c>
    </row>
    <row r="484" spans="6:17">
      <c r="F484" s="32">
        <v>455</v>
      </c>
      <c r="G484" s="33">
        <v>5.6779060119746219E-2</v>
      </c>
      <c r="H484" s="34">
        <v>1203.9397710350786</v>
      </c>
      <c r="I484" s="34">
        <v>21203.939771035079</v>
      </c>
      <c r="J484" s="34">
        <v>104.8183695409125</v>
      </c>
      <c r="K484" s="34">
        <v>5000</v>
      </c>
      <c r="L484" s="34">
        <v>295.95594913286095</v>
      </c>
      <c r="M484" s="34">
        <v>5000</v>
      </c>
      <c r="N484" s="34">
        <v>524.42104011367246</v>
      </c>
      <c r="O484" s="34">
        <v>5000</v>
      </c>
      <c r="P484" s="34">
        <v>278.7444122476345</v>
      </c>
      <c r="Q484" s="34">
        <v>5000</v>
      </c>
    </row>
    <row r="485" spans="6:17">
      <c r="F485" s="32">
        <v>456</v>
      </c>
      <c r="G485" s="33">
        <v>4.3223087862173708E-2</v>
      </c>
      <c r="H485" s="34">
        <v>903.51444132563483</v>
      </c>
      <c r="I485" s="34">
        <v>20903.514441325635</v>
      </c>
      <c r="J485" s="34">
        <v>123.90565131423227</v>
      </c>
      <c r="K485" s="34">
        <v>5000</v>
      </c>
      <c r="L485" s="34">
        <v>258.08781545122747</v>
      </c>
      <c r="M485" s="34">
        <v>5000</v>
      </c>
      <c r="N485" s="34">
        <v>253.98041212345379</v>
      </c>
      <c r="O485" s="34">
        <v>5000</v>
      </c>
      <c r="P485" s="34">
        <v>267.54056243672221</v>
      </c>
      <c r="Q485" s="34">
        <v>5000</v>
      </c>
    </row>
    <row r="486" spans="6:17">
      <c r="F486" s="32">
        <v>457</v>
      </c>
      <c r="G486" s="33">
        <v>5.0190962856557803E-2</v>
      </c>
      <c r="H486" s="34">
        <v>1056.86429363754</v>
      </c>
      <c r="I486" s="34">
        <v>21056.86429363754</v>
      </c>
      <c r="J486" s="34">
        <v>110.25319951523306</v>
      </c>
      <c r="K486" s="34">
        <v>5000</v>
      </c>
      <c r="L486" s="34">
        <v>261.31218637255733</v>
      </c>
      <c r="M486" s="34">
        <v>5000</v>
      </c>
      <c r="N486" s="34">
        <v>396.0855081908494</v>
      </c>
      <c r="O486" s="34">
        <v>5000</v>
      </c>
      <c r="P486" s="34">
        <v>289.21339955890016</v>
      </c>
      <c r="Q486" s="34">
        <v>5000</v>
      </c>
    </row>
    <row r="487" spans="6:17">
      <c r="F487" s="32">
        <v>458</v>
      </c>
      <c r="G487" s="33">
        <v>4.6740995255203491E-2</v>
      </c>
      <c r="H487" s="34">
        <v>980.65677895624685</v>
      </c>
      <c r="I487" s="34">
        <v>20980.656778956247</v>
      </c>
      <c r="J487" s="34">
        <v>110.37792385889861</v>
      </c>
      <c r="K487" s="34">
        <v>5000</v>
      </c>
      <c r="L487" s="34">
        <v>187.05293343066933</v>
      </c>
      <c r="M487" s="34">
        <v>5000</v>
      </c>
      <c r="N487" s="34">
        <v>380.0697032736698</v>
      </c>
      <c r="O487" s="34">
        <v>5000</v>
      </c>
      <c r="P487" s="34">
        <v>303.15621839301093</v>
      </c>
      <c r="Q487" s="34">
        <v>5000</v>
      </c>
    </row>
    <row r="488" spans="6:17">
      <c r="F488" s="32">
        <v>459</v>
      </c>
      <c r="G488" s="33">
        <v>5.2321453106969611E-2</v>
      </c>
      <c r="H488" s="34">
        <v>1104.2025437529592</v>
      </c>
      <c r="I488" s="34">
        <v>21104.202543752959</v>
      </c>
      <c r="J488" s="34">
        <v>115.52849801560569</v>
      </c>
      <c r="K488" s="34">
        <v>5000</v>
      </c>
      <c r="L488" s="34">
        <v>307.06154678518487</v>
      </c>
      <c r="M488" s="34">
        <v>5000</v>
      </c>
      <c r="N488" s="34">
        <v>412.85693941334375</v>
      </c>
      <c r="O488" s="34">
        <v>5000</v>
      </c>
      <c r="P488" s="34">
        <v>268.75555953882485</v>
      </c>
      <c r="Q488" s="34">
        <v>5000</v>
      </c>
    </row>
    <row r="489" spans="6:17">
      <c r="F489" s="32">
        <v>460</v>
      </c>
      <c r="G489" s="33">
        <v>6.1708152561846669E-2</v>
      </c>
      <c r="H489" s="34">
        <v>1315.3296115772573</v>
      </c>
      <c r="I489" s="34">
        <v>21315.329611577257</v>
      </c>
      <c r="J489" s="34">
        <v>107.6058787920274</v>
      </c>
      <c r="K489" s="34">
        <v>5000</v>
      </c>
      <c r="L489" s="34">
        <v>274.75465192982938</v>
      </c>
      <c r="M489" s="34">
        <v>5000</v>
      </c>
      <c r="N489" s="34">
        <v>651.57402332993479</v>
      </c>
      <c r="O489" s="34">
        <v>5000</v>
      </c>
      <c r="P489" s="34">
        <v>281.39505752546575</v>
      </c>
      <c r="Q489" s="34">
        <v>5000</v>
      </c>
    </row>
    <row r="490" spans="6:17">
      <c r="F490" s="32">
        <v>461</v>
      </c>
      <c r="G490" s="33">
        <v>5.1050454077270171E-2</v>
      </c>
      <c r="H490" s="34">
        <v>1075.936108439364</v>
      </c>
      <c r="I490" s="34">
        <v>21075.936108439364</v>
      </c>
      <c r="J490" s="34">
        <v>107.87850599304511</v>
      </c>
      <c r="K490" s="34">
        <v>5000</v>
      </c>
      <c r="L490" s="34">
        <v>288.35762923689799</v>
      </c>
      <c r="M490" s="34">
        <v>5000</v>
      </c>
      <c r="N490" s="34">
        <v>389.4986811401568</v>
      </c>
      <c r="O490" s="34">
        <v>5000</v>
      </c>
      <c r="P490" s="34">
        <v>290.20129206926504</v>
      </c>
      <c r="Q490" s="34">
        <v>5000</v>
      </c>
    </row>
    <row r="491" spans="6:17">
      <c r="F491" s="32">
        <v>462</v>
      </c>
      <c r="G491" s="33">
        <v>5.4137447384740724E-2</v>
      </c>
      <c r="H491" s="34">
        <v>1144.7212332289419</v>
      </c>
      <c r="I491" s="34">
        <v>21144.721233228942</v>
      </c>
      <c r="J491" s="34">
        <v>117.48052684901359</v>
      </c>
      <c r="K491" s="34">
        <v>5000</v>
      </c>
      <c r="L491" s="34">
        <v>277.08087943438477</v>
      </c>
      <c r="M491" s="34">
        <v>5000</v>
      </c>
      <c r="N491" s="34">
        <v>446.77490517082697</v>
      </c>
      <c r="O491" s="34">
        <v>5000</v>
      </c>
      <c r="P491" s="34">
        <v>303.38492177471562</v>
      </c>
      <c r="Q491" s="34">
        <v>5000</v>
      </c>
    </row>
    <row r="492" spans="6:17">
      <c r="F492" s="32">
        <v>463</v>
      </c>
      <c r="G492" s="33">
        <v>4.5824361033966657E-2</v>
      </c>
      <c r="H492" s="34">
        <v>960.50159242428344</v>
      </c>
      <c r="I492" s="34">
        <v>20960.501592424283</v>
      </c>
      <c r="J492" s="34">
        <v>113.09759544912959</v>
      </c>
      <c r="K492" s="34">
        <v>5000</v>
      </c>
      <c r="L492" s="34">
        <v>226.99611243322215</v>
      </c>
      <c r="M492" s="34">
        <v>5000</v>
      </c>
      <c r="N492" s="34">
        <v>330.818471316451</v>
      </c>
      <c r="O492" s="34">
        <v>5000</v>
      </c>
      <c r="P492" s="34">
        <v>289.58941322548071</v>
      </c>
      <c r="Q492" s="34">
        <v>5000</v>
      </c>
    </row>
    <row r="493" spans="6:17">
      <c r="F493" s="32">
        <v>464</v>
      </c>
      <c r="G493" s="33">
        <v>4.6352345212387222E-2</v>
      </c>
      <c r="H493" s="34">
        <v>972.10631158549586</v>
      </c>
      <c r="I493" s="34">
        <v>20972.106311585496</v>
      </c>
      <c r="J493" s="34">
        <v>110.80455501963206</v>
      </c>
      <c r="K493" s="34">
        <v>5000</v>
      </c>
      <c r="L493" s="34">
        <v>262.86371876610792</v>
      </c>
      <c r="M493" s="34">
        <v>5000</v>
      </c>
      <c r="N493" s="34">
        <v>324.12361226704979</v>
      </c>
      <c r="O493" s="34">
        <v>5000</v>
      </c>
      <c r="P493" s="34">
        <v>274.31442553270517</v>
      </c>
      <c r="Q493" s="34">
        <v>5000</v>
      </c>
    </row>
    <row r="494" spans="6:17">
      <c r="F494" s="32">
        <v>465</v>
      </c>
      <c r="G494" s="33">
        <v>5.311745693618064E-2</v>
      </c>
      <c r="H494" s="34">
        <v>1121.9439480700312</v>
      </c>
      <c r="I494" s="34">
        <v>21121.943948070031</v>
      </c>
      <c r="J494" s="34">
        <v>122.29651372076387</v>
      </c>
      <c r="K494" s="34">
        <v>5000</v>
      </c>
      <c r="L494" s="34">
        <v>255.77618328558037</v>
      </c>
      <c r="M494" s="34">
        <v>5000</v>
      </c>
      <c r="N494" s="34">
        <v>474.01402161665192</v>
      </c>
      <c r="O494" s="34">
        <v>5000</v>
      </c>
      <c r="P494" s="34">
        <v>269.85722944703593</v>
      </c>
      <c r="Q494" s="34">
        <v>5000</v>
      </c>
    </row>
    <row r="495" spans="6:17">
      <c r="F495" s="32">
        <v>466</v>
      </c>
      <c r="G495" s="33">
        <v>4.9585596463393208E-2</v>
      </c>
      <c r="H495" s="34">
        <v>1043.4521252809136</v>
      </c>
      <c r="I495" s="34">
        <v>21043.452125280914</v>
      </c>
      <c r="J495" s="34">
        <v>123.04794387024049</v>
      </c>
      <c r="K495" s="34">
        <v>5000</v>
      </c>
      <c r="L495" s="34">
        <v>281.2982006627135</v>
      </c>
      <c r="M495" s="34">
        <v>5000</v>
      </c>
      <c r="N495" s="34">
        <v>361.61670161891107</v>
      </c>
      <c r="O495" s="34">
        <v>5000</v>
      </c>
      <c r="P495" s="34">
        <v>277.48927912904765</v>
      </c>
      <c r="Q495" s="34">
        <v>5000</v>
      </c>
    </row>
    <row r="496" spans="6:17">
      <c r="F496" s="32">
        <v>467</v>
      </c>
      <c r="G496" s="33">
        <v>5.110906503538349E-2</v>
      </c>
      <c r="H496" s="34">
        <v>1077.2379238144858</v>
      </c>
      <c r="I496" s="34">
        <v>21077.237923814486</v>
      </c>
      <c r="J496" s="34">
        <v>108.53661612275391</v>
      </c>
      <c r="K496" s="34">
        <v>5000</v>
      </c>
      <c r="L496" s="34">
        <v>299.16184817403973</v>
      </c>
      <c r="M496" s="34">
        <v>5000</v>
      </c>
      <c r="N496" s="34">
        <v>393.8595551834278</v>
      </c>
      <c r="O496" s="34">
        <v>5000</v>
      </c>
      <c r="P496" s="34">
        <v>275.67990433426257</v>
      </c>
      <c r="Q496" s="34">
        <v>5000</v>
      </c>
    </row>
    <row r="497" spans="6:17">
      <c r="F497" s="32">
        <v>468</v>
      </c>
      <c r="G497" s="33">
        <v>4.8400578461652834E-2</v>
      </c>
      <c r="H497" s="34">
        <v>1017.2469080195297</v>
      </c>
      <c r="I497" s="34">
        <v>21017.24690801953</v>
      </c>
      <c r="J497" s="34">
        <v>112.19749023913209</v>
      </c>
      <c r="K497" s="34">
        <v>5000</v>
      </c>
      <c r="L497" s="34">
        <v>194.18578034872371</v>
      </c>
      <c r="M497" s="34">
        <v>5000</v>
      </c>
      <c r="N497" s="34">
        <v>418.59881673450855</v>
      </c>
      <c r="O497" s="34">
        <v>5000</v>
      </c>
      <c r="P497" s="34">
        <v>292.26482069716258</v>
      </c>
      <c r="Q497" s="34">
        <v>5000</v>
      </c>
    </row>
    <row r="498" spans="6:17">
      <c r="F498" s="32">
        <v>469</v>
      </c>
      <c r="G498" s="33">
        <v>5.2966285568588178E-2</v>
      </c>
      <c r="H498" s="34">
        <v>1118.5723329900356</v>
      </c>
      <c r="I498" s="34">
        <v>21118.572332990036</v>
      </c>
      <c r="J498" s="34">
        <v>99.678418573769704</v>
      </c>
      <c r="K498" s="34">
        <v>5000</v>
      </c>
      <c r="L498" s="34">
        <v>248.95936746853386</v>
      </c>
      <c r="M498" s="34">
        <v>5000</v>
      </c>
      <c r="N498" s="34">
        <v>469.0586355199066</v>
      </c>
      <c r="O498" s="34">
        <v>5000</v>
      </c>
      <c r="P498" s="34">
        <v>300.87591142782549</v>
      </c>
      <c r="Q498" s="34">
        <v>5000</v>
      </c>
    </row>
    <row r="499" spans="6:17">
      <c r="F499" s="32">
        <v>470</v>
      </c>
      <c r="G499" s="33">
        <v>5.136814633408824E-2</v>
      </c>
      <c r="H499" s="34">
        <v>1082.9943383322025</v>
      </c>
      <c r="I499" s="34">
        <v>21082.994338332202</v>
      </c>
      <c r="J499" s="34">
        <v>120.28719189435378</v>
      </c>
      <c r="K499" s="34">
        <v>5000</v>
      </c>
      <c r="L499" s="34">
        <v>280.91953148757239</v>
      </c>
      <c r="M499" s="34">
        <v>5000</v>
      </c>
      <c r="N499" s="34">
        <v>384.49360082217481</v>
      </c>
      <c r="O499" s="34">
        <v>5000</v>
      </c>
      <c r="P499" s="34">
        <v>297.29401412810421</v>
      </c>
      <c r="Q499" s="34">
        <v>5000</v>
      </c>
    </row>
    <row r="500" spans="6:17">
      <c r="F500" s="32">
        <v>471</v>
      </c>
      <c r="G500" s="33">
        <v>4.6838576879370847E-2</v>
      </c>
      <c r="H500" s="34">
        <v>982.80471163053153</v>
      </c>
      <c r="I500" s="34">
        <v>20982.804711630532</v>
      </c>
      <c r="J500" s="34">
        <v>120.57918076850456</v>
      </c>
      <c r="K500" s="34">
        <v>5000</v>
      </c>
      <c r="L500" s="34">
        <v>290.38431218175174</v>
      </c>
      <c r="M500" s="34">
        <v>5000</v>
      </c>
      <c r="N500" s="34">
        <v>304.27545474571343</v>
      </c>
      <c r="O500" s="34">
        <v>5000</v>
      </c>
      <c r="P500" s="34">
        <v>267.56576393455907</v>
      </c>
      <c r="Q500" s="34">
        <v>5000</v>
      </c>
    </row>
    <row r="501" spans="6:17">
      <c r="F501" s="32">
        <v>472</v>
      </c>
      <c r="G501" s="33">
        <v>4.6184668856275576E-2</v>
      </c>
      <c r="H501" s="34">
        <v>968.41951158187658</v>
      </c>
      <c r="I501" s="34">
        <v>20968.419511581877</v>
      </c>
      <c r="J501" s="34">
        <v>108.08411680282006</v>
      </c>
      <c r="K501" s="34">
        <v>5000</v>
      </c>
      <c r="L501" s="34">
        <v>195.03365603667316</v>
      </c>
      <c r="M501" s="34">
        <v>5000</v>
      </c>
      <c r="N501" s="34">
        <v>373.98812483403799</v>
      </c>
      <c r="O501" s="34">
        <v>5000</v>
      </c>
      <c r="P501" s="34">
        <v>291.31361390834263</v>
      </c>
      <c r="Q501" s="34">
        <v>5000</v>
      </c>
    </row>
    <row r="502" spans="6:17">
      <c r="F502" s="32">
        <v>473</v>
      </c>
      <c r="G502" s="33">
        <v>5.7460946904431251E-2</v>
      </c>
      <c r="H502" s="34">
        <v>1219.2799166403347</v>
      </c>
      <c r="I502" s="34">
        <v>21219.279916640335</v>
      </c>
      <c r="J502" s="34">
        <v>111.42907182811632</v>
      </c>
      <c r="K502" s="34">
        <v>5000</v>
      </c>
      <c r="L502" s="34">
        <v>278.67847457146127</v>
      </c>
      <c r="M502" s="34">
        <v>5000</v>
      </c>
      <c r="N502" s="34">
        <v>560.00611208877217</v>
      </c>
      <c r="O502" s="34">
        <v>5000</v>
      </c>
      <c r="P502" s="34">
        <v>269.16625815198313</v>
      </c>
      <c r="Q502" s="34">
        <v>5000</v>
      </c>
    </row>
    <row r="503" spans="6:17">
      <c r="F503" s="32">
        <v>474</v>
      </c>
      <c r="G503" s="33">
        <v>5.1811193194569338E-2</v>
      </c>
      <c r="H503" s="34">
        <v>1092.8454928534302</v>
      </c>
      <c r="I503" s="34">
        <v>21092.84549285343</v>
      </c>
      <c r="J503" s="34">
        <v>113.46695945010924</v>
      </c>
      <c r="K503" s="34">
        <v>5000</v>
      </c>
      <c r="L503" s="34">
        <v>318.35875306212893</v>
      </c>
      <c r="M503" s="34">
        <v>5000</v>
      </c>
      <c r="N503" s="34">
        <v>363.62081893288814</v>
      </c>
      <c r="O503" s="34">
        <v>5000</v>
      </c>
      <c r="P503" s="34">
        <v>297.39896140830297</v>
      </c>
      <c r="Q503" s="34">
        <v>5000</v>
      </c>
    </row>
    <row r="504" spans="6:17">
      <c r="F504" s="32">
        <v>475</v>
      </c>
      <c r="G504" s="33">
        <v>4.9822461387305159E-2</v>
      </c>
      <c r="H504" s="34">
        <v>1048.6979403880323</v>
      </c>
      <c r="I504" s="34">
        <v>21048.697940388032</v>
      </c>
      <c r="J504" s="34">
        <v>120.64157146151774</v>
      </c>
      <c r="K504" s="34">
        <v>5000</v>
      </c>
      <c r="L504" s="34">
        <v>199.82480974093505</v>
      </c>
      <c r="M504" s="34">
        <v>5000</v>
      </c>
      <c r="N504" s="34">
        <v>456.68445646842883</v>
      </c>
      <c r="O504" s="34">
        <v>5000</v>
      </c>
      <c r="P504" s="34">
        <v>271.54710271715339</v>
      </c>
      <c r="Q504" s="34">
        <v>5000</v>
      </c>
    </row>
    <row r="505" spans="6:17">
      <c r="F505" s="32">
        <v>476</v>
      </c>
      <c r="G505" s="33">
        <v>4.9104868909860669E-2</v>
      </c>
      <c r="H505" s="34">
        <v>1032.8135522907796</v>
      </c>
      <c r="I505" s="34">
        <v>21032.81355229078</v>
      </c>
      <c r="J505" s="34">
        <v>119.08851105486065</v>
      </c>
      <c r="K505" s="34">
        <v>5000</v>
      </c>
      <c r="L505" s="34">
        <v>314.15988893935628</v>
      </c>
      <c r="M505" s="34">
        <v>5000</v>
      </c>
      <c r="N505" s="34">
        <v>318.3082849547709</v>
      </c>
      <c r="O505" s="34">
        <v>5000</v>
      </c>
      <c r="P505" s="34">
        <v>281.2568673417918</v>
      </c>
      <c r="Q505" s="34">
        <v>5000</v>
      </c>
    </row>
    <row r="506" spans="6:17">
      <c r="F506" s="32">
        <v>477</v>
      </c>
      <c r="G506" s="33">
        <v>4.8933391838752505E-2</v>
      </c>
      <c r="H506" s="34">
        <v>1029.0213412782578</v>
      </c>
      <c r="I506" s="34">
        <v>21029.021341278258</v>
      </c>
      <c r="J506" s="34">
        <v>112.94257860987818</v>
      </c>
      <c r="K506" s="34">
        <v>5000</v>
      </c>
      <c r="L506" s="34">
        <v>274.43394508442634</v>
      </c>
      <c r="M506" s="34">
        <v>5000</v>
      </c>
      <c r="N506" s="34">
        <v>353.69033902600768</v>
      </c>
      <c r="O506" s="34">
        <v>5000</v>
      </c>
      <c r="P506" s="34">
        <v>287.95447855794646</v>
      </c>
      <c r="Q506" s="34">
        <v>5000</v>
      </c>
    </row>
    <row r="507" spans="6:17">
      <c r="F507" s="32">
        <v>478</v>
      </c>
      <c r="G507" s="33">
        <v>4.8173979900734978E-2</v>
      </c>
      <c r="H507" s="34">
        <v>1012.2433907766244</v>
      </c>
      <c r="I507" s="34">
        <v>21012.243390776624</v>
      </c>
      <c r="J507" s="34">
        <v>119.85823507536315</v>
      </c>
      <c r="K507" s="34">
        <v>5000</v>
      </c>
      <c r="L507" s="34">
        <v>260.73911306530317</v>
      </c>
      <c r="M507" s="34">
        <v>5000</v>
      </c>
      <c r="N507" s="34">
        <v>347.66130488354975</v>
      </c>
      <c r="O507" s="34">
        <v>5000</v>
      </c>
      <c r="P507" s="34">
        <v>283.98473775240836</v>
      </c>
      <c r="Q507" s="34">
        <v>5000</v>
      </c>
    </row>
    <row r="508" spans="6:17">
      <c r="F508" s="32">
        <v>479</v>
      </c>
      <c r="G508" s="33">
        <v>4.8573755482068597E-2</v>
      </c>
      <c r="H508" s="34">
        <v>1021.0724322972601</v>
      </c>
      <c r="I508" s="34">
        <v>21021.07243229726</v>
      </c>
      <c r="J508" s="34">
        <v>121.31661010011157</v>
      </c>
      <c r="K508" s="34">
        <v>5000</v>
      </c>
      <c r="L508" s="34">
        <v>252.52310367283735</v>
      </c>
      <c r="M508" s="34">
        <v>5000</v>
      </c>
      <c r="N508" s="34">
        <v>368.23709779152705</v>
      </c>
      <c r="O508" s="34">
        <v>5000</v>
      </c>
      <c r="P508" s="34">
        <v>278.99562073278321</v>
      </c>
      <c r="Q508" s="34">
        <v>5000</v>
      </c>
    </row>
    <row r="509" spans="6:17">
      <c r="F509" s="32">
        <v>480</v>
      </c>
      <c r="G509" s="33">
        <v>4.8585629611320791E-2</v>
      </c>
      <c r="H509" s="34">
        <v>1021.3347858404159</v>
      </c>
      <c r="I509" s="34">
        <v>21021.334785840416</v>
      </c>
      <c r="J509" s="34">
        <v>111.58102544587109</v>
      </c>
      <c r="K509" s="34">
        <v>5000</v>
      </c>
      <c r="L509" s="34">
        <v>324.10460184273961</v>
      </c>
      <c r="M509" s="34">
        <v>5000</v>
      </c>
      <c r="N509" s="34">
        <v>301.42436155281302</v>
      </c>
      <c r="O509" s="34">
        <v>5000</v>
      </c>
      <c r="P509" s="34">
        <v>284.22479699899213</v>
      </c>
      <c r="Q509" s="34">
        <v>5000</v>
      </c>
    </row>
    <row r="510" spans="6:17">
      <c r="F510" s="32">
        <v>481</v>
      </c>
      <c r="G510" s="33">
        <v>4.3133334980684203E-2</v>
      </c>
      <c r="H510" s="34">
        <v>901.55371814135651</v>
      </c>
      <c r="I510" s="34">
        <v>20901.553718141357</v>
      </c>
      <c r="J510" s="34">
        <v>112.34063842407431</v>
      </c>
      <c r="K510" s="34">
        <v>5000</v>
      </c>
      <c r="L510" s="34">
        <v>276.29581158483506</v>
      </c>
      <c r="M510" s="34">
        <v>5000</v>
      </c>
      <c r="N510" s="34">
        <v>228.19474112034732</v>
      </c>
      <c r="O510" s="34">
        <v>5000</v>
      </c>
      <c r="P510" s="34">
        <v>284.72252701209982</v>
      </c>
      <c r="Q510" s="34">
        <v>5000</v>
      </c>
    </row>
    <row r="511" spans="6:17">
      <c r="F511" s="32">
        <v>482</v>
      </c>
      <c r="G511" s="33">
        <v>4.7873879982983092E-2</v>
      </c>
      <c r="H511" s="34">
        <v>1005.6205575397398</v>
      </c>
      <c r="I511" s="34">
        <v>21005.62055753974</v>
      </c>
      <c r="J511" s="34">
        <v>116.22008633570567</v>
      </c>
      <c r="K511" s="34">
        <v>5000</v>
      </c>
      <c r="L511" s="34">
        <v>262.94450214064273</v>
      </c>
      <c r="M511" s="34">
        <v>5000</v>
      </c>
      <c r="N511" s="34">
        <v>343.04519213472577</v>
      </c>
      <c r="O511" s="34">
        <v>5000</v>
      </c>
      <c r="P511" s="34">
        <v>283.41077692866293</v>
      </c>
      <c r="Q511" s="34">
        <v>5000</v>
      </c>
    </row>
    <row r="512" spans="6:17">
      <c r="F512" s="32">
        <v>483</v>
      </c>
      <c r="G512" s="33">
        <v>4.7023699396996028E-2</v>
      </c>
      <c r="H512" s="34">
        <v>986.88077273781892</v>
      </c>
      <c r="I512" s="34">
        <v>20986.880772737819</v>
      </c>
      <c r="J512" s="34">
        <v>112.88248876859325</v>
      </c>
      <c r="K512" s="34">
        <v>5000</v>
      </c>
      <c r="L512" s="34">
        <v>256.76397822075432</v>
      </c>
      <c r="M512" s="34">
        <v>5000</v>
      </c>
      <c r="N512" s="34">
        <v>345.57549978524094</v>
      </c>
      <c r="O512" s="34">
        <v>5000</v>
      </c>
      <c r="P512" s="34">
        <v>271.65880596323132</v>
      </c>
      <c r="Q512" s="34">
        <v>5000</v>
      </c>
    </row>
    <row r="513" spans="6:17">
      <c r="F513" s="32">
        <v>484</v>
      </c>
      <c r="G513" s="33">
        <v>4.5504819284881516E-2</v>
      </c>
      <c r="H513" s="34">
        <v>953.48452677966998</v>
      </c>
      <c r="I513" s="34">
        <v>20953.48452677967</v>
      </c>
      <c r="J513" s="34">
        <v>121.16207589396799</v>
      </c>
      <c r="K513" s="34">
        <v>5000</v>
      </c>
      <c r="L513" s="34">
        <v>257.65970772195215</v>
      </c>
      <c r="M513" s="34">
        <v>5000</v>
      </c>
      <c r="N513" s="34">
        <v>294.86036604765013</v>
      </c>
      <c r="O513" s="34">
        <v>5000</v>
      </c>
      <c r="P513" s="34">
        <v>279.80237711609971</v>
      </c>
      <c r="Q513" s="34">
        <v>5000</v>
      </c>
    </row>
    <row r="514" spans="6:17">
      <c r="F514" s="32">
        <v>485</v>
      </c>
      <c r="G514" s="33">
        <v>5.1609812033855562E-2</v>
      </c>
      <c r="H514" s="34">
        <v>1088.3666383038944</v>
      </c>
      <c r="I514" s="34">
        <v>21088.366638303894</v>
      </c>
      <c r="J514" s="34">
        <v>117.54730267490868</v>
      </c>
      <c r="K514" s="34">
        <v>5000</v>
      </c>
      <c r="L514" s="34">
        <v>246.09437462661663</v>
      </c>
      <c r="M514" s="34">
        <v>5000</v>
      </c>
      <c r="N514" s="34">
        <v>455.13331633442249</v>
      </c>
      <c r="O514" s="34">
        <v>5000</v>
      </c>
      <c r="P514" s="34">
        <v>269.59164466794755</v>
      </c>
      <c r="Q514" s="34">
        <v>5000</v>
      </c>
    </row>
    <row r="515" spans="6:17">
      <c r="F515" s="32">
        <v>486</v>
      </c>
      <c r="G515" s="33">
        <v>5.0962525322173227E-2</v>
      </c>
      <c r="H515" s="34">
        <v>1073.9834133414734</v>
      </c>
      <c r="I515" s="34">
        <v>21073.983413341473</v>
      </c>
      <c r="J515" s="34">
        <v>117.49578403999021</v>
      </c>
      <c r="K515" s="34">
        <v>5000</v>
      </c>
      <c r="L515" s="34">
        <v>283.81004538806155</v>
      </c>
      <c r="M515" s="34">
        <v>5000</v>
      </c>
      <c r="N515" s="34">
        <v>391.18109661155631</v>
      </c>
      <c r="O515" s="34">
        <v>5000</v>
      </c>
      <c r="P515" s="34">
        <v>281.49648730186527</v>
      </c>
      <c r="Q515" s="34">
        <v>5000</v>
      </c>
    </row>
    <row r="516" spans="6:17">
      <c r="F516" s="32">
        <v>487</v>
      </c>
      <c r="G516" s="33">
        <v>4.5151630263871603E-2</v>
      </c>
      <c r="H516" s="34">
        <v>945.73403893121213</v>
      </c>
      <c r="I516" s="34">
        <v>20945.734038931212</v>
      </c>
      <c r="J516" s="34">
        <v>114.62006365536763</v>
      </c>
      <c r="K516" s="34">
        <v>5000</v>
      </c>
      <c r="L516" s="34">
        <v>217.21084407983381</v>
      </c>
      <c r="M516" s="34">
        <v>5000</v>
      </c>
      <c r="N516" s="34">
        <v>339.54047603362869</v>
      </c>
      <c r="O516" s="34">
        <v>5000</v>
      </c>
      <c r="P516" s="34">
        <v>274.36265516238109</v>
      </c>
      <c r="Q516" s="34">
        <v>5000</v>
      </c>
    </row>
    <row r="517" spans="6:17">
      <c r="F517" s="32">
        <v>488</v>
      </c>
      <c r="G517" s="33">
        <v>4.5732681522373544E-2</v>
      </c>
      <c r="H517" s="34">
        <v>958.48785003624289</v>
      </c>
      <c r="I517" s="34">
        <v>20958.487850036243</v>
      </c>
      <c r="J517" s="34">
        <v>119.5899846966613</v>
      </c>
      <c r="K517" s="34">
        <v>5000</v>
      </c>
      <c r="L517" s="34">
        <v>272.71349279723199</v>
      </c>
      <c r="M517" s="34">
        <v>5000</v>
      </c>
      <c r="N517" s="34">
        <v>283.34520462815726</v>
      </c>
      <c r="O517" s="34">
        <v>5000</v>
      </c>
      <c r="P517" s="34">
        <v>282.83916791419324</v>
      </c>
      <c r="Q517" s="34">
        <v>5000</v>
      </c>
    </row>
    <row r="518" spans="6:17">
      <c r="F518" s="32">
        <v>489</v>
      </c>
      <c r="G518" s="33">
        <v>5.4416105310017747E-2</v>
      </c>
      <c r="H518" s="34">
        <v>1150.9524562674269</v>
      </c>
      <c r="I518" s="34">
        <v>21150.952456267427</v>
      </c>
      <c r="J518" s="34">
        <v>114.33969189349318</v>
      </c>
      <c r="K518" s="34">
        <v>5000</v>
      </c>
      <c r="L518" s="34">
        <v>281.65535834215825</v>
      </c>
      <c r="M518" s="34">
        <v>5000</v>
      </c>
      <c r="N518" s="34">
        <v>475.92946578843657</v>
      </c>
      <c r="O518" s="34">
        <v>5000</v>
      </c>
      <c r="P518" s="34">
        <v>279.02794024333707</v>
      </c>
      <c r="Q518" s="34">
        <v>5000</v>
      </c>
    </row>
    <row r="519" spans="6:17">
      <c r="F519" s="32">
        <v>490</v>
      </c>
      <c r="G519" s="33">
        <v>5.3194373630306747E-2</v>
      </c>
      <c r="H519" s="34">
        <v>1123.6598547532558</v>
      </c>
      <c r="I519" s="34">
        <v>21123.659854753256</v>
      </c>
      <c r="J519" s="34">
        <v>119.95860400393394</v>
      </c>
      <c r="K519" s="34">
        <v>5000</v>
      </c>
      <c r="L519" s="34">
        <v>320.54722743944421</v>
      </c>
      <c r="M519" s="34">
        <v>5000</v>
      </c>
      <c r="N519" s="34">
        <v>398.41504922810509</v>
      </c>
      <c r="O519" s="34">
        <v>5000</v>
      </c>
      <c r="P519" s="34">
        <v>284.73897408177527</v>
      </c>
      <c r="Q519" s="34">
        <v>5000</v>
      </c>
    </row>
    <row r="520" spans="6:17">
      <c r="F520" s="32">
        <v>491</v>
      </c>
      <c r="G520" s="33">
        <v>5.4950065689810382E-2</v>
      </c>
      <c r="H520" s="34">
        <v>1162.9029048061784</v>
      </c>
      <c r="I520" s="34">
        <v>21162.902904806178</v>
      </c>
      <c r="J520" s="34">
        <v>114.47313080134336</v>
      </c>
      <c r="K520" s="34">
        <v>5000</v>
      </c>
      <c r="L520" s="34">
        <v>267.93205944268175</v>
      </c>
      <c r="M520" s="34">
        <v>5000</v>
      </c>
      <c r="N520" s="34">
        <v>502.1370911949316</v>
      </c>
      <c r="O520" s="34">
        <v>5000</v>
      </c>
      <c r="P520" s="34">
        <v>278.3606233672208</v>
      </c>
      <c r="Q520" s="34">
        <v>5000</v>
      </c>
    </row>
    <row r="521" spans="6:17">
      <c r="F521" s="32">
        <v>492</v>
      </c>
      <c r="G521" s="33">
        <v>4.5488451044008206E-2</v>
      </c>
      <c r="H521" s="34">
        <v>953.12521034997917</v>
      </c>
      <c r="I521" s="34">
        <v>20953.125210349979</v>
      </c>
      <c r="J521" s="34">
        <v>112.5996760146154</v>
      </c>
      <c r="K521" s="34">
        <v>5000</v>
      </c>
      <c r="L521" s="34">
        <v>229.69339833355207</v>
      </c>
      <c r="M521" s="34">
        <v>5000</v>
      </c>
      <c r="N521" s="34">
        <v>314.14568557119037</v>
      </c>
      <c r="O521" s="34">
        <v>5000</v>
      </c>
      <c r="P521" s="34">
        <v>296.68645043061952</v>
      </c>
      <c r="Q521" s="34">
        <v>5000</v>
      </c>
    </row>
    <row r="522" spans="6:17">
      <c r="F522" s="32">
        <v>493</v>
      </c>
      <c r="G522" s="33">
        <v>4.8143832540726045E-2</v>
      </c>
      <c r="H522" s="34">
        <v>1011.5778872186784</v>
      </c>
      <c r="I522" s="34">
        <v>21011.577887218678</v>
      </c>
      <c r="J522" s="34">
        <v>108.05668284047442</v>
      </c>
      <c r="K522" s="34">
        <v>5000</v>
      </c>
      <c r="L522" s="34">
        <v>234.44771686892636</v>
      </c>
      <c r="M522" s="34">
        <v>5000</v>
      </c>
      <c r="N522" s="34">
        <v>408.68003515997589</v>
      </c>
      <c r="O522" s="34">
        <v>5000</v>
      </c>
      <c r="P522" s="34">
        <v>260.39345234930443</v>
      </c>
      <c r="Q522" s="34">
        <v>5000</v>
      </c>
    </row>
    <row r="523" spans="6:17">
      <c r="F523" s="32">
        <v>494</v>
      </c>
      <c r="G523" s="33">
        <v>5.0661550375038625E-2</v>
      </c>
      <c r="H523" s="34">
        <v>1067.3021912270087</v>
      </c>
      <c r="I523" s="34">
        <v>21067.302191227009</v>
      </c>
      <c r="J523" s="34">
        <v>118.75093620455027</v>
      </c>
      <c r="K523" s="34">
        <v>5000</v>
      </c>
      <c r="L523" s="34">
        <v>273.33469952959331</v>
      </c>
      <c r="M523" s="34">
        <v>5000</v>
      </c>
      <c r="N523" s="34">
        <v>399.92387691210479</v>
      </c>
      <c r="O523" s="34">
        <v>5000</v>
      </c>
      <c r="P523" s="34">
        <v>275.29267858076219</v>
      </c>
      <c r="Q523" s="34">
        <v>5000</v>
      </c>
    </row>
    <row r="524" spans="6:17">
      <c r="F524" s="32">
        <v>495</v>
      </c>
      <c r="G524" s="33">
        <v>4.7646738505385137E-2</v>
      </c>
      <c r="H524" s="34">
        <v>1000.6106017972525</v>
      </c>
      <c r="I524" s="34">
        <v>21000.610601797252</v>
      </c>
      <c r="J524" s="34">
        <v>105.94165827060533</v>
      </c>
      <c r="K524" s="34">
        <v>5000</v>
      </c>
      <c r="L524" s="34">
        <v>251.19889892994979</v>
      </c>
      <c r="M524" s="34">
        <v>5000</v>
      </c>
      <c r="N524" s="34">
        <v>370.15967087413446</v>
      </c>
      <c r="O524" s="34">
        <v>5000</v>
      </c>
      <c r="P524" s="34">
        <v>273.31037372256378</v>
      </c>
      <c r="Q524" s="34">
        <v>5000</v>
      </c>
    </row>
    <row r="525" spans="6:17">
      <c r="F525" s="32">
        <v>496</v>
      </c>
      <c r="G525" s="33">
        <v>4.1670286594137268E-2</v>
      </c>
      <c r="H525" s="34">
        <v>869.64404862378433</v>
      </c>
      <c r="I525" s="34">
        <v>20869.644048623784</v>
      </c>
      <c r="J525" s="34">
        <v>121.75060610966648</v>
      </c>
      <c r="K525" s="34">
        <v>5000</v>
      </c>
      <c r="L525" s="34">
        <v>289.51185724743118</v>
      </c>
      <c r="M525" s="34">
        <v>5000</v>
      </c>
      <c r="N525" s="34">
        <v>161.63500938844663</v>
      </c>
      <c r="O525" s="34">
        <v>5000</v>
      </c>
      <c r="P525" s="34">
        <v>296.74657587824186</v>
      </c>
      <c r="Q525" s="34">
        <v>5000</v>
      </c>
    </row>
    <row r="526" spans="6:17">
      <c r="F526" s="32">
        <v>497</v>
      </c>
      <c r="G526" s="33">
        <v>5.364173006331794E-2</v>
      </c>
      <c r="H526" s="34">
        <v>1133.6452962345211</v>
      </c>
      <c r="I526" s="34">
        <v>21133.645296234521</v>
      </c>
      <c r="J526" s="34">
        <v>124.29903813471446</v>
      </c>
      <c r="K526" s="34">
        <v>5000</v>
      </c>
      <c r="L526" s="34">
        <v>234.80186273521667</v>
      </c>
      <c r="M526" s="34">
        <v>5000</v>
      </c>
      <c r="N526" s="34">
        <v>470.52410639193022</v>
      </c>
      <c r="O526" s="34">
        <v>5000</v>
      </c>
      <c r="P526" s="34">
        <v>304.02028897266064</v>
      </c>
      <c r="Q526" s="34">
        <v>5000</v>
      </c>
    </row>
    <row r="527" spans="6:17">
      <c r="F527" s="32">
        <v>498</v>
      </c>
      <c r="G527" s="33">
        <v>5.1420804746455807E-2</v>
      </c>
      <c r="H527" s="34">
        <v>1084.1647171633704</v>
      </c>
      <c r="I527" s="34">
        <v>21084.16471716337</v>
      </c>
      <c r="J527" s="34">
        <v>117.34103167064586</v>
      </c>
      <c r="K527" s="34">
        <v>5000</v>
      </c>
      <c r="L527" s="34">
        <v>271.80701289361787</v>
      </c>
      <c r="M527" s="34">
        <v>5000</v>
      </c>
      <c r="N527" s="34">
        <v>419.38083342539721</v>
      </c>
      <c r="O527" s="34">
        <v>5000</v>
      </c>
      <c r="P527" s="34">
        <v>275.63583917370943</v>
      </c>
      <c r="Q527" s="34">
        <v>5000</v>
      </c>
    </row>
    <row r="528" spans="6:17">
      <c r="F528" s="32">
        <v>499</v>
      </c>
      <c r="G528" s="33">
        <v>4.3114055571643987E-2</v>
      </c>
      <c r="H528" s="34">
        <v>901.13259208547242</v>
      </c>
      <c r="I528" s="34">
        <v>20901.132592085472</v>
      </c>
      <c r="J528" s="34">
        <v>106.72700863690261</v>
      </c>
      <c r="K528" s="34">
        <v>5000</v>
      </c>
      <c r="L528" s="34">
        <v>188.92069285209527</v>
      </c>
      <c r="M528" s="34">
        <v>5000</v>
      </c>
      <c r="N528" s="34">
        <v>323.37633271490904</v>
      </c>
      <c r="O528" s="34">
        <v>5000</v>
      </c>
      <c r="P528" s="34">
        <v>282.10855788156459</v>
      </c>
      <c r="Q528" s="34">
        <v>5000</v>
      </c>
    </row>
    <row r="529" spans="6:17">
      <c r="F529" s="32">
        <v>500</v>
      </c>
      <c r="G529" s="33">
        <v>5.0806026780943266E-2</v>
      </c>
      <c r="H529" s="34">
        <v>1070.5088362211536</v>
      </c>
      <c r="I529" s="34">
        <v>21070.508836221154</v>
      </c>
      <c r="J529" s="34">
        <v>115.30173933296828</v>
      </c>
      <c r="K529" s="34">
        <v>5000</v>
      </c>
      <c r="L529" s="34">
        <v>238.49843108986533</v>
      </c>
      <c r="M529" s="34">
        <v>5000</v>
      </c>
      <c r="N529" s="34">
        <v>444.42911549082783</v>
      </c>
      <c r="O529" s="34">
        <v>5000</v>
      </c>
      <c r="P529" s="34">
        <v>272.27955030749217</v>
      </c>
      <c r="Q529" s="34">
        <v>5000</v>
      </c>
    </row>
  </sheetData>
  <mergeCells count="6">
    <mergeCell ref="T34:V34"/>
    <mergeCell ref="G9:J9"/>
    <mergeCell ref="K9:O9"/>
    <mergeCell ref="P9:S9"/>
    <mergeCell ref="T9:W9"/>
    <mergeCell ref="T33:V33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2"/>
  <sheetViews>
    <sheetView workbookViewId="0">
      <selection activeCell="U4" sqref="U4"/>
    </sheetView>
  </sheetViews>
  <sheetFormatPr defaultRowHeight="13.8"/>
  <sheetData>
    <row r="1" spans="1:1">
      <c r="A1" s="48" t="s">
        <v>65</v>
      </c>
    </row>
    <row r="32" spans="1:1">
      <c r="A32" s="59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Model</vt:lpstr>
      <vt:lpstr>Visualizations</vt:lpstr>
      <vt:lpstr>K29K529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2026-04-22T11:05:24Z</dcterms:created>
  <dcterms:modified xsi:type="dcterms:W3CDTF">2026-04-22T11:20:22Z</dcterms:modified>
</cp:coreProperties>
</file>