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filterPrivacy="1" defaultThemeVersion="124226"/>
  <xr:revisionPtr revIDLastSave="0" documentId="13_ncr:1_{7853B097-3E72-4E60-9B60-5773A9B8910A}" xr6:coauthVersionLast="47" xr6:coauthVersionMax="47" xr10:uidLastSave="{00000000-0000-0000-0000-000000000000}"/>
  <bookViews>
    <workbookView xWindow="-108" yWindow="-108" windowWidth="23256" windowHeight="12456" xr2:uid="{00000000-000D-0000-FFFF-FFFF00000000}"/>
  </bookViews>
  <sheets>
    <sheet name="Basic Simulation" sheetId="1" r:id="rId1"/>
    <sheet name="Mod. Simul." sheetId="5" r:id="rId2"/>
    <sheet name="Demand Increase" sheetId="7" r:id="rId3"/>
    <sheet name="Questions"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04" i="7" l="1"/>
  <c r="N204" i="7"/>
  <c r="L204" i="7"/>
  <c r="O203" i="7"/>
  <c r="N203" i="7"/>
  <c r="L203" i="7"/>
  <c r="O202" i="7"/>
  <c r="N202" i="7"/>
  <c r="L202" i="7"/>
  <c r="O201" i="7"/>
  <c r="N201" i="7"/>
  <c r="L201" i="7"/>
  <c r="O200" i="7"/>
  <c r="N200" i="7"/>
  <c r="L200" i="7"/>
  <c r="O199" i="7"/>
  <c r="N199" i="7"/>
  <c r="L199" i="7"/>
  <c r="O198" i="7"/>
  <c r="N198" i="7"/>
  <c r="L198" i="7"/>
  <c r="O197" i="7"/>
  <c r="N197" i="7"/>
  <c r="L197" i="7"/>
  <c r="O196" i="7"/>
  <c r="N196" i="7"/>
  <c r="L196" i="7"/>
  <c r="O195" i="7"/>
  <c r="N195" i="7"/>
  <c r="L195" i="7"/>
  <c r="O194" i="7"/>
  <c r="N194" i="7"/>
  <c r="L194" i="7"/>
  <c r="O193" i="7"/>
  <c r="N193" i="7"/>
  <c r="L193" i="7"/>
  <c r="O192" i="7"/>
  <c r="N192" i="7"/>
  <c r="L192" i="7"/>
  <c r="O191" i="7"/>
  <c r="N191" i="7"/>
  <c r="L191" i="7"/>
  <c r="O190" i="7"/>
  <c r="N190" i="7"/>
  <c r="L190" i="7"/>
  <c r="O189" i="7"/>
  <c r="N189" i="7"/>
  <c r="L189" i="7"/>
  <c r="O188" i="7"/>
  <c r="N188" i="7"/>
  <c r="L188" i="7"/>
  <c r="O187" i="7"/>
  <c r="N187" i="7"/>
  <c r="L187" i="7"/>
  <c r="O186" i="7"/>
  <c r="N186" i="7"/>
  <c r="L186" i="7"/>
  <c r="O185" i="7"/>
  <c r="N185" i="7"/>
  <c r="L185" i="7"/>
  <c r="O184" i="7"/>
  <c r="N184" i="7"/>
  <c r="L184" i="7"/>
  <c r="O183" i="7"/>
  <c r="N183" i="7"/>
  <c r="L183" i="7"/>
  <c r="O182" i="7"/>
  <c r="N182" i="7"/>
  <c r="L182" i="7"/>
  <c r="O181" i="7"/>
  <c r="N181" i="7"/>
  <c r="L181" i="7"/>
  <c r="O180" i="7"/>
  <c r="N180" i="7"/>
  <c r="L180" i="7"/>
  <c r="O179" i="7"/>
  <c r="N179" i="7"/>
  <c r="L179" i="7"/>
  <c r="O178" i="7"/>
  <c r="N178" i="7"/>
  <c r="L178" i="7"/>
  <c r="O177" i="7"/>
  <c r="N177" i="7"/>
  <c r="L177" i="7"/>
  <c r="O176" i="7"/>
  <c r="N176" i="7"/>
  <c r="L176" i="7"/>
  <c r="O175" i="7"/>
  <c r="N175" i="7"/>
  <c r="L175" i="7"/>
  <c r="O174" i="7"/>
  <c r="N174" i="7"/>
  <c r="L174" i="7"/>
  <c r="O173" i="7"/>
  <c r="N173" i="7"/>
  <c r="L173" i="7"/>
  <c r="O172" i="7"/>
  <c r="N172" i="7"/>
  <c r="L172" i="7"/>
  <c r="O171" i="7"/>
  <c r="N171" i="7"/>
  <c r="L171" i="7"/>
  <c r="O170" i="7"/>
  <c r="N170" i="7"/>
  <c r="L170" i="7"/>
  <c r="O169" i="7"/>
  <c r="N169" i="7"/>
  <c r="L169" i="7"/>
  <c r="O168" i="7"/>
  <c r="N168" i="7"/>
  <c r="L168" i="7"/>
  <c r="O167" i="7"/>
  <c r="N167" i="7"/>
  <c r="L167" i="7"/>
  <c r="O166" i="7"/>
  <c r="N166" i="7"/>
  <c r="L166" i="7"/>
  <c r="O165" i="7"/>
  <c r="N165" i="7"/>
  <c r="L165" i="7"/>
  <c r="O164" i="7"/>
  <c r="N164" i="7"/>
  <c r="L164" i="7"/>
  <c r="O163" i="7"/>
  <c r="N163" i="7"/>
  <c r="L163" i="7"/>
  <c r="O162" i="7"/>
  <c r="N162" i="7"/>
  <c r="L162" i="7"/>
  <c r="O161" i="7"/>
  <c r="N161" i="7"/>
  <c r="L161" i="7"/>
  <c r="O160" i="7"/>
  <c r="N160" i="7"/>
  <c r="L160" i="7"/>
  <c r="O159" i="7"/>
  <c r="N159" i="7"/>
  <c r="L159" i="7"/>
  <c r="O158" i="7"/>
  <c r="N158" i="7"/>
  <c r="L158" i="7"/>
  <c r="O157" i="7"/>
  <c r="N157" i="7"/>
  <c r="L157" i="7"/>
  <c r="O156" i="7"/>
  <c r="N156" i="7"/>
  <c r="L156" i="7"/>
  <c r="O155" i="7"/>
  <c r="N155" i="7"/>
  <c r="L155" i="7"/>
  <c r="O154" i="7"/>
  <c r="N154" i="7"/>
  <c r="L154" i="7"/>
  <c r="O153" i="7"/>
  <c r="N153" i="7"/>
  <c r="L153" i="7"/>
  <c r="O152" i="7"/>
  <c r="N152" i="7"/>
  <c r="L152" i="7"/>
  <c r="O151" i="7"/>
  <c r="N151" i="7"/>
  <c r="L151" i="7"/>
  <c r="O150" i="7"/>
  <c r="N150" i="7"/>
  <c r="L150" i="7"/>
  <c r="O149" i="7"/>
  <c r="N149" i="7"/>
  <c r="L149" i="7"/>
  <c r="M149" i="7" s="1"/>
  <c r="O148" i="7"/>
  <c r="N148" i="7"/>
  <c r="L148" i="7"/>
  <c r="O147" i="7"/>
  <c r="N147" i="7"/>
  <c r="L147" i="7"/>
  <c r="O146" i="7"/>
  <c r="N146" i="7"/>
  <c r="L146" i="7"/>
  <c r="O145" i="7"/>
  <c r="N145" i="7"/>
  <c r="L145" i="7"/>
  <c r="O144" i="7"/>
  <c r="N144" i="7"/>
  <c r="L144" i="7"/>
  <c r="O143" i="7"/>
  <c r="N143" i="7"/>
  <c r="L143" i="7"/>
  <c r="O142" i="7"/>
  <c r="N142" i="7"/>
  <c r="L142" i="7"/>
  <c r="O141" i="7"/>
  <c r="N141" i="7"/>
  <c r="L141" i="7"/>
  <c r="O140" i="7"/>
  <c r="N140" i="7"/>
  <c r="L140" i="7"/>
  <c r="O139" i="7"/>
  <c r="N139" i="7"/>
  <c r="L139" i="7"/>
  <c r="O138" i="7"/>
  <c r="N138" i="7"/>
  <c r="L138" i="7"/>
  <c r="O137" i="7"/>
  <c r="N137" i="7"/>
  <c r="L137" i="7"/>
  <c r="O136" i="7"/>
  <c r="N136" i="7"/>
  <c r="L136" i="7"/>
  <c r="O135" i="7"/>
  <c r="N135" i="7"/>
  <c r="L135" i="7"/>
  <c r="O134" i="7"/>
  <c r="N134" i="7"/>
  <c r="L134" i="7"/>
  <c r="O133" i="7"/>
  <c r="N133" i="7"/>
  <c r="L133" i="7"/>
  <c r="O132" i="7"/>
  <c r="N132" i="7"/>
  <c r="L132" i="7"/>
  <c r="O131" i="7"/>
  <c r="N131" i="7"/>
  <c r="L131" i="7"/>
  <c r="O130" i="7"/>
  <c r="N130" i="7"/>
  <c r="L130" i="7"/>
  <c r="O129" i="7"/>
  <c r="N129" i="7"/>
  <c r="L129" i="7"/>
  <c r="O128" i="7"/>
  <c r="N128" i="7"/>
  <c r="L128" i="7"/>
  <c r="O127" i="7"/>
  <c r="N127" i="7"/>
  <c r="L127" i="7"/>
  <c r="O126" i="7"/>
  <c r="N126" i="7"/>
  <c r="L126" i="7"/>
  <c r="O125" i="7"/>
  <c r="N125" i="7"/>
  <c r="L125" i="7"/>
  <c r="O124" i="7"/>
  <c r="N124" i="7"/>
  <c r="L124" i="7"/>
  <c r="O123" i="7"/>
  <c r="N123" i="7"/>
  <c r="L123" i="7"/>
  <c r="O122" i="7"/>
  <c r="N122" i="7"/>
  <c r="L122" i="7"/>
  <c r="O121" i="7"/>
  <c r="N121" i="7"/>
  <c r="L121" i="7"/>
  <c r="O120" i="7"/>
  <c r="N120" i="7"/>
  <c r="L120" i="7"/>
  <c r="M120" i="7" s="1"/>
  <c r="O119" i="7"/>
  <c r="N119" i="7"/>
  <c r="L119" i="7"/>
  <c r="O118" i="7"/>
  <c r="N118" i="7"/>
  <c r="L118" i="7"/>
  <c r="O117" i="7"/>
  <c r="N117" i="7"/>
  <c r="L117" i="7"/>
  <c r="O116" i="7"/>
  <c r="N116" i="7"/>
  <c r="L116" i="7"/>
  <c r="O115" i="7"/>
  <c r="N115" i="7"/>
  <c r="L115" i="7"/>
  <c r="M115" i="7" s="1"/>
  <c r="O114" i="7"/>
  <c r="N114" i="7"/>
  <c r="L114" i="7"/>
  <c r="AL113" i="7"/>
  <c r="AL114" i="7" s="1"/>
  <c r="AK113" i="7"/>
  <c r="AK114" i="7" s="1"/>
  <c r="AJ113" i="7"/>
  <c r="AJ114" i="7" s="1"/>
  <c r="AI113" i="7"/>
  <c r="AI114" i="7" s="1"/>
  <c r="AH113" i="7"/>
  <c r="AH114" i="7" s="1"/>
  <c r="AG113" i="7"/>
  <c r="AG114" i="7" s="1"/>
  <c r="AF113" i="7"/>
  <c r="AF114" i="7" s="1"/>
  <c r="AE113" i="7"/>
  <c r="AE114" i="7" s="1"/>
  <c r="AD113" i="7"/>
  <c r="AC113" i="7"/>
  <c r="O113" i="7"/>
  <c r="N113" i="7"/>
  <c r="L113" i="7"/>
  <c r="AL112" i="7"/>
  <c r="AK112" i="7"/>
  <c r="AJ112" i="7"/>
  <c r="AI112" i="7"/>
  <c r="AH112" i="7"/>
  <c r="AG112" i="7"/>
  <c r="AF112" i="7"/>
  <c r="AE112" i="7"/>
  <c r="AD112" i="7"/>
  <c r="AC112" i="7"/>
  <c r="O112" i="7"/>
  <c r="N112" i="7"/>
  <c r="L112" i="7"/>
  <c r="AL111" i="7"/>
  <c r="AK111" i="7"/>
  <c r="AJ111" i="7"/>
  <c r="AI111" i="7"/>
  <c r="AH111" i="7"/>
  <c r="AG111" i="7"/>
  <c r="AF111" i="7"/>
  <c r="AE111" i="7"/>
  <c r="AD111" i="7"/>
  <c r="AC111" i="7"/>
  <c r="O111" i="7"/>
  <c r="N111" i="7"/>
  <c r="L111" i="7"/>
  <c r="M111" i="7" s="1"/>
  <c r="O110" i="7"/>
  <c r="N110" i="7"/>
  <c r="L110" i="7"/>
  <c r="O109" i="7"/>
  <c r="N109" i="7"/>
  <c r="L109" i="7"/>
  <c r="M109" i="7" s="1"/>
  <c r="O108" i="7"/>
  <c r="N108" i="7"/>
  <c r="L108" i="7"/>
  <c r="O107" i="7"/>
  <c r="N107" i="7"/>
  <c r="L107" i="7"/>
  <c r="O106" i="7"/>
  <c r="N106" i="7"/>
  <c r="L106" i="7"/>
  <c r="M106" i="7" s="1"/>
  <c r="O105" i="7"/>
  <c r="N105" i="7"/>
  <c r="L105" i="7"/>
  <c r="O104" i="7"/>
  <c r="N104" i="7"/>
  <c r="L104" i="7"/>
  <c r="O103" i="7"/>
  <c r="N103" i="7"/>
  <c r="L103" i="7"/>
  <c r="O102" i="7"/>
  <c r="N102" i="7"/>
  <c r="L102" i="7"/>
  <c r="O101" i="7"/>
  <c r="N101" i="7"/>
  <c r="L101" i="7"/>
  <c r="O100" i="7"/>
  <c r="N100" i="7"/>
  <c r="L100" i="7"/>
  <c r="O99" i="7"/>
  <c r="N99" i="7"/>
  <c r="L99" i="7"/>
  <c r="O98" i="7"/>
  <c r="N98" i="7"/>
  <c r="L98" i="7"/>
  <c r="O97" i="7"/>
  <c r="N97" i="7"/>
  <c r="L97" i="7"/>
  <c r="M97" i="7" s="1"/>
  <c r="O96" i="7"/>
  <c r="N96" i="7"/>
  <c r="L96" i="7"/>
  <c r="O95" i="7"/>
  <c r="N95" i="7"/>
  <c r="L95" i="7"/>
  <c r="O94" i="7"/>
  <c r="N94" i="7"/>
  <c r="L94" i="7"/>
  <c r="M94" i="7" s="1"/>
  <c r="O93" i="7"/>
  <c r="N93" i="7"/>
  <c r="L93" i="7"/>
  <c r="O92" i="7"/>
  <c r="N92" i="7"/>
  <c r="L92" i="7"/>
  <c r="M92" i="7" s="1"/>
  <c r="O91" i="7"/>
  <c r="N91" i="7"/>
  <c r="L91" i="7"/>
  <c r="M91" i="7" s="1"/>
  <c r="O90" i="7"/>
  <c r="N90" i="7"/>
  <c r="L90" i="7"/>
  <c r="O89" i="7"/>
  <c r="N89" i="7"/>
  <c r="L89" i="7"/>
  <c r="M89" i="7" s="1"/>
  <c r="O88" i="7"/>
  <c r="N88" i="7"/>
  <c r="L88" i="7"/>
  <c r="O87" i="7"/>
  <c r="N87" i="7"/>
  <c r="L87" i="7"/>
  <c r="M87" i="7" s="1"/>
  <c r="O86" i="7"/>
  <c r="N86" i="7"/>
  <c r="L86" i="7"/>
  <c r="O85" i="7"/>
  <c r="N85" i="7"/>
  <c r="L85" i="7"/>
  <c r="O84" i="7"/>
  <c r="N84" i="7"/>
  <c r="L84" i="7"/>
  <c r="O83" i="7"/>
  <c r="N83" i="7"/>
  <c r="L83" i="7"/>
  <c r="M83" i="7" s="1"/>
  <c r="O82" i="7"/>
  <c r="N82" i="7"/>
  <c r="L82" i="7"/>
  <c r="M82" i="7" s="1"/>
  <c r="O81" i="7"/>
  <c r="N81" i="7"/>
  <c r="L81" i="7"/>
  <c r="M81" i="7" s="1"/>
  <c r="O80" i="7"/>
  <c r="N80" i="7"/>
  <c r="L80" i="7"/>
  <c r="O79" i="7"/>
  <c r="N79" i="7"/>
  <c r="L79" i="7"/>
  <c r="M79" i="7" s="1"/>
  <c r="O78" i="7"/>
  <c r="N78" i="7"/>
  <c r="L78" i="7"/>
  <c r="O77" i="7"/>
  <c r="N77" i="7"/>
  <c r="L77" i="7"/>
  <c r="O76" i="7"/>
  <c r="N76" i="7"/>
  <c r="L76" i="7"/>
  <c r="M76" i="7" s="1"/>
  <c r="O75" i="7"/>
  <c r="N75" i="7"/>
  <c r="L75" i="7"/>
  <c r="O74" i="7"/>
  <c r="N74" i="7"/>
  <c r="L74" i="7"/>
  <c r="O73" i="7"/>
  <c r="N73" i="7"/>
  <c r="L73" i="7"/>
  <c r="M73" i="7" s="1"/>
  <c r="O72" i="7"/>
  <c r="N72" i="7"/>
  <c r="L72" i="7"/>
  <c r="M72" i="7" s="1"/>
  <c r="O71" i="7"/>
  <c r="N71" i="7"/>
  <c r="L71" i="7"/>
  <c r="O70" i="7"/>
  <c r="N70" i="7"/>
  <c r="L70" i="7"/>
  <c r="O69" i="7"/>
  <c r="N69" i="7"/>
  <c r="L69" i="7"/>
  <c r="M69" i="7" s="1"/>
  <c r="O68" i="7"/>
  <c r="N68" i="7"/>
  <c r="L68" i="7"/>
  <c r="M68" i="7" s="1"/>
  <c r="O67" i="7"/>
  <c r="N67" i="7"/>
  <c r="L67" i="7"/>
  <c r="O66" i="7"/>
  <c r="N66" i="7"/>
  <c r="L66" i="7"/>
  <c r="O65" i="7"/>
  <c r="N65" i="7"/>
  <c r="L65" i="7"/>
  <c r="O64" i="7"/>
  <c r="N64" i="7"/>
  <c r="L64" i="7"/>
  <c r="M64" i="7" s="1"/>
  <c r="O63" i="7"/>
  <c r="N63" i="7"/>
  <c r="L63" i="7"/>
  <c r="M63" i="7" s="1"/>
  <c r="O62" i="7"/>
  <c r="N62" i="7"/>
  <c r="L62" i="7"/>
  <c r="M62" i="7" s="1"/>
  <c r="O61" i="7"/>
  <c r="N61" i="7"/>
  <c r="L61" i="7"/>
  <c r="O60" i="7"/>
  <c r="N60" i="7"/>
  <c r="L60" i="7"/>
  <c r="M60" i="7" s="1"/>
  <c r="O59" i="7"/>
  <c r="N59" i="7"/>
  <c r="L59" i="7"/>
  <c r="O58" i="7"/>
  <c r="N58" i="7"/>
  <c r="L58" i="7"/>
  <c r="O57" i="7"/>
  <c r="N57" i="7"/>
  <c r="L57" i="7"/>
  <c r="M57" i="7" s="1"/>
  <c r="O56" i="7"/>
  <c r="N56" i="7"/>
  <c r="L56" i="7"/>
  <c r="M56" i="7" s="1"/>
  <c r="O55" i="7"/>
  <c r="N55" i="7"/>
  <c r="L55" i="7"/>
  <c r="O54" i="7"/>
  <c r="N54" i="7"/>
  <c r="L54" i="7"/>
  <c r="M54" i="7" s="1"/>
  <c r="O53" i="7"/>
  <c r="N53" i="7"/>
  <c r="L53" i="7"/>
  <c r="O52" i="7"/>
  <c r="N52" i="7"/>
  <c r="L52" i="7"/>
  <c r="M52" i="7" s="1"/>
  <c r="O51" i="7"/>
  <c r="N51" i="7"/>
  <c r="L51" i="7"/>
  <c r="O50" i="7"/>
  <c r="N50" i="7"/>
  <c r="L50" i="7"/>
  <c r="M50" i="7" s="1"/>
  <c r="O49" i="7"/>
  <c r="N49" i="7"/>
  <c r="L49" i="7"/>
  <c r="O48" i="7"/>
  <c r="N48" i="7"/>
  <c r="L48" i="7"/>
  <c r="M48" i="7" s="1"/>
  <c r="O47" i="7"/>
  <c r="N47" i="7"/>
  <c r="L47" i="7"/>
  <c r="O46" i="7"/>
  <c r="N46" i="7"/>
  <c r="L46" i="7"/>
  <c r="O45" i="7"/>
  <c r="N45" i="7"/>
  <c r="L45" i="7"/>
  <c r="O44" i="7"/>
  <c r="N44" i="7"/>
  <c r="L44" i="7"/>
  <c r="M44" i="7" s="1"/>
  <c r="O43" i="7"/>
  <c r="N43" i="7"/>
  <c r="L43" i="7"/>
  <c r="O42" i="7"/>
  <c r="N42" i="7"/>
  <c r="L42" i="7"/>
  <c r="O41" i="7"/>
  <c r="N41" i="7"/>
  <c r="L41" i="7"/>
  <c r="M41" i="7" s="1"/>
  <c r="O40" i="7"/>
  <c r="N40" i="7"/>
  <c r="L40" i="7"/>
  <c r="M40" i="7" s="1"/>
  <c r="O39" i="7"/>
  <c r="N39" i="7"/>
  <c r="L39" i="7"/>
  <c r="O38" i="7"/>
  <c r="N38" i="7"/>
  <c r="L38" i="7"/>
  <c r="O37" i="7"/>
  <c r="N37" i="7"/>
  <c r="L37" i="7"/>
  <c r="O36" i="7"/>
  <c r="N36" i="7"/>
  <c r="L36" i="7"/>
  <c r="M36" i="7" s="1"/>
  <c r="O35" i="7"/>
  <c r="N35" i="7"/>
  <c r="L35" i="7"/>
  <c r="O34" i="7"/>
  <c r="N34" i="7"/>
  <c r="L34" i="7"/>
  <c r="O33" i="7"/>
  <c r="N33" i="7"/>
  <c r="L33" i="7"/>
  <c r="M33" i="7" s="1"/>
  <c r="O32" i="7"/>
  <c r="N32" i="7"/>
  <c r="L32" i="7"/>
  <c r="M32" i="7" s="1"/>
  <c r="O31" i="7"/>
  <c r="N31" i="7"/>
  <c r="L31" i="7"/>
  <c r="O30" i="7"/>
  <c r="N30" i="7"/>
  <c r="L30" i="7"/>
  <c r="O29" i="7"/>
  <c r="N29" i="7"/>
  <c r="L29" i="7"/>
  <c r="O28" i="7"/>
  <c r="N28" i="7"/>
  <c r="L28" i="7"/>
  <c r="M28" i="7" s="1"/>
  <c r="O27" i="7"/>
  <c r="N27" i="7"/>
  <c r="L27" i="7"/>
  <c r="O26" i="7"/>
  <c r="N26" i="7"/>
  <c r="L26" i="7"/>
  <c r="M26" i="7" s="1"/>
  <c r="O25" i="7"/>
  <c r="N25" i="7"/>
  <c r="L25" i="7"/>
  <c r="M25" i="7" s="1"/>
  <c r="O24" i="7"/>
  <c r="N24" i="7"/>
  <c r="L24" i="7"/>
  <c r="M24" i="7" s="1"/>
  <c r="O23" i="7"/>
  <c r="N23" i="7"/>
  <c r="L23" i="7"/>
  <c r="M23" i="7" s="1"/>
  <c r="O22" i="7"/>
  <c r="N22" i="7"/>
  <c r="L22" i="7"/>
  <c r="M22" i="7" s="1"/>
  <c r="O21" i="7"/>
  <c r="N21" i="7"/>
  <c r="L21" i="7"/>
  <c r="O20" i="7"/>
  <c r="N20" i="7"/>
  <c r="L20" i="7"/>
  <c r="M20" i="7" s="1"/>
  <c r="O19" i="7"/>
  <c r="N19" i="7"/>
  <c r="L19" i="7"/>
  <c r="O18" i="7"/>
  <c r="N18" i="7"/>
  <c r="L18" i="7"/>
  <c r="M18" i="7" s="1"/>
  <c r="F18" i="7"/>
  <c r="O17" i="7"/>
  <c r="N17" i="7"/>
  <c r="L17" i="7"/>
  <c r="O16" i="7"/>
  <c r="N16" i="7"/>
  <c r="L16" i="7"/>
  <c r="M16" i="7" s="1"/>
  <c r="O15" i="7"/>
  <c r="N15" i="7"/>
  <c r="L15" i="7"/>
  <c r="M15" i="7" s="1"/>
  <c r="O14" i="7"/>
  <c r="N14" i="7"/>
  <c r="L14" i="7"/>
  <c r="M14" i="7" s="1"/>
  <c r="O13" i="7"/>
  <c r="N13" i="7"/>
  <c r="L13" i="7"/>
  <c r="O12" i="7"/>
  <c r="N12" i="7"/>
  <c r="L12" i="7"/>
  <c r="M12" i="7" s="1"/>
  <c r="O11" i="7"/>
  <c r="N11" i="7"/>
  <c r="L11" i="7"/>
  <c r="O10" i="7"/>
  <c r="N10" i="7"/>
  <c r="L10" i="7"/>
  <c r="M10" i="7" s="1"/>
  <c r="O9" i="7"/>
  <c r="N9" i="7"/>
  <c r="L9" i="7"/>
  <c r="M9" i="7" s="1"/>
  <c r="E9" i="7"/>
  <c r="O8" i="7"/>
  <c r="N8" i="7"/>
  <c r="L8" i="7"/>
  <c r="M8" i="7" s="1"/>
  <c r="E8" i="7"/>
  <c r="O7" i="7"/>
  <c r="N7" i="7"/>
  <c r="L7" i="7"/>
  <c r="E7" i="7"/>
  <c r="O6" i="7"/>
  <c r="N6" i="7"/>
  <c r="L6" i="7"/>
  <c r="M6" i="7" s="1"/>
  <c r="E6" i="7"/>
  <c r="O5" i="7"/>
  <c r="N5" i="7"/>
  <c r="L5" i="7"/>
  <c r="M5" i="7" s="1"/>
  <c r="E5" i="7"/>
  <c r="M2" i="7"/>
  <c r="K23" i="3"/>
  <c r="O204" i="5"/>
  <c r="N204" i="5"/>
  <c r="L204" i="5"/>
  <c r="O203" i="5"/>
  <c r="N203" i="5"/>
  <c r="L203" i="5"/>
  <c r="O202" i="5"/>
  <c r="N202" i="5"/>
  <c r="L202" i="5"/>
  <c r="O201" i="5"/>
  <c r="N201" i="5"/>
  <c r="L201" i="5"/>
  <c r="O200" i="5"/>
  <c r="N200" i="5"/>
  <c r="L200" i="5"/>
  <c r="O199" i="5"/>
  <c r="N199" i="5"/>
  <c r="L199" i="5"/>
  <c r="O198" i="5"/>
  <c r="N198" i="5"/>
  <c r="L198" i="5"/>
  <c r="O197" i="5"/>
  <c r="N197" i="5"/>
  <c r="L197" i="5"/>
  <c r="O196" i="5"/>
  <c r="N196" i="5"/>
  <c r="L196" i="5"/>
  <c r="O195" i="5"/>
  <c r="N195" i="5"/>
  <c r="L195" i="5"/>
  <c r="O194" i="5"/>
  <c r="N194" i="5"/>
  <c r="L194" i="5"/>
  <c r="O193" i="5"/>
  <c r="N193" i="5"/>
  <c r="L193" i="5"/>
  <c r="O192" i="5"/>
  <c r="N192" i="5"/>
  <c r="L192" i="5"/>
  <c r="O191" i="5"/>
  <c r="N191" i="5"/>
  <c r="L191" i="5"/>
  <c r="O190" i="5"/>
  <c r="N190" i="5"/>
  <c r="L190" i="5"/>
  <c r="O189" i="5"/>
  <c r="N189" i="5"/>
  <c r="L189" i="5"/>
  <c r="O188" i="5"/>
  <c r="N188" i="5"/>
  <c r="L188" i="5"/>
  <c r="O187" i="5"/>
  <c r="N187" i="5"/>
  <c r="L187" i="5"/>
  <c r="O186" i="5"/>
  <c r="N186" i="5"/>
  <c r="L186" i="5"/>
  <c r="O185" i="5"/>
  <c r="N185" i="5"/>
  <c r="L185" i="5"/>
  <c r="O184" i="5"/>
  <c r="N184" i="5"/>
  <c r="L184" i="5"/>
  <c r="O183" i="5"/>
  <c r="N183" i="5"/>
  <c r="L183" i="5"/>
  <c r="O182" i="5"/>
  <c r="N182" i="5"/>
  <c r="L182" i="5"/>
  <c r="O181" i="5"/>
  <c r="N181" i="5"/>
  <c r="L181" i="5"/>
  <c r="O180" i="5"/>
  <c r="N180" i="5"/>
  <c r="L180" i="5"/>
  <c r="O179" i="5"/>
  <c r="N179" i="5"/>
  <c r="L179" i="5"/>
  <c r="O178" i="5"/>
  <c r="N178" i="5"/>
  <c r="L178" i="5"/>
  <c r="O177" i="5"/>
  <c r="N177" i="5"/>
  <c r="L177" i="5"/>
  <c r="O176" i="5"/>
  <c r="N176" i="5"/>
  <c r="L176" i="5"/>
  <c r="O175" i="5"/>
  <c r="N175" i="5"/>
  <c r="L175" i="5"/>
  <c r="O174" i="5"/>
  <c r="N174" i="5"/>
  <c r="L174" i="5"/>
  <c r="O173" i="5"/>
  <c r="N173" i="5"/>
  <c r="L173" i="5"/>
  <c r="O172" i="5"/>
  <c r="N172" i="5"/>
  <c r="L172" i="5"/>
  <c r="O171" i="5"/>
  <c r="N171" i="5"/>
  <c r="L171" i="5"/>
  <c r="O170" i="5"/>
  <c r="N170" i="5"/>
  <c r="L170" i="5"/>
  <c r="O169" i="5"/>
  <c r="N169" i="5"/>
  <c r="L169" i="5"/>
  <c r="O168" i="5"/>
  <c r="N168" i="5"/>
  <c r="L168" i="5"/>
  <c r="O167" i="5"/>
  <c r="N167" i="5"/>
  <c r="L167" i="5"/>
  <c r="O166" i="5"/>
  <c r="N166" i="5"/>
  <c r="L166" i="5"/>
  <c r="O165" i="5"/>
  <c r="N165" i="5"/>
  <c r="L165" i="5"/>
  <c r="O164" i="5"/>
  <c r="N164" i="5"/>
  <c r="L164" i="5"/>
  <c r="O163" i="5"/>
  <c r="N163" i="5"/>
  <c r="L163" i="5"/>
  <c r="O162" i="5"/>
  <c r="N162" i="5"/>
  <c r="L162" i="5"/>
  <c r="O161" i="5"/>
  <c r="N161" i="5"/>
  <c r="L161" i="5"/>
  <c r="O160" i="5"/>
  <c r="N160" i="5"/>
  <c r="L160" i="5"/>
  <c r="O159" i="5"/>
  <c r="N159" i="5"/>
  <c r="L159" i="5"/>
  <c r="O158" i="5"/>
  <c r="N158" i="5"/>
  <c r="L158" i="5"/>
  <c r="O157" i="5"/>
  <c r="N157" i="5"/>
  <c r="L157" i="5"/>
  <c r="O156" i="5"/>
  <c r="N156" i="5"/>
  <c r="L156" i="5"/>
  <c r="O155" i="5"/>
  <c r="N155" i="5"/>
  <c r="L155" i="5"/>
  <c r="O154" i="5"/>
  <c r="N154" i="5"/>
  <c r="L154" i="5"/>
  <c r="O153" i="5"/>
  <c r="N153" i="5"/>
  <c r="L153" i="5"/>
  <c r="O152" i="5"/>
  <c r="N152" i="5"/>
  <c r="L152" i="5"/>
  <c r="O151" i="5"/>
  <c r="N151" i="5"/>
  <c r="L151" i="5"/>
  <c r="O150" i="5"/>
  <c r="N150" i="5"/>
  <c r="L150" i="5"/>
  <c r="O149" i="5"/>
  <c r="N149" i="5"/>
  <c r="L149" i="5"/>
  <c r="O148" i="5"/>
  <c r="N148" i="5"/>
  <c r="L148" i="5"/>
  <c r="O147" i="5"/>
  <c r="N147" i="5"/>
  <c r="L147" i="5"/>
  <c r="O146" i="5"/>
  <c r="N146" i="5"/>
  <c r="L146" i="5"/>
  <c r="O145" i="5"/>
  <c r="N145" i="5"/>
  <c r="L145" i="5"/>
  <c r="O144" i="5"/>
  <c r="N144" i="5"/>
  <c r="L144" i="5"/>
  <c r="O143" i="5"/>
  <c r="N143" i="5"/>
  <c r="L143" i="5"/>
  <c r="O142" i="5"/>
  <c r="N142" i="5"/>
  <c r="L142" i="5"/>
  <c r="O141" i="5"/>
  <c r="N141" i="5"/>
  <c r="L141" i="5"/>
  <c r="M141" i="5" s="1"/>
  <c r="O140" i="5"/>
  <c r="N140" i="5"/>
  <c r="L140" i="5"/>
  <c r="O139" i="5"/>
  <c r="N139" i="5"/>
  <c r="L139" i="5"/>
  <c r="O138" i="5"/>
  <c r="N138" i="5"/>
  <c r="L138" i="5"/>
  <c r="O137" i="5"/>
  <c r="N137" i="5"/>
  <c r="L137" i="5"/>
  <c r="O136" i="5"/>
  <c r="N136" i="5"/>
  <c r="L136" i="5"/>
  <c r="O135" i="5"/>
  <c r="N135" i="5"/>
  <c r="L135" i="5"/>
  <c r="O134" i="5"/>
  <c r="N134" i="5"/>
  <c r="L134" i="5"/>
  <c r="O133" i="5"/>
  <c r="N133" i="5"/>
  <c r="L133" i="5"/>
  <c r="O132" i="5"/>
  <c r="N132" i="5"/>
  <c r="L132" i="5"/>
  <c r="O131" i="5"/>
  <c r="N131" i="5"/>
  <c r="L131" i="5"/>
  <c r="O130" i="5"/>
  <c r="N130" i="5"/>
  <c r="L130" i="5"/>
  <c r="O129" i="5"/>
  <c r="N129" i="5"/>
  <c r="L129" i="5"/>
  <c r="O128" i="5"/>
  <c r="N128" i="5"/>
  <c r="L128" i="5"/>
  <c r="O127" i="5"/>
  <c r="N127" i="5"/>
  <c r="L127" i="5"/>
  <c r="O126" i="5"/>
  <c r="N126" i="5"/>
  <c r="L126" i="5"/>
  <c r="O125" i="5"/>
  <c r="N125" i="5"/>
  <c r="L125" i="5"/>
  <c r="M125" i="5" s="1"/>
  <c r="O124" i="5"/>
  <c r="N124" i="5"/>
  <c r="L124" i="5"/>
  <c r="O123" i="5"/>
  <c r="N123" i="5"/>
  <c r="L123" i="5"/>
  <c r="O122" i="5"/>
  <c r="N122" i="5"/>
  <c r="L122" i="5"/>
  <c r="O121" i="5"/>
  <c r="N121" i="5"/>
  <c r="L121" i="5"/>
  <c r="O120" i="5"/>
  <c r="N120" i="5"/>
  <c r="L120" i="5"/>
  <c r="O119" i="5"/>
  <c r="N119" i="5"/>
  <c r="L119" i="5"/>
  <c r="O118" i="5"/>
  <c r="N118" i="5"/>
  <c r="L118" i="5"/>
  <c r="O117" i="5"/>
  <c r="N117" i="5"/>
  <c r="L117" i="5"/>
  <c r="O116" i="5"/>
  <c r="N116" i="5"/>
  <c r="L116" i="5"/>
  <c r="O115" i="5"/>
  <c r="N115" i="5"/>
  <c r="L115" i="5"/>
  <c r="O114" i="5"/>
  <c r="N114" i="5"/>
  <c r="L114" i="5"/>
  <c r="AL113" i="5"/>
  <c r="AL114" i="5" s="1"/>
  <c r="AK113" i="5"/>
  <c r="AK114" i="5" s="1"/>
  <c r="AJ113" i="5"/>
  <c r="AJ114" i="5" s="1"/>
  <c r="AI113" i="5"/>
  <c r="AI114" i="5" s="1"/>
  <c r="AH113" i="5"/>
  <c r="AG113" i="5"/>
  <c r="AG114" i="5" s="1"/>
  <c r="AF113" i="5"/>
  <c r="AF114" i="5" s="1"/>
  <c r="AE113" i="5"/>
  <c r="AE114" i="5" s="1"/>
  <c r="AD113" i="5"/>
  <c r="AD114" i="5" s="1"/>
  <c r="AC113" i="5"/>
  <c r="O113" i="5"/>
  <c r="N113" i="5"/>
  <c r="L113" i="5"/>
  <c r="M113" i="5" s="1"/>
  <c r="AL112" i="5"/>
  <c r="AK112" i="5"/>
  <c r="AJ112" i="5"/>
  <c r="AI112" i="5"/>
  <c r="AH112" i="5"/>
  <c r="AG112" i="5"/>
  <c r="AF112" i="5"/>
  <c r="AE112" i="5"/>
  <c r="AD112" i="5"/>
  <c r="AC112" i="5"/>
  <c r="O112" i="5"/>
  <c r="N112" i="5"/>
  <c r="L112" i="5"/>
  <c r="AL111" i="5"/>
  <c r="AK111" i="5"/>
  <c r="AJ111" i="5"/>
  <c r="AI111" i="5"/>
  <c r="AH111" i="5"/>
  <c r="AG111" i="5"/>
  <c r="AF111" i="5"/>
  <c r="AE111" i="5"/>
  <c r="AD111" i="5"/>
  <c r="AC111" i="5"/>
  <c r="O111" i="5"/>
  <c r="N111" i="5"/>
  <c r="L111" i="5"/>
  <c r="O110" i="5"/>
  <c r="N110" i="5"/>
  <c r="L110" i="5"/>
  <c r="M110" i="5" s="1"/>
  <c r="O109" i="5"/>
  <c r="N109" i="5"/>
  <c r="L109" i="5"/>
  <c r="M109" i="5" s="1"/>
  <c r="O108" i="5"/>
  <c r="N108" i="5"/>
  <c r="L108" i="5"/>
  <c r="O107" i="5"/>
  <c r="N107" i="5"/>
  <c r="L107" i="5"/>
  <c r="O106" i="5"/>
  <c r="N106" i="5"/>
  <c r="L106" i="5"/>
  <c r="O105" i="5"/>
  <c r="N105" i="5"/>
  <c r="L105" i="5"/>
  <c r="O104" i="5"/>
  <c r="N104" i="5"/>
  <c r="L104" i="5"/>
  <c r="M104" i="5" s="1"/>
  <c r="O103" i="5"/>
  <c r="N103" i="5"/>
  <c r="L103" i="5"/>
  <c r="O102" i="5"/>
  <c r="N102" i="5"/>
  <c r="L102" i="5"/>
  <c r="O101" i="5"/>
  <c r="N101" i="5"/>
  <c r="L101" i="5"/>
  <c r="O100" i="5"/>
  <c r="N100" i="5"/>
  <c r="L100" i="5"/>
  <c r="O99" i="5"/>
  <c r="N99" i="5"/>
  <c r="L99" i="5"/>
  <c r="O98" i="5"/>
  <c r="N98" i="5"/>
  <c r="L98" i="5"/>
  <c r="O97" i="5"/>
  <c r="N97" i="5"/>
  <c r="L97" i="5"/>
  <c r="O96" i="5"/>
  <c r="N96" i="5"/>
  <c r="L96" i="5"/>
  <c r="O95" i="5"/>
  <c r="N95" i="5"/>
  <c r="L95" i="5"/>
  <c r="O94" i="5"/>
  <c r="N94" i="5"/>
  <c r="L94" i="5"/>
  <c r="O93" i="5"/>
  <c r="N93" i="5"/>
  <c r="L93" i="5"/>
  <c r="M93" i="5" s="1"/>
  <c r="O92" i="5"/>
  <c r="N92" i="5"/>
  <c r="L92" i="5"/>
  <c r="O91" i="5"/>
  <c r="N91" i="5"/>
  <c r="L91" i="5"/>
  <c r="O90" i="5"/>
  <c r="N90" i="5"/>
  <c r="L90" i="5"/>
  <c r="O89" i="5"/>
  <c r="N89" i="5"/>
  <c r="L89" i="5"/>
  <c r="O88" i="5"/>
  <c r="N88" i="5"/>
  <c r="L88" i="5"/>
  <c r="O87" i="5"/>
  <c r="N87" i="5"/>
  <c r="L87" i="5"/>
  <c r="O86" i="5"/>
  <c r="N86" i="5"/>
  <c r="L86" i="5"/>
  <c r="O85" i="5"/>
  <c r="N85" i="5"/>
  <c r="L85" i="5"/>
  <c r="O84" i="5"/>
  <c r="N84" i="5"/>
  <c r="L84" i="5"/>
  <c r="O83" i="5"/>
  <c r="N83" i="5"/>
  <c r="L83" i="5"/>
  <c r="O82" i="5"/>
  <c r="N82" i="5"/>
  <c r="L82" i="5"/>
  <c r="O81" i="5"/>
  <c r="N81" i="5"/>
  <c r="L81" i="5"/>
  <c r="M81" i="5" s="1"/>
  <c r="O80" i="5"/>
  <c r="N80" i="5"/>
  <c r="L80" i="5"/>
  <c r="M80" i="5" s="1"/>
  <c r="O79" i="5"/>
  <c r="N79" i="5"/>
  <c r="L79" i="5"/>
  <c r="O78" i="5"/>
  <c r="N78" i="5"/>
  <c r="L78" i="5"/>
  <c r="M78" i="5" s="1"/>
  <c r="O77" i="5"/>
  <c r="N77" i="5"/>
  <c r="L77" i="5"/>
  <c r="O76" i="5"/>
  <c r="N76" i="5"/>
  <c r="L76" i="5"/>
  <c r="O75" i="5"/>
  <c r="N75" i="5"/>
  <c r="L75" i="5"/>
  <c r="O74" i="5"/>
  <c r="N74" i="5"/>
  <c r="L74" i="5"/>
  <c r="O73" i="5"/>
  <c r="N73" i="5"/>
  <c r="L73" i="5"/>
  <c r="O72" i="5"/>
  <c r="N72" i="5"/>
  <c r="L72" i="5"/>
  <c r="O71" i="5"/>
  <c r="N71" i="5"/>
  <c r="L71" i="5"/>
  <c r="O70" i="5"/>
  <c r="N70" i="5"/>
  <c r="L70" i="5"/>
  <c r="O69" i="5"/>
  <c r="N69" i="5"/>
  <c r="L69" i="5"/>
  <c r="O68" i="5"/>
  <c r="N68" i="5"/>
  <c r="L68" i="5"/>
  <c r="M68" i="5" s="1"/>
  <c r="O67" i="5"/>
  <c r="N67" i="5"/>
  <c r="L67" i="5"/>
  <c r="O66" i="5"/>
  <c r="N66" i="5"/>
  <c r="L66" i="5"/>
  <c r="O65" i="5"/>
  <c r="N65" i="5"/>
  <c r="L65" i="5"/>
  <c r="M65" i="5" s="1"/>
  <c r="O64" i="5"/>
  <c r="N64" i="5"/>
  <c r="L64" i="5"/>
  <c r="M64" i="5" s="1"/>
  <c r="O63" i="5"/>
  <c r="N63" i="5"/>
  <c r="L63" i="5"/>
  <c r="O62" i="5"/>
  <c r="N62" i="5"/>
  <c r="L62" i="5"/>
  <c r="O61" i="5"/>
  <c r="N61" i="5"/>
  <c r="L61" i="5"/>
  <c r="O60" i="5"/>
  <c r="N60" i="5"/>
  <c r="L60" i="5"/>
  <c r="O59" i="5"/>
  <c r="N59" i="5"/>
  <c r="L59" i="5"/>
  <c r="O58" i="5"/>
  <c r="N58" i="5"/>
  <c r="L58" i="5"/>
  <c r="M58" i="5" s="1"/>
  <c r="O57" i="5"/>
  <c r="N57" i="5"/>
  <c r="L57" i="5"/>
  <c r="M57" i="5" s="1"/>
  <c r="O56" i="5"/>
  <c r="N56" i="5"/>
  <c r="L56" i="5"/>
  <c r="O55" i="5"/>
  <c r="N55" i="5"/>
  <c r="L55" i="5"/>
  <c r="O54" i="5"/>
  <c r="N54" i="5"/>
  <c r="L54" i="5"/>
  <c r="O53" i="5"/>
  <c r="N53" i="5"/>
  <c r="L53" i="5"/>
  <c r="O52" i="5"/>
  <c r="N52" i="5"/>
  <c r="L52" i="5"/>
  <c r="M52" i="5" s="1"/>
  <c r="O51" i="5"/>
  <c r="N51" i="5"/>
  <c r="L51" i="5"/>
  <c r="M51" i="5" s="1"/>
  <c r="O50" i="5"/>
  <c r="N50" i="5"/>
  <c r="L50" i="5"/>
  <c r="O49" i="5"/>
  <c r="N49" i="5"/>
  <c r="L49" i="5"/>
  <c r="M49" i="5" s="1"/>
  <c r="O48" i="5"/>
  <c r="N48" i="5"/>
  <c r="L48" i="5"/>
  <c r="O47" i="5"/>
  <c r="N47" i="5"/>
  <c r="L47" i="5"/>
  <c r="O46" i="5"/>
  <c r="N46" i="5"/>
  <c r="L46" i="5"/>
  <c r="O45" i="5"/>
  <c r="N45" i="5"/>
  <c r="L45" i="5"/>
  <c r="M45" i="5" s="1"/>
  <c r="O44" i="5"/>
  <c r="N44" i="5"/>
  <c r="L44" i="5"/>
  <c r="O43" i="5"/>
  <c r="N43" i="5"/>
  <c r="L43" i="5"/>
  <c r="O42" i="5"/>
  <c r="N42" i="5"/>
  <c r="L42" i="5"/>
  <c r="O41" i="5"/>
  <c r="N41" i="5"/>
  <c r="L41" i="5"/>
  <c r="O40" i="5"/>
  <c r="N40" i="5"/>
  <c r="L40" i="5"/>
  <c r="O39" i="5"/>
  <c r="N39" i="5"/>
  <c r="L39" i="5"/>
  <c r="O38" i="5"/>
  <c r="N38" i="5"/>
  <c r="L38" i="5"/>
  <c r="O37" i="5"/>
  <c r="N37" i="5"/>
  <c r="L37" i="5"/>
  <c r="O36" i="5"/>
  <c r="N36" i="5"/>
  <c r="L36" i="5"/>
  <c r="M36" i="5" s="1"/>
  <c r="O35" i="5"/>
  <c r="N35" i="5"/>
  <c r="L35" i="5"/>
  <c r="O34" i="5"/>
  <c r="N34" i="5"/>
  <c r="L34" i="5"/>
  <c r="O33" i="5"/>
  <c r="N33" i="5"/>
  <c r="L33" i="5"/>
  <c r="O32" i="5"/>
  <c r="N32" i="5"/>
  <c r="L32" i="5"/>
  <c r="M32" i="5" s="1"/>
  <c r="O31" i="5"/>
  <c r="N31" i="5"/>
  <c r="L31" i="5"/>
  <c r="M31" i="5" s="1"/>
  <c r="O30" i="5"/>
  <c r="N30" i="5"/>
  <c r="L30" i="5"/>
  <c r="M30" i="5" s="1"/>
  <c r="O29" i="5"/>
  <c r="N29" i="5"/>
  <c r="L29" i="5"/>
  <c r="O28" i="5"/>
  <c r="N28" i="5"/>
  <c r="L28" i="5"/>
  <c r="O27" i="5"/>
  <c r="N27" i="5"/>
  <c r="L27" i="5"/>
  <c r="O26" i="5"/>
  <c r="N26" i="5"/>
  <c r="L26" i="5"/>
  <c r="M26" i="5" s="1"/>
  <c r="O25" i="5"/>
  <c r="N25" i="5"/>
  <c r="L25" i="5"/>
  <c r="M25" i="5" s="1"/>
  <c r="O24" i="5"/>
  <c r="N24" i="5"/>
  <c r="L24" i="5"/>
  <c r="M24" i="5" s="1"/>
  <c r="O23" i="5"/>
  <c r="N23" i="5"/>
  <c r="L23" i="5"/>
  <c r="O22" i="5"/>
  <c r="N22" i="5"/>
  <c r="L22" i="5"/>
  <c r="O21" i="5"/>
  <c r="N21" i="5"/>
  <c r="L21" i="5"/>
  <c r="O20" i="5"/>
  <c r="N20" i="5"/>
  <c r="L20" i="5"/>
  <c r="O19" i="5"/>
  <c r="N19" i="5"/>
  <c r="L19" i="5"/>
  <c r="O18" i="5"/>
  <c r="N18" i="5"/>
  <c r="L18" i="5"/>
  <c r="F18" i="5"/>
  <c r="O17" i="5"/>
  <c r="N17" i="5"/>
  <c r="L17" i="5"/>
  <c r="O16" i="5"/>
  <c r="N16" i="5"/>
  <c r="L16" i="5"/>
  <c r="O15" i="5"/>
  <c r="N15" i="5"/>
  <c r="L15" i="5"/>
  <c r="M15" i="5" s="1"/>
  <c r="O14" i="5"/>
  <c r="N14" i="5"/>
  <c r="L14" i="5"/>
  <c r="O13" i="5"/>
  <c r="N13" i="5"/>
  <c r="L13" i="5"/>
  <c r="O12" i="5"/>
  <c r="N12" i="5"/>
  <c r="L12" i="5"/>
  <c r="O11" i="5"/>
  <c r="N11" i="5"/>
  <c r="L11" i="5"/>
  <c r="O10" i="5"/>
  <c r="N10" i="5"/>
  <c r="L10" i="5"/>
  <c r="M10" i="5" s="1"/>
  <c r="O9" i="5"/>
  <c r="N9" i="5"/>
  <c r="L9" i="5"/>
  <c r="M9" i="5" s="1"/>
  <c r="E9" i="5"/>
  <c r="O8" i="5"/>
  <c r="N8" i="5"/>
  <c r="L8" i="5"/>
  <c r="E8" i="5"/>
  <c r="O7" i="5"/>
  <c r="N7" i="5"/>
  <c r="L7" i="5"/>
  <c r="E7" i="5"/>
  <c r="O6" i="5"/>
  <c r="N6" i="5"/>
  <c r="L6" i="5"/>
  <c r="M6" i="5" s="1"/>
  <c r="E6" i="5"/>
  <c r="O5" i="5"/>
  <c r="N5" i="5"/>
  <c r="L5" i="5"/>
  <c r="M5" i="5" s="1"/>
  <c r="E5" i="5"/>
  <c r="M2" i="5"/>
  <c r="AC113" i="1"/>
  <c r="AC114" i="1" s="1"/>
  <c r="AD113" i="1"/>
  <c r="AD114" i="1" s="1"/>
  <c r="AE113" i="1"/>
  <c r="AE114" i="1" s="1"/>
  <c r="AF113" i="1"/>
  <c r="AF114" i="1" s="1"/>
  <c r="AG113" i="1"/>
  <c r="AG114" i="1" s="1"/>
  <c r="AH113" i="1"/>
  <c r="AH114" i="1" s="1"/>
  <c r="AI113" i="1"/>
  <c r="AI114" i="1" s="1"/>
  <c r="AJ113" i="1"/>
  <c r="AJ114" i="1" s="1"/>
  <c r="AK113" i="1"/>
  <c r="AK114" i="1" s="1"/>
  <c r="AB113" i="1"/>
  <c r="AB114" i="1" s="1"/>
  <c r="P54" i="7" l="1"/>
  <c r="P70" i="7"/>
  <c r="P86" i="7"/>
  <c r="P124" i="7"/>
  <c r="P140" i="7"/>
  <c r="P172" i="7"/>
  <c r="P188" i="7"/>
  <c r="AL116" i="7"/>
  <c r="P64" i="7"/>
  <c r="Q64" i="7" s="1"/>
  <c r="R64" i="7" s="1"/>
  <c r="S64" i="7" s="1"/>
  <c r="P80" i="7"/>
  <c r="Q54" i="7"/>
  <c r="R54" i="7" s="1"/>
  <c r="S54" i="7" s="1"/>
  <c r="P116" i="7"/>
  <c r="P30" i="7"/>
  <c r="P78" i="7"/>
  <c r="P110" i="7"/>
  <c r="P35" i="7"/>
  <c r="P61" i="7"/>
  <c r="P20" i="7"/>
  <c r="P204" i="7"/>
  <c r="P150" i="7"/>
  <c r="P166" i="7"/>
  <c r="P25" i="7"/>
  <c r="Q25" i="7" s="1"/>
  <c r="R25" i="7" s="1"/>
  <c r="V25" i="7" s="1"/>
  <c r="P182" i="7"/>
  <c r="P126" i="7"/>
  <c r="P142" i="7"/>
  <c r="P158" i="7"/>
  <c r="P174" i="7"/>
  <c r="P190" i="7"/>
  <c r="P51" i="7"/>
  <c r="P67" i="7"/>
  <c r="P83" i="7"/>
  <c r="P11" i="7"/>
  <c r="P32" i="7"/>
  <c r="Q32" i="7" s="1"/>
  <c r="P48" i="7"/>
  <c r="Q48" i="7" s="1"/>
  <c r="P198" i="7"/>
  <c r="P178" i="7"/>
  <c r="P184" i="7"/>
  <c r="P99" i="7"/>
  <c r="P41" i="7"/>
  <c r="Q41" i="7" s="1"/>
  <c r="P28" i="7"/>
  <c r="P103" i="7"/>
  <c r="P125" i="7"/>
  <c r="P5" i="7"/>
  <c r="P46" i="7"/>
  <c r="P132" i="7"/>
  <c r="P148" i="7"/>
  <c r="P164" i="7"/>
  <c r="P196" i="7"/>
  <c r="P73" i="7"/>
  <c r="Q73" i="7" s="1"/>
  <c r="P89" i="7"/>
  <c r="Q89" i="7" s="1"/>
  <c r="P27" i="7"/>
  <c r="P49" i="7"/>
  <c r="P65" i="7"/>
  <c r="P81" i="7"/>
  <c r="P97" i="7"/>
  <c r="P98" i="7"/>
  <c r="P40" i="7"/>
  <c r="P56" i="7"/>
  <c r="P72" i="7"/>
  <c r="P109" i="7"/>
  <c r="P115" i="7"/>
  <c r="P94" i="7"/>
  <c r="P121" i="7"/>
  <c r="P137" i="7"/>
  <c r="P153" i="7"/>
  <c r="P16" i="7"/>
  <c r="Q16" i="7" s="1"/>
  <c r="P37" i="7"/>
  <c r="P53" i="7"/>
  <c r="P69" i="7"/>
  <c r="Q69" i="7" s="1"/>
  <c r="P85" i="7"/>
  <c r="P101" i="7"/>
  <c r="P192" i="7"/>
  <c r="M29" i="7"/>
  <c r="P107" i="7"/>
  <c r="P129" i="7"/>
  <c r="P12" i="7"/>
  <c r="P75" i="7"/>
  <c r="P91" i="7"/>
  <c r="Q91" i="7" s="1"/>
  <c r="P139" i="7"/>
  <c r="P8" i="7"/>
  <c r="P13" i="7"/>
  <c r="P18" i="7"/>
  <c r="Q18" i="7" s="1"/>
  <c r="P34" i="7"/>
  <c r="P130" i="7"/>
  <c r="P146" i="7"/>
  <c r="P149" i="7"/>
  <c r="M86" i="7"/>
  <c r="P173" i="7"/>
  <c r="M193" i="7"/>
  <c r="P138" i="7"/>
  <c r="P154" i="7"/>
  <c r="P202" i="7"/>
  <c r="P7" i="7"/>
  <c r="P134" i="7"/>
  <c r="P39" i="7"/>
  <c r="P71" i="7"/>
  <c r="P87" i="7"/>
  <c r="P6" i="7"/>
  <c r="Q6" i="7" s="1"/>
  <c r="P26" i="7"/>
  <c r="Q26" i="7" s="1"/>
  <c r="P47" i="7"/>
  <c r="P63" i="7"/>
  <c r="P79" i="7"/>
  <c r="P95" i="7"/>
  <c r="P136" i="7"/>
  <c r="P152" i="7"/>
  <c r="P194" i="7"/>
  <c r="P42" i="7"/>
  <c r="P58" i="7"/>
  <c r="P74" i="7"/>
  <c r="P90" i="7"/>
  <c r="P106" i="7"/>
  <c r="P111" i="7"/>
  <c r="Q111" i="7" s="1"/>
  <c r="P163" i="7"/>
  <c r="P17" i="7"/>
  <c r="P22" i="7"/>
  <c r="P43" i="7"/>
  <c r="P59" i="7"/>
  <c r="P195" i="7"/>
  <c r="P185" i="7"/>
  <c r="P122" i="7"/>
  <c r="P23" i="7"/>
  <c r="P44" i="7"/>
  <c r="P60" i="7"/>
  <c r="P76" i="7"/>
  <c r="P117" i="7"/>
  <c r="P128" i="7"/>
  <c r="P170" i="7"/>
  <c r="P175" i="7"/>
  <c r="P186" i="7"/>
  <c r="P55" i="7"/>
  <c r="P82" i="7"/>
  <c r="P108" i="7"/>
  <c r="AK116" i="7"/>
  <c r="P114" i="7"/>
  <c r="P118" i="7"/>
  <c r="P160" i="7"/>
  <c r="P176" i="7"/>
  <c r="P24" i="7"/>
  <c r="P45" i="7"/>
  <c r="P88" i="7"/>
  <c r="P9" i="7"/>
  <c r="P151" i="7"/>
  <c r="P15" i="7"/>
  <c r="P31" i="7"/>
  <c r="P36" i="7"/>
  <c r="P68" i="7"/>
  <c r="P84" i="7"/>
  <c r="P105" i="7"/>
  <c r="P112" i="7"/>
  <c r="P120" i="7"/>
  <c r="Q120" i="7" s="1"/>
  <c r="P141" i="7"/>
  <c r="P157" i="7"/>
  <c r="P162" i="7"/>
  <c r="P183" i="7"/>
  <c r="P203" i="7"/>
  <c r="P135" i="7"/>
  <c r="P145" i="7"/>
  <c r="P159" i="7"/>
  <c r="P169" i="7"/>
  <c r="P155" i="7"/>
  <c r="P199" i="7"/>
  <c r="P19" i="7"/>
  <c r="P33" i="7"/>
  <c r="P52" i="7"/>
  <c r="P93" i="7"/>
  <c r="P131" i="7"/>
  <c r="P165" i="7"/>
  <c r="P180" i="7"/>
  <c r="P92" i="7"/>
  <c r="P102" i="7"/>
  <c r="P179" i="7"/>
  <c r="P189" i="7"/>
  <c r="P29" i="7"/>
  <c r="P38" i="7"/>
  <c r="P57" i="7"/>
  <c r="P62" i="7"/>
  <c r="Q62" i="7" s="1"/>
  <c r="P66" i="7"/>
  <c r="P156" i="7"/>
  <c r="P200" i="7"/>
  <c r="P96" i="7"/>
  <c r="P193" i="7"/>
  <c r="P127" i="7"/>
  <c r="P161" i="7"/>
  <c r="P147" i="7"/>
  <c r="P171" i="7"/>
  <c r="P181" i="7"/>
  <c r="P191" i="7"/>
  <c r="P21" i="7"/>
  <c r="P123" i="7"/>
  <c r="P133" i="7"/>
  <c r="P143" i="7"/>
  <c r="P167" i="7"/>
  <c r="P177" i="7"/>
  <c r="P100" i="7"/>
  <c r="P113" i="7"/>
  <c r="P187" i="7"/>
  <c r="P197" i="7"/>
  <c r="P104" i="7"/>
  <c r="P201" i="7"/>
  <c r="P50" i="7"/>
  <c r="P77" i="7"/>
  <c r="P119" i="7"/>
  <c r="P144" i="7"/>
  <c r="P168" i="7"/>
  <c r="AD114" i="7"/>
  <c r="AD116" i="7"/>
  <c r="AD115" i="7"/>
  <c r="M181" i="7"/>
  <c r="M177" i="7"/>
  <c r="Q177" i="7" s="1"/>
  <c r="M203" i="7"/>
  <c r="M171" i="7"/>
  <c r="M155" i="7"/>
  <c r="M135" i="7"/>
  <c r="M131" i="7"/>
  <c r="M100" i="7"/>
  <c r="M78" i="7"/>
  <c r="M71" i="7"/>
  <c r="M59" i="7"/>
  <c r="M55" i="7"/>
  <c r="M47" i="7"/>
  <c r="M201" i="7"/>
  <c r="M74" i="7"/>
  <c r="M84" i="7"/>
  <c r="AE116" i="7"/>
  <c r="AE115" i="7"/>
  <c r="M121" i="7"/>
  <c r="M116" i="7"/>
  <c r="M195" i="7"/>
  <c r="M167" i="7"/>
  <c r="M151" i="7"/>
  <c r="M119" i="7"/>
  <c r="M125" i="7"/>
  <c r="M90" i="7"/>
  <c r="M96" i="7"/>
  <c r="M185" i="7"/>
  <c r="M108" i="7"/>
  <c r="M88" i="7"/>
  <c r="M75" i="7"/>
  <c r="M39" i="7"/>
  <c r="M46" i="7"/>
  <c r="AF116" i="7"/>
  <c r="AF115" i="7"/>
  <c r="M145" i="7"/>
  <c r="M173" i="7"/>
  <c r="P10" i="7"/>
  <c r="P14" i="7"/>
  <c r="M37" i="7"/>
  <c r="M53" i="7"/>
  <c r="AG116" i="7"/>
  <c r="AG115" i="7"/>
  <c r="M58" i="7"/>
  <c r="AH116" i="7"/>
  <c r="AH115" i="7"/>
  <c r="M117" i="7"/>
  <c r="M141" i="7"/>
  <c r="M35" i="7"/>
  <c r="M65" i="7"/>
  <c r="M77" i="7"/>
  <c r="M98" i="7"/>
  <c r="AI116" i="7"/>
  <c r="AI115" i="7"/>
  <c r="M169" i="7"/>
  <c r="M163" i="7"/>
  <c r="M159" i="7"/>
  <c r="M147" i="7"/>
  <c r="M143" i="7"/>
  <c r="M139" i="7"/>
  <c r="M113" i="7"/>
  <c r="M67" i="7"/>
  <c r="M43" i="7"/>
  <c r="M31" i="7"/>
  <c r="M42" i="7"/>
  <c r="M70" i="7"/>
  <c r="M101" i="7"/>
  <c r="AJ116" i="7"/>
  <c r="AJ115" i="7"/>
  <c r="M137" i="7"/>
  <c r="M7" i="7"/>
  <c r="M19" i="7"/>
  <c r="M21" i="7"/>
  <c r="M27" i="7"/>
  <c r="M165" i="7"/>
  <c r="M11" i="7"/>
  <c r="M49" i="7"/>
  <c r="M104" i="7"/>
  <c r="M133" i="7"/>
  <c r="M183" i="7"/>
  <c r="M175" i="7"/>
  <c r="M110" i="7"/>
  <c r="M51" i="7"/>
  <c r="M17" i="7"/>
  <c r="M61" i="7"/>
  <c r="M85" i="7"/>
  <c r="M93" i="7"/>
  <c r="M102" i="7"/>
  <c r="M161" i="7"/>
  <c r="M13" i="7"/>
  <c r="M38" i="7"/>
  <c r="M80" i="7"/>
  <c r="M99" i="7"/>
  <c r="M34" i="7"/>
  <c r="M66" i="7"/>
  <c r="M105" i="7"/>
  <c r="M129" i="7"/>
  <c r="M157" i="7"/>
  <c r="M30" i="7"/>
  <c r="M45" i="7"/>
  <c r="M112" i="7"/>
  <c r="AC114" i="7"/>
  <c r="AC116" i="7"/>
  <c r="AC115" i="7"/>
  <c r="M158" i="7"/>
  <c r="M180" i="7"/>
  <c r="M198" i="7"/>
  <c r="M146" i="7"/>
  <c r="M174" i="7"/>
  <c r="M140" i="7"/>
  <c r="M164" i="7"/>
  <c r="M202" i="7"/>
  <c r="M138" i="7"/>
  <c r="M152" i="7"/>
  <c r="M184" i="7"/>
  <c r="M132" i="7"/>
  <c r="M178" i="7"/>
  <c r="M130" i="7"/>
  <c r="M162" i="7"/>
  <c r="M188" i="7"/>
  <c r="M103" i="7"/>
  <c r="M124" i="7"/>
  <c r="M150" i="7"/>
  <c r="M122" i="7"/>
  <c r="M153" i="7"/>
  <c r="M168" i="7"/>
  <c r="M182" i="7"/>
  <c r="M192" i="7"/>
  <c r="M156" i="7"/>
  <c r="M114" i="7"/>
  <c r="M144" i="7"/>
  <c r="M189" i="7"/>
  <c r="M196" i="7"/>
  <c r="M142" i="7"/>
  <c r="M166" i="7"/>
  <c r="M172" i="7"/>
  <c r="M186" i="7"/>
  <c r="M107" i="7"/>
  <c r="Q107" i="7" s="1"/>
  <c r="M136" i="7"/>
  <c r="M154" i="7"/>
  <c r="M200" i="7"/>
  <c r="M95" i="7"/>
  <c r="M134" i="7"/>
  <c r="M190" i="7"/>
  <c r="M204" i="7"/>
  <c r="M199" i="7"/>
  <c r="Q199" i="7" s="1"/>
  <c r="M191" i="7"/>
  <c r="M187" i="7"/>
  <c r="M179" i="7"/>
  <c r="M127" i="7"/>
  <c r="M123" i="7"/>
  <c r="M118" i="7"/>
  <c r="M128" i="7"/>
  <c r="M160" i="7"/>
  <c r="M176" i="7"/>
  <c r="M197" i="7"/>
  <c r="M126" i="7"/>
  <c r="M148" i="7"/>
  <c r="M170" i="7"/>
  <c r="M194" i="7"/>
  <c r="AK115" i="7"/>
  <c r="AL115" i="7"/>
  <c r="P142" i="5"/>
  <c r="AJ115" i="5"/>
  <c r="P30" i="5"/>
  <c r="Q30" i="5" s="1"/>
  <c r="R30" i="5" s="1"/>
  <c r="V30" i="5" s="1"/>
  <c r="P188" i="5"/>
  <c r="P94" i="5"/>
  <c r="P110" i="5"/>
  <c r="Q110" i="5" s="1"/>
  <c r="R110" i="5" s="1"/>
  <c r="V110" i="5" s="1"/>
  <c r="P70" i="5"/>
  <c r="P145" i="5"/>
  <c r="P177" i="5"/>
  <c r="P193" i="5"/>
  <c r="P12" i="5"/>
  <c r="P49" i="5"/>
  <c r="Q49" i="5" s="1"/>
  <c r="R49" i="5" s="1"/>
  <c r="V49" i="5" s="1"/>
  <c r="P76" i="5"/>
  <c r="P92" i="5"/>
  <c r="P25" i="5"/>
  <c r="Q25" i="5" s="1"/>
  <c r="R25" i="5" s="1"/>
  <c r="V25" i="5" s="1"/>
  <c r="P41" i="5"/>
  <c r="P73" i="5"/>
  <c r="P20" i="5"/>
  <c r="P36" i="5"/>
  <c r="Q36" i="5" s="1"/>
  <c r="R36" i="5" s="1"/>
  <c r="V36" i="5" s="1"/>
  <c r="AK115" i="5"/>
  <c r="P63" i="5"/>
  <c r="P29" i="5"/>
  <c r="P86" i="5"/>
  <c r="P105" i="5"/>
  <c r="P201" i="5"/>
  <c r="P108" i="5"/>
  <c r="P45" i="5"/>
  <c r="Q45" i="5" s="1"/>
  <c r="R45" i="5" s="1"/>
  <c r="V45" i="5" s="1"/>
  <c r="P61" i="5"/>
  <c r="P93" i="5"/>
  <c r="Q93" i="5" s="1"/>
  <c r="R93" i="5" s="1"/>
  <c r="V93" i="5" s="1"/>
  <c r="P141" i="5"/>
  <c r="Q141" i="5" s="1"/>
  <c r="R141" i="5" s="1"/>
  <c r="V141" i="5" s="1"/>
  <c r="P158" i="5"/>
  <c r="P174" i="5"/>
  <c r="P79" i="5"/>
  <c r="P11" i="5"/>
  <c r="P32" i="5"/>
  <c r="Q32" i="5" s="1"/>
  <c r="R32" i="5" s="1"/>
  <c r="V32" i="5" s="1"/>
  <c r="M14" i="5"/>
  <c r="M19" i="5"/>
  <c r="M35" i="5"/>
  <c r="M83" i="5"/>
  <c r="M179" i="5"/>
  <c r="P8" i="5"/>
  <c r="P179" i="5"/>
  <c r="P195" i="5"/>
  <c r="M201" i="5"/>
  <c r="P132" i="5"/>
  <c r="P148" i="5"/>
  <c r="P164" i="5"/>
  <c r="P180" i="5"/>
  <c r="P196" i="5"/>
  <c r="M90" i="5"/>
  <c r="M16" i="5"/>
  <c r="M21" i="5"/>
  <c r="P138" i="5"/>
  <c r="P154" i="5"/>
  <c r="P186" i="5"/>
  <c r="P202" i="5"/>
  <c r="M59" i="5"/>
  <c r="M171" i="5"/>
  <c r="M118" i="5"/>
  <c r="P171" i="5"/>
  <c r="P203" i="5"/>
  <c r="M43" i="5"/>
  <c r="M22" i="5"/>
  <c r="P81" i="5"/>
  <c r="Q81" i="5" s="1"/>
  <c r="R81" i="5" s="1"/>
  <c r="V81" i="5" s="1"/>
  <c r="P97" i="5"/>
  <c r="M97" i="5"/>
  <c r="M23" i="5"/>
  <c r="M39" i="5"/>
  <c r="M55" i="5"/>
  <c r="M71" i="5"/>
  <c r="M103" i="5"/>
  <c r="M27" i="5"/>
  <c r="M7" i="5"/>
  <c r="M70" i="5"/>
  <c r="M12" i="5"/>
  <c r="M33" i="5"/>
  <c r="M8" i="5"/>
  <c r="M13" i="5"/>
  <c r="M18" i="5"/>
  <c r="M34" i="5"/>
  <c r="M162" i="5"/>
  <c r="P62" i="5"/>
  <c r="P95" i="5"/>
  <c r="P6" i="5"/>
  <c r="Q6" i="5" s="1"/>
  <c r="R6" i="5" s="1"/>
  <c r="V6" i="5" s="1"/>
  <c r="P16" i="5"/>
  <c r="P21" i="5"/>
  <c r="P37" i="5"/>
  <c r="P53" i="5"/>
  <c r="P69" i="5"/>
  <c r="P85" i="5"/>
  <c r="P101" i="5"/>
  <c r="P117" i="5"/>
  <c r="P102" i="5"/>
  <c r="P150" i="5"/>
  <c r="P166" i="5"/>
  <c r="P198" i="5"/>
  <c r="P130" i="5"/>
  <c r="P146" i="5"/>
  <c r="P162" i="5"/>
  <c r="P178" i="5"/>
  <c r="P56" i="5"/>
  <c r="P173" i="5"/>
  <c r="P9" i="5"/>
  <c r="Q9" i="5" s="1"/>
  <c r="R9" i="5" s="1"/>
  <c r="V9" i="5" s="1"/>
  <c r="P14" i="5"/>
  <c r="P19" i="5"/>
  <c r="P51" i="5"/>
  <c r="Q51" i="5" s="1"/>
  <c r="R51" i="5" s="1"/>
  <c r="V51" i="5" s="1"/>
  <c r="P67" i="5"/>
  <c r="AC115" i="5"/>
  <c r="P131" i="5"/>
  <c r="P122" i="5"/>
  <c r="P133" i="5"/>
  <c r="P75" i="5"/>
  <c r="AJ116" i="5"/>
  <c r="AI115" i="5"/>
  <c r="P72" i="5"/>
  <c r="P113" i="5"/>
  <c r="Q113" i="5" s="1"/>
  <c r="R113" i="5" s="1"/>
  <c r="V113" i="5" s="1"/>
  <c r="P157" i="5"/>
  <c r="P136" i="5"/>
  <c r="P184" i="5"/>
  <c r="P200" i="5"/>
  <c r="P26" i="5"/>
  <c r="Q26" i="5" s="1"/>
  <c r="R26" i="5" s="1"/>
  <c r="V26" i="5" s="1"/>
  <c r="P31" i="5"/>
  <c r="Q31" i="5" s="1"/>
  <c r="R31" i="5" s="1"/>
  <c r="V31" i="5" s="1"/>
  <c r="P42" i="5"/>
  <c r="P58" i="5"/>
  <c r="Q58" i="5" s="1"/>
  <c r="R58" i="5" s="1"/>
  <c r="V58" i="5" s="1"/>
  <c r="P74" i="5"/>
  <c r="P90" i="5"/>
  <c r="P106" i="5"/>
  <c r="P111" i="5"/>
  <c r="P127" i="5"/>
  <c r="P143" i="5"/>
  <c r="P159" i="5"/>
  <c r="P175" i="5"/>
  <c r="P7" i="5"/>
  <c r="P64" i="5"/>
  <c r="Q64" i="5" s="1"/>
  <c r="R64" i="5" s="1"/>
  <c r="V64" i="5" s="1"/>
  <c r="P27" i="5"/>
  <c r="P59" i="5"/>
  <c r="P55" i="5"/>
  <c r="P124" i="5"/>
  <c r="P140" i="5"/>
  <c r="P156" i="5"/>
  <c r="P172" i="5"/>
  <c r="P18" i="5"/>
  <c r="P34" i="5"/>
  <c r="P50" i="5"/>
  <c r="P66" i="5"/>
  <c r="P98" i="5"/>
  <c r="P119" i="5"/>
  <c r="P135" i="5"/>
  <c r="P167" i="5"/>
  <c r="P183" i="5"/>
  <c r="P192" i="5"/>
  <c r="P89" i="5"/>
  <c r="AC116" i="5"/>
  <c r="P125" i="5"/>
  <c r="Q125" i="5" s="1"/>
  <c r="R125" i="5" s="1"/>
  <c r="V125" i="5" s="1"/>
  <c r="AE115" i="5"/>
  <c r="P28" i="5"/>
  <c r="P44" i="5"/>
  <c r="P80" i="5"/>
  <c r="Q80" i="5" s="1"/>
  <c r="R80" i="5" s="1"/>
  <c r="V80" i="5" s="1"/>
  <c r="P96" i="5"/>
  <c r="AF115" i="5"/>
  <c r="P126" i="5"/>
  <c r="P152" i="5"/>
  <c r="P161" i="5"/>
  <c r="AD116" i="5"/>
  <c r="P23" i="5"/>
  <c r="P39" i="5"/>
  <c r="P60" i="5"/>
  <c r="P91" i="5"/>
  <c r="P107" i="5"/>
  <c r="AG115" i="5"/>
  <c r="AE116" i="5"/>
  <c r="P147" i="5"/>
  <c r="P168" i="5"/>
  <c r="P189" i="5"/>
  <c r="P137" i="5"/>
  <c r="P153" i="5"/>
  <c r="P24" i="5"/>
  <c r="Q24" i="5" s="1"/>
  <c r="R24" i="5" s="1"/>
  <c r="V24" i="5" s="1"/>
  <c r="P40" i="5"/>
  <c r="P35" i="5"/>
  <c r="P185" i="5"/>
  <c r="P82" i="5"/>
  <c r="AC114" i="5"/>
  <c r="P123" i="5"/>
  <c r="P149" i="5"/>
  <c r="P191" i="5"/>
  <c r="AF116" i="5"/>
  <c r="AK116" i="5"/>
  <c r="P190" i="5"/>
  <c r="M87" i="5"/>
  <c r="AL116" i="5"/>
  <c r="P47" i="5"/>
  <c r="P52" i="5"/>
  <c r="Q52" i="5" s="1"/>
  <c r="R52" i="5" s="1"/>
  <c r="V52" i="5" s="1"/>
  <c r="P68" i="5"/>
  <c r="Q68" i="5" s="1"/>
  <c r="R68" i="5" s="1"/>
  <c r="V68" i="5" s="1"/>
  <c r="P78" i="5"/>
  <c r="Q78" i="5" s="1"/>
  <c r="R78" i="5" s="1"/>
  <c r="V78" i="5" s="1"/>
  <c r="P83" i="5"/>
  <c r="P99" i="5"/>
  <c r="P129" i="5"/>
  <c r="P155" i="5"/>
  <c r="P165" i="5"/>
  <c r="P181" i="5"/>
  <c r="P197" i="5"/>
  <c r="P121" i="5"/>
  <c r="P5" i="5"/>
  <c r="Q5" i="5" s="1"/>
  <c r="R5" i="5" s="1"/>
  <c r="V5" i="5" s="1"/>
  <c r="M62" i="5"/>
  <c r="P13" i="5"/>
  <c r="P22" i="5"/>
  <c r="P46" i="5"/>
  <c r="P104" i="5"/>
  <c r="Q104" i="5" s="1"/>
  <c r="R104" i="5" s="1"/>
  <c r="V104" i="5" s="1"/>
  <c r="P115" i="5"/>
  <c r="P118" i="5"/>
  <c r="P151" i="5"/>
  <c r="P128" i="5"/>
  <c r="P176" i="5"/>
  <c r="P10" i="5"/>
  <c r="Q10" i="5" s="1"/>
  <c r="R10" i="5" s="1"/>
  <c r="V10" i="5" s="1"/>
  <c r="P48" i="5"/>
  <c r="P57" i="5"/>
  <c r="Q57" i="5" s="1"/>
  <c r="R57" i="5" s="1"/>
  <c r="V57" i="5" s="1"/>
  <c r="P77" i="5"/>
  <c r="P116" i="5"/>
  <c r="P120" i="5"/>
  <c r="P139" i="5"/>
  <c r="P187" i="5"/>
  <c r="P100" i="5"/>
  <c r="M46" i="5"/>
  <c r="P15" i="5"/>
  <c r="Q15" i="5" s="1"/>
  <c r="R15" i="5" s="1"/>
  <c r="V15" i="5" s="1"/>
  <c r="P33" i="5"/>
  <c r="P43" i="5"/>
  <c r="P134" i="5"/>
  <c r="P163" i="5"/>
  <c r="P182" i="5"/>
  <c r="P38" i="5"/>
  <c r="P144" i="5"/>
  <c r="M112" i="5"/>
  <c r="P88" i="5"/>
  <c r="P169" i="5"/>
  <c r="P54" i="5"/>
  <c r="P114" i="5"/>
  <c r="M20" i="5"/>
  <c r="P17" i="5"/>
  <c r="P65" i="5"/>
  <c r="Q65" i="5" s="1"/>
  <c r="R65" i="5" s="1"/>
  <c r="V65" i="5" s="1"/>
  <c r="P84" i="5"/>
  <c r="P109" i="5"/>
  <c r="Q109" i="5" s="1"/>
  <c r="R109" i="5" s="1"/>
  <c r="V109" i="5" s="1"/>
  <c r="P160" i="5"/>
  <c r="P170" i="5"/>
  <c r="P194" i="5"/>
  <c r="P204" i="5"/>
  <c r="M67" i="5"/>
  <c r="M47" i="5"/>
  <c r="M128" i="5"/>
  <c r="M145" i="5"/>
  <c r="M196" i="5"/>
  <c r="M50" i="5"/>
  <c r="M129" i="5"/>
  <c r="M137" i="5"/>
  <c r="M184" i="5"/>
  <c r="AH115" i="5"/>
  <c r="M193" i="5"/>
  <c r="M197" i="5"/>
  <c r="M116" i="5"/>
  <c r="M146" i="5"/>
  <c r="M155" i="5"/>
  <c r="M163" i="5"/>
  <c r="M172" i="5"/>
  <c r="M176" i="5"/>
  <c r="M189" i="5"/>
  <c r="M135" i="5"/>
  <c r="M117" i="5"/>
  <c r="M166" i="5"/>
  <c r="M154" i="5"/>
  <c r="M123" i="5"/>
  <c r="M192" i="5"/>
  <c r="M66" i="5"/>
  <c r="M89" i="5"/>
  <c r="M99" i="5"/>
  <c r="M114" i="5"/>
  <c r="M168" i="5"/>
  <c r="M185" i="5"/>
  <c r="M73" i="5"/>
  <c r="M53" i="5"/>
  <c r="M105" i="5"/>
  <c r="M108" i="5"/>
  <c r="M111" i="5"/>
  <c r="M130" i="5"/>
  <c r="M177" i="5"/>
  <c r="M181" i="5"/>
  <c r="M188" i="5"/>
  <c r="M122" i="5"/>
  <c r="M94" i="5"/>
  <c r="M29" i="5"/>
  <c r="M48" i="5"/>
  <c r="M84" i="5"/>
  <c r="M92" i="5"/>
  <c r="M102" i="5"/>
  <c r="M120" i="5"/>
  <c r="M139" i="5"/>
  <c r="M147" i="5"/>
  <c r="M156" i="5"/>
  <c r="M160" i="5"/>
  <c r="M173" i="5"/>
  <c r="M203" i="5"/>
  <c r="M96" i="5"/>
  <c r="M76" i="5"/>
  <c r="M86" i="5"/>
  <c r="M199" i="5"/>
  <c r="M101" i="5"/>
  <c r="M202" i="5"/>
  <c r="M11" i="5"/>
  <c r="M69" i="5"/>
  <c r="M82" i="5"/>
  <c r="AI116" i="5"/>
  <c r="AH114" i="5"/>
  <c r="AH116" i="5"/>
  <c r="M183" i="5"/>
  <c r="M115" i="5"/>
  <c r="M107" i="5"/>
  <c r="M180" i="5"/>
  <c r="M148" i="5"/>
  <c r="M132" i="5"/>
  <c r="M142" i="5"/>
  <c r="M79" i="5"/>
  <c r="M191" i="5"/>
  <c r="M159" i="5"/>
  <c r="M127" i="5"/>
  <c r="M182" i="5"/>
  <c r="M186" i="5"/>
  <c r="M56" i="5"/>
  <c r="P71" i="5"/>
  <c r="P112" i="5"/>
  <c r="M152" i="5"/>
  <c r="M169" i="5"/>
  <c r="M54" i="5"/>
  <c r="M41" i="5"/>
  <c r="M17" i="5"/>
  <c r="M38" i="5"/>
  <c r="M40" i="5"/>
  <c r="M44" i="5"/>
  <c r="M61" i="5"/>
  <c r="M74" i="5"/>
  <c r="M95" i="5"/>
  <c r="M100" i="5"/>
  <c r="M124" i="5"/>
  <c r="M161" i="5"/>
  <c r="M165" i="5"/>
  <c r="P199" i="5"/>
  <c r="M42" i="5"/>
  <c r="M72" i="5"/>
  <c r="M85" i="5"/>
  <c r="P87" i="5"/>
  <c r="M98" i="5"/>
  <c r="M131" i="5"/>
  <c r="M140" i="5"/>
  <c r="M144" i="5"/>
  <c r="M157" i="5"/>
  <c r="M178" i="5"/>
  <c r="M187" i="5"/>
  <c r="M195" i="5"/>
  <c r="M204" i="5"/>
  <c r="M37" i="5"/>
  <c r="M77" i="5"/>
  <c r="M121" i="5"/>
  <c r="M200" i="5"/>
  <c r="M151" i="5"/>
  <c r="M91" i="5"/>
  <c r="M75" i="5"/>
  <c r="M164" i="5"/>
  <c r="M190" i="5"/>
  <c r="M174" i="5"/>
  <c r="M158" i="5"/>
  <c r="M126" i="5"/>
  <c r="M63" i="5"/>
  <c r="M149" i="5"/>
  <c r="M133" i="5"/>
  <c r="M175" i="5"/>
  <c r="M143" i="5"/>
  <c r="M198" i="5"/>
  <c r="M150" i="5"/>
  <c r="M134" i="5"/>
  <c r="M170" i="5"/>
  <c r="M138" i="5"/>
  <c r="M167" i="5"/>
  <c r="M119" i="5"/>
  <c r="M60" i="5"/>
  <c r="M194" i="5"/>
  <c r="M28" i="5"/>
  <c r="M88" i="5"/>
  <c r="P103" i="5"/>
  <c r="M106" i="5"/>
  <c r="M136" i="5"/>
  <c r="M153" i="5"/>
  <c r="AL115" i="5"/>
  <c r="AG116" i="5"/>
  <c r="AD115" i="5"/>
  <c r="AC112" i="1"/>
  <c r="AD112" i="1"/>
  <c r="AE112" i="1"/>
  <c r="AF112" i="1"/>
  <c r="AG112" i="1"/>
  <c r="AH112" i="1"/>
  <c r="AI112" i="1"/>
  <c r="AJ112" i="1"/>
  <c r="AK112" i="1"/>
  <c r="AB112" i="1"/>
  <c r="Q133" i="7" l="1"/>
  <c r="Q175" i="7"/>
  <c r="Q58" i="7"/>
  <c r="Q158" i="7"/>
  <c r="R158" i="7" s="1"/>
  <c r="V158" i="7" s="1"/>
  <c r="Q125" i="7"/>
  <c r="R125" i="7" s="1"/>
  <c r="V125" i="7" s="1"/>
  <c r="Q174" i="7"/>
  <c r="R174" i="7" s="1"/>
  <c r="V174" i="7" s="1"/>
  <c r="Q85" i="7"/>
  <c r="R85" i="7" s="1"/>
  <c r="V85" i="7" s="1"/>
  <c r="Q112" i="7"/>
  <c r="R112" i="7" s="1"/>
  <c r="V112" i="7" s="1"/>
  <c r="Q93" i="7"/>
  <c r="R93" i="7" s="1"/>
  <c r="S93" i="7" s="1"/>
  <c r="Q160" i="7"/>
  <c r="R160" i="7" s="1"/>
  <c r="V160" i="7" s="1"/>
  <c r="Q184" i="7"/>
  <c r="R184" i="7" s="1"/>
  <c r="V184" i="7" s="1"/>
  <c r="Q156" i="7"/>
  <c r="R156" i="7" s="1"/>
  <c r="V156" i="7" s="1"/>
  <c r="Q118" i="7"/>
  <c r="R118" i="7" s="1"/>
  <c r="S118" i="7" s="1"/>
  <c r="Q65" i="7"/>
  <c r="R65" i="7" s="1"/>
  <c r="V65" i="7" s="1"/>
  <c r="Q78" i="7"/>
  <c r="R78" i="7" s="1"/>
  <c r="V78" i="7" s="1"/>
  <c r="Q180" i="7"/>
  <c r="R180" i="7" s="1"/>
  <c r="V180" i="7" s="1"/>
  <c r="Q13" i="7"/>
  <c r="R13" i="7" s="1"/>
  <c r="S13" i="7" s="1"/>
  <c r="Q27" i="7"/>
  <c r="R27" i="7" s="1"/>
  <c r="S27" i="7" s="1"/>
  <c r="Q147" i="7"/>
  <c r="R147" i="7" s="1"/>
  <c r="S147" i="7" s="1"/>
  <c r="Q127" i="7"/>
  <c r="R127" i="7" s="1"/>
  <c r="S127" i="7" s="1"/>
  <c r="Q101" i="7"/>
  <c r="R101" i="7" s="1"/>
  <c r="V101" i="7" s="1"/>
  <c r="Q31" i="7"/>
  <c r="R31" i="7" s="1"/>
  <c r="S31" i="7" s="1"/>
  <c r="Q99" i="7"/>
  <c r="R99" i="7" s="1"/>
  <c r="V99" i="7" s="1"/>
  <c r="Q49" i="7"/>
  <c r="R49" i="7" s="1"/>
  <c r="S49" i="7" s="1"/>
  <c r="Q186" i="7"/>
  <c r="R186" i="7" s="1"/>
  <c r="V186" i="7" s="1"/>
  <c r="Q103" i="7"/>
  <c r="R103" i="7" s="1"/>
  <c r="S103" i="7" s="1"/>
  <c r="Q161" i="7"/>
  <c r="R161" i="7" s="1"/>
  <c r="V161" i="7" s="1"/>
  <c r="Q53" i="7"/>
  <c r="R53" i="7" s="1"/>
  <c r="V53" i="7" s="1"/>
  <c r="Q170" i="7"/>
  <c r="R170" i="7" s="1"/>
  <c r="V170" i="7" s="1"/>
  <c r="Q197" i="7"/>
  <c r="R197" i="7" s="1"/>
  <c r="V197" i="7" s="1"/>
  <c r="Q59" i="7"/>
  <c r="R59" i="7" s="1"/>
  <c r="S59" i="7" s="1"/>
  <c r="Q193" i="7"/>
  <c r="R193" i="7" s="1"/>
  <c r="V193" i="7" s="1"/>
  <c r="Q102" i="7"/>
  <c r="R102" i="7" s="1"/>
  <c r="V102" i="7" s="1"/>
  <c r="Q163" i="7"/>
  <c r="R163" i="7" s="1"/>
  <c r="S163" i="7" s="1"/>
  <c r="Q37" i="7"/>
  <c r="R37" i="7" s="1"/>
  <c r="V37" i="7" s="1"/>
  <c r="Q200" i="7"/>
  <c r="R200" i="7" s="1"/>
  <c r="V200" i="7" s="1"/>
  <c r="Q113" i="7"/>
  <c r="R113" i="7" s="1"/>
  <c r="S113" i="7" s="1"/>
  <c r="Q108" i="7"/>
  <c r="R108" i="7" s="1"/>
  <c r="S108" i="7" s="1"/>
  <c r="Q47" i="7"/>
  <c r="R47" i="7" s="1"/>
  <c r="S47" i="7" s="1"/>
  <c r="Q154" i="7"/>
  <c r="R154" i="7" s="1"/>
  <c r="V154" i="7" s="1"/>
  <c r="Q122" i="7"/>
  <c r="R122" i="7" s="1"/>
  <c r="V122" i="7" s="1"/>
  <c r="Q146" i="7"/>
  <c r="R146" i="7" s="1"/>
  <c r="V146" i="7" s="1"/>
  <c r="Q185" i="7"/>
  <c r="R185" i="7" s="1"/>
  <c r="V185" i="7" s="1"/>
  <c r="Q55" i="7"/>
  <c r="R55" i="7" s="1"/>
  <c r="S55" i="7" s="1"/>
  <c r="Q176" i="7"/>
  <c r="R176" i="7" s="1"/>
  <c r="S176" i="7" s="1"/>
  <c r="Q136" i="7"/>
  <c r="R136" i="7" s="1"/>
  <c r="V136" i="7" s="1"/>
  <c r="Q198" i="7"/>
  <c r="R198" i="7" s="1"/>
  <c r="S198" i="7" s="1"/>
  <c r="Q165" i="7"/>
  <c r="R165" i="7" s="1"/>
  <c r="V165" i="7" s="1"/>
  <c r="Q143" i="7"/>
  <c r="R143" i="7" s="1"/>
  <c r="S143" i="7" s="1"/>
  <c r="Q96" i="7"/>
  <c r="R96" i="7" s="1"/>
  <c r="S96" i="7" s="1"/>
  <c r="Q19" i="7"/>
  <c r="R19" i="7" s="1"/>
  <c r="V19" i="7" s="1"/>
  <c r="Q178" i="7"/>
  <c r="R178" i="7" s="1"/>
  <c r="V178" i="7" s="1"/>
  <c r="Q173" i="7"/>
  <c r="R173" i="7" s="1"/>
  <c r="V173" i="7" s="1"/>
  <c r="Q195" i="7"/>
  <c r="R195" i="7" s="1"/>
  <c r="S195" i="7" s="1"/>
  <c r="Q155" i="7"/>
  <c r="R155" i="7" s="1"/>
  <c r="S155" i="7" s="1"/>
  <c r="Q100" i="7"/>
  <c r="R100" i="7" s="1"/>
  <c r="S100" i="7" s="1"/>
  <c r="Q167" i="7"/>
  <c r="R167" i="7" s="1"/>
  <c r="S167" i="7" s="1"/>
  <c r="Q17" i="7"/>
  <c r="R17" i="7" s="1"/>
  <c r="V17" i="7" s="1"/>
  <c r="Q134" i="7"/>
  <c r="R134" i="7" s="1"/>
  <c r="V134" i="7" s="1"/>
  <c r="Q164" i="7"/>
  <c r="R164" i="7" s="1"/>
  <c r="V164" i="7" s="1"/>
  <c r="Q66" i="7"/>
  <c r="R66" i="7" s="1"/>
  <c r="V66" i="7" s="1"/>
  <c r="Q43" i="7"/>
  <c r="R43" i="7" s="1"/>
  <c r="V43" i="7" s="1"/>
  <c r="Q117" i="7"/>
  <c r="R117" i="7" s="1"/>
  <c r="S117" i="7" s="1"/>
  <c r="Q75" i="7"/>
  <c r="R75" i="7" s="1"/>
  <c r="S75" i="7" s="1"/>
  <c r="Q74" i="7"/>
  <c r="R74" i="7" s="1"/>
  <c r="V74" i="7" s="1"/>
  <c r="Q148" i="7"/>
  <c r="R148" i="7" s="1"/>
  <c r="V148" i="7" s="1"/>
  <c r="Q95" i="7"/>
  <c r="R95" i="7" s="1"/>
  <c r="V95" i="7" s="1"/>
  <c r="Q168" i="7"/>
  <c r="R168" i="7" s="1"/>
  <c r="V168" i="7" s="1"/>
  <c r="Q34" i="7"/>
  <c r="R34" i="7" s="1"/>
  <c r="S34" i="7" s="1"/>
  <c r="Q104" i="7"/>
  <c r="R104" i="7" s="1"/>
  <c r="S104" i="7" s="1"/>
  <c r="Q67" i="7"/>
  <c r="R67" i="7" s="1"/>
  <c r="S67" i="7" s="1"/>
  <c r="Q88" i="7"/>
  <c r="R88" i="7" s="1"/>
  <c r="S88" i="7" s="1"/>
  <c r="Q201" i="7"/>
  <c r="R201" i="7" s="1"/>
  <c r="V201" i="7" s="1"/>
  <c r="Q126" i="7"/>
  <c r="R126" i="7" s="1"/>
  <c r="Q153" i="7"/>
  <c r="R153" i="7" s="1"/>
  <c r="V153" i="7" s="1"/>
  <c r="R91" i="7"/>
  <c r="S91" i="7" s="1"/>
  <c r="U91" i="7" s="1"/>
  <c r="Q83" i="7"/>
  <c r="R83" i="7" s="1"/>
  <c r="V83" i="7" s="1"/>
  <c r="Q80" i="7"/>
  <c r="R80" i="7" s="1"/>
  <c r="Q11" i="7"/>
  <c r="R11" i="7" s="1"/>
  <c r="Q139" i="7"/>
  <c r="R139" i="7" s="1"/>
  <c r="V139" i="7" s="1"/>
  <c r="Q94" i="7"/>
  <c r="R94" i="7" s="1"/>
  <c r="Q57" i="7"/>
  <c r="R57" i="7" s="1"/>
  <c r="Q150" i="7"/>
  <c r="R150" i="7" s="1"/>
  <c r="Q38" i="7"/>
  <c r="R38" i="7" s="1"/>
  <c r="V38" i="7" s="1"/>
  <c r="Q115" i="7"/>
  <c r="R115" i="7" s="1"/>
  <c r="Q124" i="7"/>
  <c r="R124" i="7" s="1"/>
  <c r="Q90" i="7"/>
  <c r="R90" i="7" s="1"/>
  <c r="V90" i="7" s="1"/>
  <c r="Q71" i="7"/>
  <c r="R71" i="7" s="1"/>
  <c r="S71" i="7" s="1"/>
  <c r="R32" i="7"/>
  <c r="V32" i="7" s="1"/>
  <c r="Q128" i="7"/>
  <c r="R128" i="7" s="1"/>
  <c r="V128" i="7" s="1"/>
  <c r="Q21" i="7"/>
  <c r="R21" i="7" s="1"/>
  <c r="S21" i="7" s="1"/>
  <c r="Q159" i="7"/>
  <c r="R159" i="7" s="1"/>
  <c r="S159" i="7" s="1"/>
  <c r="Q50" i="7"/>
  <c r="R50" i="7" s="1"/>
  <c r="Q92" i="7"/>
  <c r="R92" i="7" s="1"/>
  <c r="Q106" i="7"/>
  <c r="R106" i="7" s="1"/>
  <c r="Q172" i="7"/>
  <c r="R172" i="7" s="1"/>
  <c r="Q188" i="7"/>
  <c r="R188" i="7" s="1"/>
  <c r="Q119" i="7"/>
  <c r="R119" i="7" s="1"/>
  <c r="S119" i="7" s="1"/>
  <c r="Q29" i="7"/>
  <c r="R29" i="7" s="1"/>
  <c r="V29" i="7" s="1"/>
  <c r="Q76" i="7"/>
  <c r="R76" i="7" s="1"/>
  <c r="S76" i="7" s="1"/>
  <c r="U76" i="7" s="1"/>
  <c r="R73" i="7"/>
  <c r="V73" i="7" s="1"/>
  <c r="Q123" i="7"/>
  <c r="R123" i="7" s="1"/>
  <c r="S123" i="7" s="1"/>
  <c r="Q166" i="7"/>
  <c r="R166" i="7" s="1"/>
  <c r="Q162" i="7"/>
  <c r="R162" i="7" s="1"/>
  <c r="V162" i="7" s="1"/>
  <c r="Q7" i="7"/>
  <c r="R7" i="7" s="1"/>
  <c r="S7" i="7" s="1"/>
  <c r="Q169" i="7"/>
  <c r="R169" i="7" s="1"/>
  <c r="Q151" i="7"/>
  <c r="R151" i="7" s="1"/>
  <c r="S151" i="7" s="1"/>
  <c r="Q131" i="7"/>
  <c r="R131" i="7" s="1"/>
  <c r="S131" i="7" s="1"/>
  <c r="Q60" i="7"/>
  <c r="R60" i="7" s="1"/>
  <c r="Q9" i="7"/>
  <c r="R9" i="7" s="1"/>
  <c r="Q142" i="7"/>
  <c r="R142" i="7" s="1"/>
  <c r="Q130" i="7"/>
  <c r="R130" i="7" s="1"/>
  <c r="Q137" i="7"/>
  <c r="R137" i="7" s="1"/>
  <c r="V137" i="7" s="1"/>
  <c r="Q135" i="7"/>
  <c r="R135" i="7" s="1"/>
  <c r="S135" i="7" s="1"/>
  <c r="R120" i="7"/>
  <c r="V120" i="7" s="1"/>
  <c r="Q86" i="7"/>
  <c r="R86" i="7" s="1"/>
  <c r="Q44" i="7"/>
  <c r="R44" i="7" s="1"/>
  <c r="V44" i="7" s="1"/>
  <c r="Q14" i="7"/>
  <c r="R14" i="7" s="1"/>
  <c r="Q179" i="7"/>
  <c r="R179" i="7" s="1"/>
  <c r="S179" i="7" s="1"/>
  <c r="Q196" i="7"/>
  <c r="R196" i="7" s="1"/>
  <c r="V196" i="7" s="1"/>
  <c r="Q61" i="7"/>
  <c r="R61" i="7" s="1"/>
  <c r="R41" i="7"/>
  <c r="V41" i="7" s="1"/>
  <c r="Q28" i="7"/>
  <c r="R28" i="7" s="1"/>
  <c r="Q23" i="7"/>
  <c r="R23" i="7" s="1"/>
  <c r="Q72" i="7"/>
  <c r="R72" i="7" s="1"/>
  <c r="Q182" i="7"/>
  <c r="R182" i="7" s="1"/>
  <c r="Q8" i="7"/>
  <c r="R8" i="7" s="1"/>
  <c r="Q187" i="7"/>
  <c r="R187" i="7" s="1"/>
  <c r="Q189" i="7"/>
  <c r="R189" i="7" s="1"/>
  <c r="S189" i="7" s="1"/>
  <c r="Q132" i="7"/>
  <c r="R132" i="7" s="1"/>
  <c r="Q45" i="7"/>
  <c r="R45" i="7" s="1"/>
  <c r="S45" i="7" s="1"/>
  <c r="Q98" i="7"/>
  <c r="R98" i="7" s="1"/>
  <c r="V98" i="7" s="1"/>
  <c r="Q145" i="7"/>
  <c r="R145" i="7" s="1"/>
  <c r="S145" i="7" s="1"/>
  <c r="Q116" i="7"/>
  <c r="R116" i="7" s="1"/>
  <c r="Q171" i="7"/>
  <c r="R171" i="7" s="1"/>
  <c r="V171" i="7" s="1"/>
  <c r="Q52" i="7"/>
  <c r="R52" i="7" s="1"/>
  <c r="R69" i="7"/>
  <c r="S69" i="7" s="1"/>
  <c r="U69" i="7" s="1"/>
  <c r="Q97" i="7"/>
  <c r="R97" i="7" s="1"/>
  <c r="Q149" i="7"/>
  <c r="R149" i="7" s="1"/>
  <c r="Q56" i="7"/>
  <c r="R56" i="7" s="1"/>
  <c r="Q140" i="7"/>
  <c r="R140" i="7" s="1"/>
  <c r="Q191" i="7"/>
  <c r="R191" i="7" s="1"/>
  <c r="V191" i="7" s="1"/>
  <c r="Q144" i="7"/>
  <c r="R144" i="7" s="1"/>
  <c r="V144" i="7" s="1"/>
  <c r="Q30" i="7"/>
  <c r="R30" i="7" s="1"/>
  <c r="Q51" i="7"/>
  <c r="R51" i="7" s="1"/>
  <c r="S51" i="7" s="1"/>
  <c r="Q77" i="7"/>
  <c r="R77" i="7" s="1"/>
  <c r="V77" i="7" s="1"/>
  <c r="Q121" i="7"/>
  <c r="R121" i="7" s="1"/>
  <c r="S121" i="7" s="1"/>
  <c r="Q203" i="7"/>
  <c r="R203" i="7" s="1"/>
  <c r="S203" i="7" s="1"/>
  <c r="Q82" i="7"/>
  <c r="R82" i="7" s="1"/>
  <c r="Q81" i="7"/>
  <c r="R81" i="7" s="1"/>
  <c r="Q40" i="7"/>
  <c r="R40" i="7" s="1"/>
  <c r="S40" i="7" s="1"/>
  <c r="T40" i="7" s="1"/>
  <c r="R111" i="7"/>
  <c r="V111" i="7" s="1"/>
  <c r="Q114" i="7"/>
  <c r="R114" i="7" s="1"/>
  <c r="V114" i="7" s="1"/>
  <c r="Q152" i="7"/>
  <c r="R152" i="7" s="1"/>
  <c r="V152" i="7" s="1"/>
  <c r="Q157" i="7"/>
  <c r="R157" i="7" s="1"/>
  <c r="V157" i="7" s="1"/>
  <c r="Q110" i="7"/>
  <c r="R110" i="7" s="1"/>
  <c r="Q70" i="7"/>
  <c r="R70" i="7" s="1"/>
  <c r="Q68" i="7"/>
  <c r="R68" i="7" s="1"/>
  <c r="R26" i="7"/>
  <c r="V26" i="7" s="1"/>
  <c r="Q33" i="7"/>
  <c r="R33" i="7" s="1"/>
  <c r="Q79" i="7"/>
  <c r="R79" i="7" s="1"/>
  <c r="Q24" i="7"/>
  <c r="R24" i="7" s="1"/>
  <c r="Q15" i="7"/>
  <c r="R15" i="7" s="1"/>
  <c r="Q204" i="7"/>
  <c r="R204" i="7" s="1"/>
  <c r="Q138" i="7"/>
  <c r="R138" i="7" s="1"/>
  <c r="V138" i="7" s="1"/>
  <c r="Q129" i="7"/>
  <c r="R129" i="7" s="1"/>
  <c r="Q42" i="7"/>
  <c r="R42" i="7" s="1"/>
  <c r="S42" i="7" s="1"/>
  <c r="Q35" i="7"/>
  <c r="R35" i="7" s="1"/>
  <c r="Q46" i="7"/>
  <c r="R46" i="7" s="1"/>
  <c r="V46" i="7" s="1"/>
  <c r="Q181" i="7"/>
  <c r="R181" i="7" s="1"/>
  <c r="V181" i="7" s="1"/>
  <c r="Q36" i="7"/>
  <c r="R36" i="7" s="1"/>
  <c r="V36" i="7" s="1"/>
  <c r="R6" i="7"/>
  <c r="V6" i="7" s="1"/>
  <c r="R18" i="7"/>
  <c r="V18" i="7" s="1"/>
  <c r="Q12" i="7"/>
  <c r="R12" i="7" s="1"/>
  <c r="Q63" i="7"/>
  <c r="R63" i="7" s="1"/>
  <c r="Q109" i="7"/>
  <c r="R109" i="7" s="1"/>
  <c r="Q194" i="7"/>
  <c r="R194" i="7" s="1"/>
  <c r="V194" i="7" s="1"/>
  <c r="Q190" i="7"/>
  <c r="R190" i="7" s="1"/>
  <c r="S190" i="7" s="1"/>
  <c r="Q192" i="7"/>
  <c r="R192" i="7" s="1"/>
  <c r="Q202" i="7"/>
  <c r="R202" i="7" s="1"/>
  <c r="V202" i="7" s="1"/>
  <c r="Q105" i="7"/>
  <c r="R105" i="7" s="1"/>
  <c r="S105" i="7" s="1"/>
  <c r="Q183" i="7"/>
  <c r="R183" i="7" s="1"/>
  <c r="S183" i="7" s="1"/>
  <c r="Q141" i="7"/>
  <c r="R141" i="7" s="1"/>
  <c r="V141" i="7" s="1"/>
  <c r="Q39" i="7"/>
  <c r="R39" i="7" s="1"/>
  <c r="S39" i="7" s="1"/>
  <c r="Q84" i="7"/>
  <c r="R84" i="7" s="1"/>
  <c r="S84" i="7" s="1"/>
  <c r="R62" i="7"/>
  <c r="V62" i="7" s="1"/>
  <c r="R16" i="7"/>
  <c r="S16" i="7" s="1"/>
  <c r="U16" i="7" s="1"/>
  <c r="R89" i="7"/>
  <c r="V89" i="7" s="1"/>
  <c r="R48" i="7"/>
  <c r="V48" i="7" s="1"/>
  <c r="Q20" i="7"/>
  <c r="R20" i="7" s="1"/>
  <c r="V20" i="7" s="1"/>
  <c r="Q22" i="7"/>
  <c r="R22" i="7" s="1"/>
  <c r="Q10" i="7"/>
  <c r="R10" i="7" s="1"/>
  <c r="Q87" i="7"/>
  <c r="R87" i="7" s="1"/>
  <c r="R107" i="7"/>
  <c r="V107" i="7" s="1"/>
  <c r="Q5" i="7"/>
  <c r="R5" i="7" s="1"/>
  <c r="V64" i="7"/>
  <c r="R199" i="7"/>
  <c r="S199" i="7" s="1"/>
  <c r="R133" i="7"/>
  <c r="V133" i="7" s="1"/>
  <c r="V54" i="7"/>
  <c r="R175" i="7"/>
  <c r="S175" i="7" s="1"/>
  <c r="R177" i="7"/>
  <c r="V177" i="7" s="1"/>
  <c r="R58" i="7"/>
  <c r="V58" i="7" s="1"/>
  <c r="S25" i="7"/>
  <c r="U25" i="7" s="1"/>
  <c r="U64" i="7"/>
  <c r="T64" i="7"/>
  <c r="T54" i="7"/>
  <c r="U54" i="7"/>
  <c r="Q142" i="5"/>
  <c r="R142" i="5" s="1"/>
  <c r="V142" i="5" s="1"/>
  <c r="Q188" i="5"/>
  <c r="R188" i="5" s="1"/>
  <c r="V188" i="5" s="1"/>
  <c r="Q177" i="5"/>
  <c r="R177" i="5" s="1"/>
  <c r="V177" i="5" s="1"/>
  <c r="Q145" i="5"/>
  <c r="R145" i="5" s="1"/>
  <c r="V145" i="5" s="1"/>
  <c r="Q12" i="5"/>
  <c r="R12" i="5" s="1"/>
  <c r="V12" i="5" s="1"/>
  <c r="Q70" i="5"/>
  <c r="R70" i="5" s="1"/>
  <c r="V70" i="5" s="1"/>
  <c r="Q94" i="5"/>
  <c r="R94" i="5" s="1"/>
  <c r="V94" i="5" s="1"/>
  <c r="Q18" i="5"/>
  <c r="R18" i="5" s="1"/>
  <c r="V18" i="5" s="1"/>
  <c r="Q61" i="5"/>
  <c r="R61" i="5" s="1"/>
  <c r="V61" i="5" s="1"/>
  <c r="Q29" i="5"/>
  <c r="R29" i="5" s="1"/>
  <c r="V29" i="5" s="1"/>
  <c r="Q193" i="5"/>
  <c r="R193" i="5" s="1"/>
  <c r="V193" i="5" s="1"/>
  <c r="Q103" i="5"/>
  <c r="R103" i="5" s="1"/>
  <c r="V103" i="5" s="1"/>
  <c r="Q27" i="5"/>
  <c r="R27" i="5" s="1"/>
  <c r="V27" i="5" s="1"/>
  <c r="Q41" i="5"/>
  <c r="R41" i="5" s="1"/>
  <c r="Q195" i="5"/>
  <c r="R195" i="5" s="1"/>
  <c r="V195" i="5" s="1"/>
  <c r="Q92" i="5"/>
  <c r="R92" i="5" s="1"/>
  <c r="V92" i="5" s="1"/>
  <c r="Q164" i="5"/>
  <c r="R164" i="5" s="1"/>
  <c r="V164" i="5" s="1"/>
  <c r="Q63" i="5"/>
  <c r="R63" i="5" s="1"/>
  <c r="V63" i="5" s="1"/>
  <c r="Q132" i="5"/>
  <c r="R132" i="5" s="1"/>
  <c r="V132" i="5" s="1"/>
  <c r="Q76" i="5"/>
  <c r="R76" i="5" s="1"/>
  <c r="Q20" i="5"/>
  <c r="R20" i="5" s="1"/>
  <c r="Q73" i="5"/>
  <c r="R73" i="5" s="1"/>
  <c r="V73" i="5" s="1"/>
  <c r="Q202" i="5"/>
  <c r="R202" i="5" s="1"/>
  <c r="V202" i="5" s="1"/>
  <c r="Q130" i="5"/>
  <c r="R130" i="5" s="1"/>
  <c r="V130" i="5" s="1"/>
  <c r="Q196" i="5"/>
  <c r="R196" i="5" s="1"/>
  <c r="V196" i="5" s="1"/>
  <c r="Q119" i="5"/>
  <c r="R119" i="5" s="1"/>
  <c r="Q150" i="5"/>
  <c r="R150" i="5" s="1"/>
  <c r="S26" i="5"/>
  <c r="U26" i="5" s="1"/>
  <c r="S51" i="5"/>
  <c r="U51" i="5" s="1"/>
  <c r="S64" i="5"/>
  <c r="T64" i="5" s="1"/>
  <c r="S9" i="5"/>
  <c r="U9" i="5" s="1"/>
  <c r="S10" i="5"/>
  <c r="U10" i="5" s="1"/>
  <c r="S113" i="5"/>
  <c r="T113" i="5" s="1"/>
  <c r="S109" i="5"/>
  <c r="U109" i="5" s="1"/>
  <c r="S6" i="5"/>
  <c r="T6" i="5" s="1"/>
  <c r="S15" i="5"/>
  <c r="U15" i="5" s="1"/>
  <c r="S104" i="5"/>
  <c r="U104" i="5" s="1"/>
  <c r="S78" i="5"/>
  <c r="U78" i="5" s="1"/>
  <c r="S32" i="5"/>
  <c r="U32" i="5" s="1"/>
  <c r="S36" i="5"/>
  <c r="T36" i="5" s="1"/>
  <c r="Q86" i="5"/>
  <c r="R86" i="5" s="1"/>
  <c r="V86" i="5" s="1"/>
  <c r="S65" i="5"/>
  <c r="U65" i="5" s="1"/>
  <c r="S68" i="5"/>
  <c r="U68" i="5" s="1"/>
  <c r="S24" i="5"/>
  <c r="U24" i="5" s="1"/>
  <c r="S30" i="5"/>
  <c r="U30" i="5" s="1"/>
  <c r="S52" i="5"/>
  <c r="U52" i="5" s="1"/>
  <c r="S81" i="5"/>
  <c r="U81" i="5" s="1"/>
  <c r="S80" i="5"/>
  <c r="U80" i="5" s="1"/>
  <c r="S141" i="5"/>
  <c r="U141" i="5" s="1"/>
  <c r="S58" i="5"/>
  <c r="U58" i="5" s="1"/>
  <c r="S93" i="5"/>
  <c r="U93" i="5" s="1"/>
  <c r="Q183" i="5"/>
  <c r="R183" i="5" s="1"/>
  <c r="V183" i="5" s="1"/>
  <c r="Q108" i="5"/>
  <c r="R108" i="5" s="1"/>
  <c r="V108" i="5" s="1"/>
  <c r="S49" i="5"/>
  <c r="U49" i="5" s="1"/>
  <c r="S110" i="5"/>
  <c r="U110" i="5" s="1"/>
  <c r="Q201" i="5"/>
  <c r="R201" i="5" s="1"/>
  <c r="V201" i="5" s="1"/>
  <c r="Q105" i="5"/>
  <c r="R105" i="5" s="1"/>
  <c r="V105" i="5" s="1"/>
  <c r="S57" i="5"/>
  <c r="U57" i="5" s="1"/>
  <c r="S25" i="5"/>
  <c r="U25" i="5" s="1"/>
  <c r="S125" i="5"/>
  <c r="U125" i="5" s="1"/>
  <c r="S31" i="5"/>
  <c r="U31" i="5" s="1"/>
  <c r="S45" i="5"/>
  <c r="T45" i="5" s="1"/>
  <c r="Q166" i="5"/>
  <c r="R166" i="5" s="1"/>
  <c r="V166" i="5" s="1"/>
  <c r="Q22" i="5"/>
  <c r="R22" i="5" s="1"/>
  <c r="V22" i="5" s="1"/>
  <c r="Q117" i="5"/>
  <c r="R117" i="5" s="1"/>
  <c r="V117" i="5" s="1"/>
  <c r="Q85" i="5"/>
  <c r="R85" i="5" s="1"/>
  <c r="V85" i="5" s="1"/>
  <c r="Q107" i="5"/>
  <c r="R107" i="5" s="1"/>
  <c r="V107" i="5" s="1"/>
  <c r="Q13" i="5"/>
  <c r="R13" i="5" s="1"/>
  <c r="V13" i="5" s="1"/>
  <c r="Q111" i="5"/>
  <c r="R111" i="5" s="1"/>
  <c r="V111" i="5" s="1"/>
  <c r="Q97" i="5"/>
  <c r="R97" i="5" s="1"/>
  <c r="V97" i="5" s="1"/>
  <c r="Q155" i="5"/>
  <c r="R155" i="5" s="1"/>
  <c r="V155" i="5" s="1"/>
  <c r="S5" i="5"/>
  <c r="U5" i="5" s="1"/>
  <c r="Q129" i="5"/>
  <c r="R129" i="5" s="1"/>
  <c r="V129" i="5" s="1"/>
  <c r="Q165" i="5"/>
  <c r="R165" i="5" s="1"/>
  <c r="V165" i="5" s="1"/>
  <c r="Q149" i="5"/>
  <c r="R149" i="5" s="1"/>
  <c r="V149" i="5" s="1"/>
  <c r="Q148" i="5"/>
  <c r="R148" i="5" s="1"/>
  <c r="V148" i="5" s="1"/>
  <c r="Q96" i="5"/>
  <c r="R96" i="5" s="1"/>
  <c r="V96" i="5" s="1"/>
  <c r="Q181" i="5"/>
  <c r="R181" i="5" s="1"/>
  <c r="V181" i="5" s="1"/>
  <c r="Q138" i="5"/>
  <c r="R138" i="5" s="1"/>
  <c r="V138" i="5" s="1"/>
  <c r="Q101" i="5"/>
  <c r="R101" i="5" s="1"/>
  <c r="V101" i="5" s="1"/>
  <c r="Q90" i="5"/>
  <c r="R90" i="5" s="1"/>
  <c r="V90" i="5" s="1"/>
  <c r="Q11" i="5"/>
  <c r="R11" i="5" s="1"/>
  <c r="V11" i="5" s="1"/>
  <c r="Q191" i="5"/>
  <c r="R191" i="5" s="1"/>
  <c r="V191" i="5" s="1"/>
  <c r="Q158" i="5"/>
  <c r="R158" i="5" s="1"/>
  <c r="V158" i="5" s="1"/>
  <c r="Q174" i="5"/>
  <c r="R174" i="5" s="1"/>
  <c r="V174" i="5" s="1"/>
  <c r="Q140" i="5"/>
  <c r="R140" i="5" s="1"/>
  <c r="V140" i="5" s="1"/>
  <c r="Q123" i="5"/>
  <c r="R123" i="5" s="1"/>
  <c r="V123" i="5" s="1"/>
  <c r="Q21" i="5"/>
  <c r="R21" i="5" s="1"/>
  <c r="V21" i="5" s="1"/>
  <c r="Q127" i="5"/>
  <c r="R127" i="5" s="1"/>
  <c r="V127" i="5" s="1"/>
  <c r="Q159" i="5"/>
  <c r="R159" i="5" s="1"/>
  <c r="V159" i="5" s="1"/>
  <c r="Q143" i="5"/>
  <c r="R143" i="5" s="1"/>
  <c r="V143" i="5" s="1"/>
  <c r="Q157" i="5"/>
  <c r="R157" i="5" s="1"/>
  <c r="V157" i="5" s="1"/>
  <c r="Q95" i="5"/>
  <c r="R95" i="5" s="1"/>
  <c r="V95" i="5" s="1"/>
  <c r="Q178" i="5"/>
  <c r="R178" i="5" s="1"/>
  <c r="V178" i="5" s="1"/>
  <c r="Q28" i="5"/>
  <c r="R28" i="5" s="1"/>
  <c r="V28" i="5" s="1"/>
  <c r="Q79" i="5"/>
  <c r="R79" i="5" s="1"/>
  <c r="V79" i="5" s="1"/>
  <c r="Q39" i="5"/>
  <c r="R39" i="5" s="1"/>
  <c r="V39" i="5" s="1"/>
  <c r="Q19" i="5"/>
  <c r="R19" i="5" s="1"/>
  <c r="V19" i="5" s="1"/>
  <c r="Q179" i="5"/>
  <c r="R179" i="5" s="1"/>
  <c r="V179" i="5" s="1"/>
  <c r="Q100" i="5"/>
  <c r="R100" i="5" s="1"/>
  <c r="V100" i="5" s="1"/>
  <c r="Q16" i="5"/>
  <c r="R16" i="5" s="1"/>
  <c r="V16" i="5" s="1"/>
  <c r="Q126" i="5"/>
  <c r="R126" i="5" s="1"/>
  <c r="V126" i="5" s="1"/>
  <c r="Q175" i="5"/>
  <c r="R175" i="5" s="1"/>
  <c r="V175" i="5" s="1"/>
  <c r="Q66" i="5"/>
  <c r="R66" i="5" s="1"/>
  <c r="V66" i="5" s="1"/>
  <c r="Q88" i="5"/>
  <c r="R88" i="5" s="1"/>
  <c r="V88" i="5" s="1"/>
  <c r="Q190" i="5"/>
  <c r="R190" i="5" s="1"/>
  <c r="V190" i="5" s="1"/>
  <c r="Q154" i="5"/>
  <c r="R154" i="5" s="1"/>
  <c r="V154" i="5" s="1"/>
  <c r="Q87" i="5"/>
  <c r="R87" i="5" s="1"/>
  <c r="V87" i="5" s="1"/>
  <c r="Q7" i="5"/>
  <c r="R7" i="5" s="1"/>
  <c r="V7" i="5" s="1"/>
  <c r="Q171" i="5"/>
  <c r="R171" i="5" s="1"/>
  <c r="V171" i="5" s="1"/>
  <c r="Q35" i="5"/>
  <c r="R35" i="5" s="1"/>
  <c r="V35" i="5" s="1"/>
  <c r="Q14" i="5"/>
  <c r="R14" i="5" s="1"/>
  <c r="V14" i="5" s="1"/>
  <c r="Q8" i="5"/>
  <c r="R8" i="5" s="1"/>
  <c r="V8" i="5" s="1"/>
  <c r="Q184" i="5"/>
  <c r="R184" i="5" s="1"/>
  <c r="V184" i="5" s="1"/>
  <c r="Q98" i="5"/>
  <c r="R98" i="5" s="1"/>
  <c r="V98" i="5" s="1"/>
  <c r="Q72" i="5"/>
  <c r="R72" i="5" s="1"/>
  <c r="V72" i="5" s="1"/>
  <c r="Q50" i="5"/>
  <c r="R50" i="5" s="1"/>
  <c r="V50" i="5" s="1"/>
  <c r="Q162" i="5"/>
  <c r="R162" i="5" s="1"/>
  <c r="V162" i="5" s="1"/>
  <c r="Q54" i="5"/>
  <c r="R54" i="5" s="1"/>
  <c r="V54" i="5" s="1"/>
  <c r="Q200" i="5"/>
  <c r="R200" i="5" s="1"/>
  <c r="V200" i="5" s="1"/>
  <c r="Q53" i="5"/>
  <c r="R53" i="5" s="1"/>
  <c r="V53" i="5" s="1"/>
  <c r="Q173" i="5"/>
  <c r="R173" i="5" s="1"/>
  <c r="V173" i="5" s="1"/>
  <c r="Q71" i="5"/>
  <c r="R71" i="5" s="1"/>
  <c r="V71" i="5" s="1"/>
  <c r="Q37" i="5"/>
  <c r="R37" i="5" s="1"/>
  <c r="V37" i="5" s="1"/>
  <c r="Q161" i="5"/>
  <c r="R161" i="5" s="1"/>
  <c r="V161" i="5" s="1"/>
  <c r="Q56" i="5"/>
  <c r="R56" i="5" s="1"/>
  <c r="V56" i="5" s="1"/>
  <c r="Q120" i="5"/>
  <c r="R120" i="5" s="1"/>
  <c r="V120" i="5" s="1"/>
  <c r="Q186" i="5"/>
  <c r="R186" i="5" s="1"/>
  <c r="V186" i="5" s="1"/>
  <c r="Q136" i="5"/>
  <c r="R136" i="5" s="1"/>
  <c r="V136" i="5" s="1"/>
  <c r="Q69" i="5"/>
  <c r="R69" i="5" s="1"/>
  <c r="V69" i="5" s="1"/>
  <c r="Q83" i="5"/>
  <c r="R83" i="5" s="1"/>
  <c r="V83" i="5" s="1"/>
  <c r="Q23" i="5"/>
  <c r="R23" i="5" s="1"/>
  <c r="V23" i="5" s="1"/>
  <c r="Q55" i="5"/>
  <c r="R55" i="5" s="1"/>
  <c r="V55" i="5" s="1"/>
  <c r="Q59" i="5"/>
  <c r="R59" i="5" s="1"/>
  <c r="V59" i="5" s="1"/>
  <c r="Q198" i="5"/>
  <c r="R198" i="5" s="1"/>
  <c r="V198" i="5" s="1"/>
  <c r="Q156" i="5"/>
  <c r="R156" i="5" s="1"/>
  <c r="V156" i="5" s="1"/>
  <c r="Q62" i="5"/>
  <c r="R62" i="5" s="1"/>
  <c r="V62" i="5" s="1"/>
  <c r="Q187" i="5"/>
  <c r="R187" i="5" s="1"/>
  <c r="V187" i="5" s="1"/>
  <c r="Q82" i="5"/>
  <c r="R82" i="5" s="1"/>
  <c r="V82" i="5" s="1"/>
  <c r="Q172" i="5"/>
  <c r="R172" i="5" s="1"/>
  <c r="V172" i="5" s="1"/>
  <c r="Q106" i="5"/>
  <c r="R106" i="5" s="1"/>
  <c r="V106" i="5" s="1"/>
  <c r="Q60" i="5"/>
  <c r="R60" i="5" s="1"/>
  <c r="V60" i="5" s="1"/>
  <c r="Q194" i="5"/>
  <c r="R194" i="5" s="1"/>
  <c r="V194" i="5" s="1"/>
  <c r="Q167" i="5"/>
  <c r="R167" i="5" s="1"/>
  <c r="V167" i="5" s="1"/>
  <c r="Q131" i="5"/>
  <c r="R131" i="5" s="1"/>
  <c r="V131" i="5" s="1"/>
  <c r="Q44" i="5"/>
  <c r="R44" i="5" s="1"/>
  <c r="V44" i="5" s="1"/>
  <c r="Q99" i="5"/>
  <c r="R99" i="5" s="1"/>
  <c r="V99" i="5" s="1"/>
  <c r="Q43" i="5"/>
  <c r="R43" i="5" s="1"/>
  <c r="V43" i="5" s="1"/>
  <c r="Q133" i="5"/>
  <c r="R133" i="5" s="1"/>
  <c r="V133" i="5" s="1"/>
  <c r="Q122" i="5"/>
  <c r="R122" i="5" s="1"/>
  <c r="V122" i="5" s="1"/>
  <c r="Q89" i="5"/>
  <c r="R89" i="5" s="1"/>
  <c r="V89" i="5" s="1"/>
  <c r="Q33" i="5"/>
  <c r="R33" i="5" s="1"/>
  <c r="V33" i="5" s="1"/>
  <c r="Q139" i="5"/>
  <c r="R139" i="5" s="1"/>
  <c r="V139" i="5" s="1"/>
  <c r="Q46" i="5"/>
  <c r="R46" i="5" s="1"/>
  <c r="V46" i="5" s="1"/>
  <c r="Q34" i="5"/>
  <c r="R34" i="5" s="1"/>
  <c r="V34" i="5" s="1"/>
  <c r="Q75" i="5"/>
  <c r="R75" i="5" s="1"/>
  <c r="V75" i="5" s="1"/>
  <c r="Q91" i="5"/>
  <c r="R91" i="5" s="1"/>
  <c r="V91" i="5" s="1"/>
  <c r="Q170" i="5"/>
  <c r="R170" i="5" s="1"/>
  <c r="V170" i="5" s="1"/>
  <c r="Q151" i="5"/>
  <c r="R151" i="5" s="1"/>
  <c r="V151" i="5" s="1"/>
  <c r="Q180" i="5"/>
  <c r="R180" i="5" s="1"/>
  <c r="V180" i="5" s="1"/>
  <c r="Q203" i="5"/>
  <c r="R203" i="5" s="1"/>
  <c r="V203" i="5" s="1"/>
  <c r="Q118" i="5"/>
  <c r="R118" i="5" s="1"/>
  <c r="V118" i="5" s="1"/>
  <c r="Q77" i="5"/>
  <c r="R77" i="5" s="1"/>
  <c r="V77" i="5" s="1"/>
  <c r="Q147" i="5"/>
  <c r="R147" i="5" s="1"/>
  <c r="V147" i="5" s="1"/>
  <c r="Q102" i="5"/>
  <c r="R102" i="5" s="1"/>
  <c r="V102" i="5" s="1"/>
  <c r="Q67" i="5"/>
  <c r="R67" i="5" s="1"/>
  <c r="V67" i="5" s="1"/>
  <c r="Q185" i="5"/>
  <c r="R185" i="5" s="1"/>
  <c r="V185" i="5" s="1"/>
  <c r="Q144" i="5"/>
  <c r="R144" i="5" s="1"/>
  <c r="V144" i="5" s="1"/>
  <c r="Q74" i="5"/>
  <c r="R74" i="5" s="1"/>
  <c r="V74" i="5" s="1"/>
  <c r="Q168" i="5"/>
  <c r="R168" i="5" s="1"/>
  <c r="V168" i="5" s="1"/>
  <c r="Q146" i="5"/>
  <c r="R146" i="5" s="1"/>
  <c r="V146" i="5" s="1"/>
  <c r="Q84" i="5"/>
  <c r="R84" i="5" s="1"/>
  <c r="V84" i="5" s="1"/>
  <c r="Q38" i="5"/>
  <c r="R38" i="5" s="1"/>
  <c r="V38" i="5" s="1"/>
  <c r="Q48" i="5"/>
  <c r="R48" i="5" s="1"/>
  <c r="V48" i="5" s="1"/>
  <c r="Q182" i="5"/>
  <c r="R182" i="5" s="1"/>
  <c r="V182" i="5" s="1"/>
  <c r="Q114" i="5"/>
  <c r="R114" i="5" s="1"/>
  <c r="V114" i="5" s="1"/>
  <c r="Q121" i="5"/>
  <c r="R121" i="5" s="1"/>
  <c r="V121" i="5" s="1"/>
  <c r="Q153" i="5"/>
  <c r="R153" i="5" s="1"/>
  <c r="V153" i="5" s="1"/>
  <c r="Q42" i="5"/>
  <c r="R42" i="5" s="1"/>
  <c r="V42" i="5" s="1"/>
  <c r="Q124" i="5"/>
  <c r="R124" i="5" s="1"/>
  <c r="V124" i="5" s="1"/>
  <c r="Q135" i="5"/>
  <c r="R135" i="5" s="1"/>
  <c r="V135" i="5" s="1"/>
  <c r="Q189" i="5"/>
  <c r="R189" i="5" s="1"/>
  <c r="V189" i="5" s="1"/>
  <c r="Q128" i="5"/>
  <c r="R128" i="5" s="1"/>
  <c r="V128" i="5" s="1"/>
  <c r="Q192" i="5"/>
  <c r="R192" i="5" s="1"/>
  <c r="V192" i="5" s="1"/>
  <c r="Q176" i="5"/>
  <c r="R176" i="5" s="1"/>
  <c r="V176" i="5" s="1"/>
  <c r="Q47" i="5"/>
  <c r="R47" i="5" s="1"/>
  <c r="V47" i="5" s="1"/>
  <c r="Q40" i="5"/>
  <c r="R40" i="5" s="1"/>
  <c r="V40" i="5" s="1"/>
  <c r="Q134" i="5"/>
  <c r="R134" i="5" s="1"/>
  <c r="V134" i="5" s="1"/>
  <c r="Q17" i="5"/>
  <c r="R17" i="5" s="1"/>
  <c r="V17" i="5" s="1"/>
  <c r="Q197" i="5"/>
  <c r="R197" i="5" s="1"/>
  <c r="V197" i="5" s="1"/>
  <c r="Q204" i="5"/>
  <c r="R204" i="5" s="1"/>
  <c r="V204" i="5" s="1"/>
  <c r="Q169" i="5"/>
  <c r="R169" i="5" s="1"/>
  <c r="V169" i="5" s="1"/>
  <c r="Q152" i="5"/>
  <c r="R152" i="5" s="1"/>
  <c r="V152" i="5" s="1"/>
  <c r="Q137" i="5"/>
  <c r="R137" i="5" s="1"/>
  <c r="V137" i="5" s="1"/>
  <c r="Q163" i="5"/>
  <c r="R163" i="5" s="1"/>
  <c r="V163" i="5" s="1"/>
  <c r="Q116" i="5"/>
  <c r="R116" i="5" s="1"/>
  <c r="V116" i="5" s="1"/>
  <c r="Q115" i="5"/>
  <c r="R115" i="5" s="1"/>
  <c r="V115" i="5" s="1"/>
  <c r="Q112" i="5"/>
  <c r="R112" i="5" s="1"/>
  <c r="V112" i="5" s="1"/>
  <c r="Q160" i="5"/>
  <c r="R160" i="5" s="1"/>
  <c r="V160" i="5" s="1"/>
  <c r="Q199" i="5"/>
  <c r="R199" i="5" s="1"/>
  <c r="V199" i="5" s="1"/>
  <c r="AI115" i="1"/>
  <c r="AI116" i="1"/>
  <c r="AF115" i="1"/>
  <c r="AF116" i="1"/>
  <c r="AE115" i="1"/>
  <c r="AE116" i="1"/>
  <c r="AJ115" i="1"/>
  <c r="AJ116" i="1"/>
  <c r="AH115" i="1"/>
  <c r="AH116" i="1"/>
  <c r="AD115" i="1"/>
  <c r="AD116" i="1"/>
  <c r="AK115" i="1"/>
  <c r="AK116" i="1"/>
  <c r="AG115" i="1"/>
  <c r="AG116" i="1"/>
  <c r="AC115" i="1"/>
  <c r="AC116" i="1"/>
  <c r="AB115" i="1"/>
  <c r="AB116"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5" i="1"/>
  <c r="L6" i="1"/>
  <c r="M6" i="1" s="1"/>
  <c r="L7" i="1"/>
  <c r="M7" i="1" s="1"/>
  <c r="L8" i="1"/>
  <c r="M8" i="1" s="1"/>
  <c r="L9" i="1"/>
  <c r="M9" i="1" s="1"/>
  <c r="L10" i="1"/>
  <c r="M10" i="1" s="1"/>
  <c r="L11" i="1"/>
  <c r="M11" i="1" s="1"/>
  <c r="L12" i="1"/>
  <c r="M12" i="1" s="1"/>
  <c r="L13" i="1"/>
  <c r="M13" i="1" s="1"/>
  <c r="L14" i="1"/>
  <c r="M14" i="1" s="1"/>
  <c r="L15" i="1"/>
  <c r="M15" i="1" s="1"/>
  <c r="L16" i="1"/>
  <c r="M16" i="1" s="1"/>
  <c r="L17" i="1"/>
  <c r="M17" i="1" s="1"/>
  <c r="L18" i="1"/>
  <c r="M18" i="1" s="1"/>
  <c r="L19" i="1"/>
  <c r="M19" i="1" s="1"/>
  <c r="L20" i="1"/>
  <c r="M20" i="1" s="1"/>
  <c r="L21" i="1"/>
  <c r="M21" i="1" s="1"/>
  <c r="L22" i="1"/>
  <c r="M22" i="1" s="1"/>
  <c r="L23" i="1"/>
  <c r="M23" i="1" s="1"/>
  <c r="L24" i="1"/>
  <c r="M24" i="1" s="1"/>
  <c r="L25" i="1"/>
  <c r="M25" i="1" s="1"/>
  <c r="L26" i="1"/>
  <c r="M26" i="1" s="1"/>
  <c r="L27" i="1"/>
  <c r="M27" i="1" s="1"/>
  <c r="L28" i="1"/>
  <c r="M28" i="1" s="1"/>
  <c r="L29" i="1"/>
  <c r="M29" i="1" s="1"/>
  <c r="L30" i="1"/>
  <c r="M30" i="1" s="1"/>
  <c r="L31" i="1"/>
  <c r="M31" i="1" s="1"/>
  <c r="L32" i="1"/>
  <c r="M32" i="1" s="1"/>
  <c r="L33" i="1"/>
  <c r="M33" i="1" s="1"/>
  <c r="L34" i="1"/>
  <c r="M34" i="1" s="1"/>
  <c r="L35" i="1"/>
  <c r="M35" i="1" s="1"/>
  <c r="L36" i="1"/>
  <c r="M36" i="1" s="1"/>
  <c r="L37" i="1"/>
  <c r="M37" i="1" s="1"/>
  <c r="L38" i="1"/>
  <c r="M38" i="1" s="1"/>
  <c r="L39" i="1"/>
  <c r="M39" i="1" s="1"/>
  <c r="L40" i="1"/>
  <c r="M40" i="1" s="1"/>
  <c r="L41" i="1"/>
  <c r="M41" i="1" s="1"/>
  <c r="L42" i="1"/>
  <c r="M42" i="1" s="1"/>
  <c r="L43" i="1"/>
  <c r="M43" i="1" s="1"/>
  <c r="L44" i="1"/>
  <c r="M44" i="1" s="1"/>
  <c r="L45" i="1"/>
  <c r="M45" i="1" s="1"/>
  <c r="L46" i="1"/>
  <c r="M46" i="1" s="1"/>
  <c r="L47" i="1"/>
  <c r="M47" i="1" s="1"/>
  <c r="L48" i="1"/>
  <c r="M48" i="1" s="1"/>
  <c r="L49" i="1"/>
  <c r="M49" i="1" s="1"/>
  <c r="L50" i="1"/>
  <c r="M50" i="1" s="1"/>
  <c r="L51" i="1"/>
  <c r="M51" i="1" s="1"/>
  <c r="L52" i="1"/>
  <c r="M52" i="1" s="1"/>
  <c r="L53" i="1"/>
  <c r="M53" i="1" s="1"/>
  <c r="L54" i="1"/>
  <c r="M54" i="1" s="1"/>
  <c r="L55" i="1"/>
  <c r="M55" i="1" s="1"/>
  <c r="L56" i="1"/>
  <c r="M56" i="1" s="1"/>
  <c r="L57" i="1"/>
  <c r="M57" i="1" s="1"/>
  <c r="L58" i="1"/>
  <c r="M58" i="1" s="1"/>
  <c r="L59" i="1"/>
  <c r="M59" i="1" s="1"/>
  <c r="L60" i="1"/>
  <c r="M60" i="1" s="1"/>
  <c r="L61" i="1"/>
  <c r="M61" i="1" s="1"/>
  <c r="L62" i="1"/>
  <c r="M62" i="1" s="1"/>
  <c r="L63" i="1"/>
  <c r="M63" i="1" s="1"/>
  <c r="L64" i="1"/>
  <c r="M64" i="1" s="1"/>
  <c r="L65" i="1"/>
  <c r="M65" i="1" s="1"/>
  <c r="L66" i="1"/>
  <c r="M66" i="1" s="1"/>
  <c r="L67" i="1"/>
  <c r="M67" i="1" s="1"/>
  <c r="L68" i="1"/>
  <c r="M68" i="1" s="1"/>
  <c r="L69" i="1"/>
  <c r="M69" i="1" s="1"/>
  <c r="L70" i="1"/>
  <c r="M70" i="1" s="1"/>
  <c r="L71" i="1"/>
  <c r="M71" i="1" s="1"/>
  <c r="L72" i="1"/>
  <c r="M72" i="1" s="1"/>
  <c r="L73" i="1"/>
  <c r="M73" i="1" s="1"/>
  <c r="L74" i="1"/>
  <c r="M74" i="1" s="1"/>
  <c r="L75" i="1"/>
  <c r="M75" i="1" s="1"/>
  <c r="L76" i="1"/>
  <c r="M76" i="1" s="1"/>
  <c r="L77" i="1"/>
  <c r="M77" i="1" s="1"/>
  <c r="L78" i="1"/>
  <c r="M78" i="1" s="1"/>
  <c r="L79" i="1"/>
  <c r="M79" i="1" s="1"/>
  <c r="L80" i="1"/>
  <c r="M80" i="1" s="1"/>
  <c r="L81" i="1"/>
  <c r="M81" i="1" s="1"/>
  <c r="L82" i="1"/>
  <c r="M82" i="1" s="1"/>
  <c r="L83" i="1"/>
  <c r="M83" i="1" s="1"/>
  <c r="L84" i="1"/>
  <c r="M84" i="1" s="1"/>
  <c r="L85" i="1"/>
  <c r="M85" i="1" s="1"/>
  <c r="L86" i="1"/>
  <c r="M86" i="1" s="1"/>
  <c r="L87" i="1"/>
  <c r="M87" i="1" s="1"/>
  <c r="L88" i="1"/>
  <c r="M88" i="1" s="1"/>
  <c r="L89" i="1"/>
  <c r="M89" i="1" s="1"/>
  <c r="L90" i="1"/>
  <c r="M90" i="1" s="1"/>
  <c r="L91" i="1"/>
  <c r="M91" i="1" s="1"/>
  <c r="L92" i="1"/>
  <c r="M92" i="1" s="1"/>
  <c r="L93" i="1"/>
  <c r="M93" i="1" s="1"/>
  <c r="L94" i="1"/>
  <c r="M94" i="1" s="1"/>
  <c r="L95" i="1"/>
  <c r="M95" i="1" s="1"/>
  <c r="L96" i="1"/>
  <c r="M96" i="1" s="1"/>
  <c r="L97" i="1"/>
  <c r="M97" i="1" s="1"/>
  <c r="L98" i="1"/>
  <c r="M98" i="1" s="1"/>
  <c r="L99" i="1"/>
  <c r="M99" i="1" s="1"/>
  <c r="L100" i="1"/>
  <c r="M100" i="1" s="1"/>
  <c r="L101" i="1"/>
  <c r="M101" i="1" s="1"/>
  <c r="L102" i="1"/>
  <c r="M102" i="1" s="1"/>
  <c r="L103" i="1"/>
  <c r="M103" i="1" s="1"/>
  <c r="L104" i="1"/>
  <c r="M104" i="1" s="1"/>
  <c r="L105" i="1"/>
  <c r="M105" i="1" s="1"/>
  <c r="L106" i="1"/>
  <c r="M106" i="1" s="1"/>
  <c r="L107" i="1"/>
  <c r="M107" i="1" s="1"/>
  <c r="L108" i="1"/>
  <c r="M108" i="1" s="1"/>
  <c r="L109" i="1"/>
  <c r="M109" i="1" s="1"/>
  <c r="L110" i="1"/>
  <c r="M110" i="1" s="1"/>
  <c r="L111" i="1"/>
  <c r="M111" i="1" s="1"/>
  <c r="L112" i="1"/>
  <c r="M112" i="1" s="1"/>
  <c r="L113" i="1"/>
  <c r="M113" i="1" s="1"/>
  <c r="L114" i="1"/>
  <c r="M114" i="1" s="1"/>
  <c r="L115" i="1"/>
  <c r="M115" i="1" s="1"/>
  <c r="L116" i="1"/>
  <c r="M116" i="1" s="1"/>
  <c r="L117" i="1"/>
  <c r="M117" i="1" s="1"/>
  <c r="L118" i="1"/>
  <c r="M118" i="1" s="1"/>
  <c r="L119" i="1"/>
  <c r="M119" i="1" s="1"/>
  <c r="L120" i="1"/>
  <c r="M120" i="1" s="1"/>
  <c r="L121" i="1"/>
  <c r="M121" i="1" s="1"/>
  <c r="L122" i="1"/>
  <c r="M122" i="1" s="1"/>
  <c r="L123" i="1"/>
  <c r="M123" i="1" s="1"/>
  <c r="L124" i="1"/>
  <c r="M124" i="1" s="1"/>
  <c r="L125" i="1"/>
  <c r="M125" i="1" s="1"/>
  <c r="L126" i="1"/>
  <c r="M126" i="1" s="1"/>
  <c r="L127" i="1"/>
  <c r="M127" i="1" s="1"/>
  <c r="L128" i="1"/>
  <c r="M128" i="1" s="1"/>
  <c r="L129" i="1"/>
  <c r="M129" i="1" s="1"/>
  <c r="L130" i="1"/>
  <c r="M130" i="1" s="1"/>
  <c r="L131" i="1"/>
  <c r="M131" i="1" s="1"/>
  <c r="L132" i="1"/>
  <c r="M132" i="1" s="1"/>
  <c r="L133" i="1"/>
  <c r="M133" i="1" s="1"/>
  <c r="L134" i="1"/>
  <c r="M134" i="1" s="1"/>
  <c r="L135" i="1"/>
  <c r="M135" i="1" s="1"/>
  <c r="L136" i="1"/>
  <c r="M136" i="1" s="1"/>
  <c r="L137" i="1"/>
  <c r="M137" i="1" s="1"/>
  <c r="L138" i="1"/>
  <c r="M138" i="1" s="1"/>
  <c r="L139" i="1"/>
  <c r="M139" i="1" s="1"/>
  <c r="L140" i="1"/>
  <c r="M140" i="1" s="1"/>
  <c r="L141" i="1"/>
  <c r="M141" i="1" s="1"/>
  <c r="L142" i="1"/>
  <c r="M142" i="1" s="1"/>
  <c r="L143" i="1"/>
  <c r="M143" i="1" s="1"/>
  <c r="L144" i="1"/>
  <c r="M144" i="1" s="1"/>
  <c r="L145" i="1"/>
  <c r="M145" i="1" s="1"/>
  <c r="L146" i="1"/>
  <c r="M146" i="1" s="1"/>
  <c r="L147" i="1"/>
  <c r="M147" i="1" s="1"/>
  <c r="L148" i="1"/>
  <c r="M148" i="1" s="1"/>
  <c r="L149" i="1"/>
  <c r="M149" i="1" s="1"/>
  <c r="L150" i="1"/>
  <c r="M150" i="1" s="1"/>
  <c r="L151" i="1"/>
  <c r="M151" i="1" s="1"/>
  <c r="L152" i="1"/>
  <c r="M152" i="1" s="1"/>
  <c r="L153" i="1"/>
  <c r="M153" i="1" s="1"/>
  <c r="L154" i="1"/>
  <c r="M154" i="1" s="1"/>
  <c r="L155" i="1"/>
  <c r="M155" i="1" s="1"/>
  <c r="L156" i="1"/>
  <c r="M156" i="1" s="1"/>
  <c r="L157" i="1"/>
  <c r="M157" i="1" s="1"/>
  <c r="L158" i="1"/>
  <c r="M158" i="1" s="1"/>
  <c r="L159" i="1"/>
  <c r="M159" i="1" s="1"/>
  <c r="L160" i="1"/>
  <c r="M160" i="1" s="1"/>
  <c r="L161" i="1"/>
  <c r="M161" i="1" s="1"/>
  <c r="L162" i="1"/>
  <c r="M162" i="1" s="1"/>
  <c r="L163" i="1"/>
  <c r="M163" i="1" s="1"/>
  <c r="L164" i="1"/>
  <c r="M164" i="1" s="1"/>
  <c r="L165" i="1"/>
  <c r="M165" i="1" s="1"/>
  <c r="L166" i="1"/>
  <c r="M166" i="1" s="1"/>
  <c r="L167" i="1"/>
  <c r="M167" i="1" s="1"/>
  <c r="L168" i="1"/>
  <c r="M168" i="1" s="1"/>
  <c r="L169" i="1"/>
  <c r="M169" i="1" s="1"/>
  <c r="L170" i="1"/>
  <c r="M170" i="1" s="1"/>
  <c r="L171" i="1"/>
  <c r="M171" i="1" s="1"/>
  <c r="L172" i="1"/>
  <c r="M172" i="1" s="1"/>
  <c r="L173" i="1"/>
  <c r="M173" i="1" s="1"/>
  <c r="L174" i="1"/>
  <c r="M174" i="1" s="1"/>
  <c r="L175" i="1"/>
  <c r="M175" i="1" s="1"/>
  <c r="L176" i="1"/>
  <c r="M176" i="1" s="1"/>
  <c r="L177" i="1"/>
  <c r="M177" i="1" s="1"/>
  <c r="L178" i="1"/>
  <c r="M178" i="1" s="1"/>
  <c r="L179" i="1"/>
  <c r="M179" i="1" s="1"/>
  <c r="L180" i="1"/>
  <c r="M180" i="1" s="1"/>
  <c r="L181" i="1"/>
  <c r="M181" i="1" s="1"/>
  <c r="L182" i="1"/>
  <c r="M182" i="1" s="1"/>
  <c r="L183" i="1"/>
  <c r="M183" i="1" s="1"/>
  <c r="L184" i="1"/>
  <c r="M184" i="1" s="1"/>
  <c r="L185" i="1"/>
  <c r="M185" i="1" s="1"/>
  <c r="L186" i="1"/>
  <c r="M186" i="1" s="1"/>
  <c r="L187" i="1"/>
  <c r="M187" i="1" s="1"/>
  <c r="L188" i="1"/>
  <c r="M188" i="1" s="1"/>
  <c r="L189" i="1"/>
  <c r="M189" i="1" s="1"/>
  <c r="L190" i="1"/>
  <c r="M190" i="1" s="1"/>
  <c r="L191" i="1"/>
  <c r="M191" i="1" s="1"/>
  <c r="L192" i="1"/>
  <c r="M192" i="1" s="1"/>
  <c r="L193" i="1"/>
  <c r="M193" i="1" s="1"/>
  <c r="L194" i="1"/>
  <c r="M194" i="1" s="1"/>
  <c r="L195" i="1"/>
  <c r="M195" i="1" s="1"/>
  <c r="L196" i="1"/>
  <c r="M196" i="1" s="1"/>
  <c r="L197" i="1"/>
  <c r="M197" i="1" s="1"/>
  <c r="L198" i="1"/>
  <c r="M198" i="1" s="1"/>
  <c r="L199" i="1"/>
  <c r="M199" i="1" s="1"/>
  <c r="L200" i="1"/>
  <c r="M200" i="1" s="1"/>
  <c r="L201" i="1"/>
  <c r="M201" i="1" s="1"/>
  <c r="L202" i="1"/>
  <c r="M202" i="1" s="1"/>
  <c r="L203" i="1"/>
  <c r="M203" i="1" s="1"/>
  <c r="L204" i="1"/>
  <c r="M204" i="1" s="1"/>
  <c r="L5" i="1"/>
  <c r="M5" i="1" s="1"/>
  <c r="F18" i="1"/>
  <c r="S26" i="7" l="1"/>
  <c r="U26" i="7" s="1"/>
  <c r="S73" i="7"/>
  <c r="U73" i="7" s="1"/>
  <c r="S158" i="7"/>
  <c r="S102" i="7"/>
  <c r="U102" i="7" s="1"/>
  <c r="S184" i="7"/>
  <c r="T184" i="7" s="1"/>
  <c r="S78" i="7"/>
  <c r="U78" i="7" s="1"/>
  <c r="S120" i="7"/>
  <c r="U120" i="7" s="1"/>
  <c r="V16" i="7"/>
  <c r="S107" i="7"/>
  <c r="U107" i="7" s="1"/>
  <c r="S62" i="7"/>
  <c r="U62" i="7" s="1"/>
  <c r="S136" i="7"/>
  <c r="U136" i="7" s="1"/>
  <c r="V91" i="7"/>
  <c r="S174" i="7"/>
  <c r="U174" i="7" s="1"/>
  <c r="S111" i="7"/>
  <c r="T111" i="7" s="1"/>
  <c r="S41" i="7"/>
  <c r="T41" i="7" s="1"/>
  <c r="S32" i="7"/>
  <c r="U32" i="7" s="1"/>
  <c r="S125" i="7"/>
  <c r="T125" i="7" s="1"/>
  <c r="S95" i="7"/>
  <c r="U95" i="7" s="1"/>
  <c r="V121" i="7"/>
  <c r="T76" i="7"/>
  <c r="T91" i="7"/>
  <c r="S6" i="7"/>
  <c r="T6" i="7" s="1"/>
  <c r="S129" i="7"/>
  <c r="T129" i="7" s="1"/>
  <c r="V129" i="7"/>
  <c r="S116" i="7"/>
  <c r="T116" i="7" s="1"/>
  <c r="V116" i="7"/>
  <c r="V115" i="7"/>
  <c r="S115" i="7"/>
  <c r="T115" i="7" s="1"/>
  <c r="V57" i="7"/>
  <c r="S57" i="7"/>
  <c r="U57" i="7" s="1"/>
  <c r="S109" i="7"/>
  <c r="U109" i="7" s="1"/>
  <c r="V109" i="7"/>
  <c r="S130" i="7"/>
  <c r="U130" i="7" s="1"/>
  <c r="V130" i="7"/>
  <c r="V68" i="7"/>
  <c r="S68" i="7"/>
  <c r="U68" i="7" s="1"/>
  <c r="S9" i="7"/>
  <c r="U9" i="7" s="1"/>
  <c r="V9" i="7"/>
  <c r="S70" i="7"/>
  <c r="T70" i="7" s="1"/>
  <c r="V70" i="7"/>
  <c r="V28" i="7"/>
  <c r="S28" i="7"/>
  <c r="U28" i="7" s="1"/>
  <c r="V52" i="7"/>
  <c r="S52" i="7"/>
  <c r="U52" i="7" s="1"/>
  <c r="V166" i="7"/>
  <c r="S166" i="7"/>
  <c r="T166" i="7" s="1"/>
  <c r="V103" i="7"/>
  <c r="V67" i="7"/>
  <c r="V69" i="7"/>
  <c r="S48" i="7"/>
  <c r="U48" i="7" s="1"/>
  <c r="V118" i="7"/>
  <c r="S18" i="7"/>
  <c r="U18" i="7" s="1"/>
  <c r="T69" i="7"/>
  <c r="V182" i="7"/>
  <c r="S182" i="7"/>
  <c r="U182" i="7" s="1"/>
  <c r="V188" i="7"/>
  <c r="S188" i="7"/>
  <c r="U188" i="7" s="1"/>
  <c r="V35" i="7"/>
  <c r="S35" i="7"/>
  <c r="U35" i="7" s="1"/>
  <c r="V97" i="7"/>
  <c r="S97" i="7"/>
  <c r="U97" i="7" s="1"/>
  <c r="V23" i="7"/>
  <c r="S23" i="7"/>
  <c r="U23" i="7" s="1"/>
  <c r="V172" i="7"/>
  <c r="S172" i="7"/>
  <c r="U172" i="7" s="1"/>
  <c r="S150" i="7"/>
  <c r="U150" i="7" s="1"/>
  <c r="V150" i="7"/>
  <c r="V60" i="7"/>
  <c r="S60" i="7"/>
  <c r="T60" i="7" s="1"/>
  <c r="V106" i="7"/>
  <c r="S106" i="7"/>
  <c r="T106" i="7" s="1"/>
  <c r="S92" i="7"/>
  <c r="U92" i="7" s="1"/>
  <c r="V92" i="7"/>
  <c r="V94" i="7"/>
  <c r="S94" i="7"/>
  <c r="T94" i="7" s="1"/>
  <c r="S61" i="7"/>
  <c r="U61" i="7" s="1"/>
  <c r="V61" i="7"/>
  <c r="V50" i="7"/>
  <c r="S50" i="7"/>
  <c r="U50" i="7" s="1"/>
  <c r="V192" i="7"/>
  <c r="S192" i="7"/>
  <c r="U192" i="7" s="1"/>
  <c r="V204" i="7"/>
  <c r="S204" i="7"/>
  <c r="U204" i="7" s="1"/>
  <c r="V81" i="7"/>
  <c r="S81" i="7"/>
  <c r="U81" i="7" s="1"/>
  <c r="V87" i="7"/>
  <c r="S87" i="7"/>
  <c r="U87" i="7" s="1"/>
  <c r="S15" i="7"/>
  <c r="V15" i="7"/>
  <c r="V82" i="7"/>
  <c r="S82" i="7"/>
  <c r="T82" i="7" s="1"/>
  <c r="S169" i="7"/>
  <c r="U169" i="7" s="1"/>
  <c r="V169" i="7"/>
  <c r="S11" i="7"/>
  <c r="U11" i="7" s="1"/>
  <c r="V11" i="7"/>
  <c r="S110" i="7"/>
  <c r="T110" i="7" s="1"/>
  <c r="V110" i="7"/>
  <c r="S10" i="7"/>
  <c r="T10" i="7" s="1"/>
  <c r="V10" i="7"/>
  <c r="V24" i="7"/>
  <c r="S24" i="7"/>
  <c r="T24" i="7" s="1"/>
  <c r="V14" i="7"/>
  <c r="S14" i="7"/>
  <c r="T14" i="7" s="1"/>
  <c r="S80" i="7"/>
  <c r="U80" i="7" s="1"/>
  <c r="V80" i="7"/>
  <c r="V22" i="7"/>
  <c r="S22" i="7"/>
  <c r="U22" i="7" s="1"/>
  <c r="V79" i="7"/>
  <c r="S79" i="7"/>
  <c r="U79" i="7" s="1"/>
  <c r="V72" i="7"/>
  <c r="S72" i="7"/>
  <c r="U72" i="7" s="1"/>
  <c r="S33" i="7"/>
  <c r="T33" i="7" s="1"/>
  <c r="V33" i="7"/>
  <c r="S142" i="7"/>
  <c r="U142" i="7" s="1"/>
  <c r="V142" i="7"/>
  <c r="V12" i="7"/>
  <c r="S12" i="7"/>
  <c r="T12" i="7" s="1"/>
  <c r="V86" i="7"/>
  <c r="S86" i="7"/>
  <c r="T86" i="7" s="1"/>
  <c r="S63" i="7"/>
  <c r="T63" i="7" s="1"/>
  <c r="V63" i="7"/>
  <c r="V30" i="7"/>
  <c r="S30" i="7"/>
  <c r="T30" i="7" s="1"/>
  <c r="V132" i="7"/>
  <c r="S132" i="7"/>
  <c r="U132" i="7" s="1"/>
  <c r="V149" i="7"/>
  <c r="S149" i="7"/>
  <c r="U149" i="7" s="1"/>
  <c r="V124" i="7"/>
  <c r="S124" i="7"/>
  <c r="T124" i="7" s="1"/>
  <c r="V56" i="7"/>
  <c r="S56" i="7"/>
  <c r="U56" i="7" s="1"/>
  <c r="S187" i="7"/>
  <c r="T187" i="7" s="1"/>
  <c r="V187" i="7"/>
  <c r="V140" i="7"/>
  <c r="S140" i="7"/>
  <c r="U140" i="7" s="1"/>
  <c r="V8" i="7"/>
  <c r="S8" i="7"/>
  <c r="U8" i="7" s="1"/>
  <c r="V126" i="7"/>
  <c r="S126" i="7"/>
  <c r="U126" i="7" s="1"/>
  <c r="V189" i="7"/>
  <c r="S44" i="7"/>
  <c r="T44" i="7" s="1"/>
  <c r="S89" i="7"/>
  <c r="U89" i="7" s="1"/>
  <c r="S20" i="7"/>
  <c r="T20" i="7" s="1"/>
  <c r="V40" i="7"/>
  <c r="S83" i="7"/>
  <c r="U83" i="7" s="1"/>
  <c r="V76" i="7"/>
  <c r="S36" i="7"/>
  <c r="U36" i="7" s="1"/>
  <c r="V127" i="7"/>
  <c r="V49" i="7"/>
  <c r="V203" i="7"/>
  <c r="V190" i="7"/>
  <c r="S43" i="7"/>
  <c r="T43" i="7" s="1"/>
  <c r="S164" i="7"/>
  <c r="U164" i="7" s="1"/>
  <c r="V5" i="7"/>
  <c r="S5" i="7"/>
  <c r="U5" i="7" s="1"/>
  <c r="S148" i="7"/>
  <c r="U148" i="7" s="1"/>
  <c r="S194" i="7"/>
  <c r="U194" i="7" s="1"/>
  <c r="V7" i="7"/>
  <c r="V159" i="7"/>
  <c r="S29" i="7"/>
  <c r="T29" i="7" s="1"/>
  <c r="S160" i="7"/>
  <c r="U160" i="7" s="1"/>
  <c r="V51" i="7"/>
  <c r="S46" i="7"/>
  <c r="U46" i="7" s="1"/>
  <c r="V163" i="7"/>
  <c r="V71" i="7"/>
  <c r="V45" i="7"/>
  <c r="V34" i="7"/>
  <c r="S17" i="7"/>
  <c r="U17" i="7" s="1"/>
  <c r="S200" i="7"/>
  <c r="U200" i="7" s="1"/>
  <c r="V13" i="7"/>
  <c r="T16" i="7"/>
  <c r="W16" i="7" s="1"/>
  <c r="S162" i="7"/>
  <c r="T162" i="7" s="1"/>
  <c r="V176" i="7"/>
  <c r="S181" i="7"/>
  <c r="U181" i="7" s="1"/>
  <c r="S202" i="7"/>
  <c r="U202" i="7" s="1"/>
  <c r="V47" i="7"/>
  <c r="S152" i="7"/>
  <c r="U152" i="7" s="1"/>
  <c r="V183" i="7"/>
  <c r="V145" i="7"/>
  <c r="S170" i="7"/>
  <c r="U170" i="7" s="1"/>
  <c r="S201" i="7"/>
  <c r="U201" i="7" s="1"/>
  <c r="S133" i="7"/>
  <c r="U133" i="7" s="1"/>
  <c r="S37" i="7"/>
  <c r="T37" i="7" s="1"/>
  <c r="S137" i="7"/>
  <c r="T137" i="7" s="1"/>
  <c r="S141" i="7"/>
  <c r="U141" i="7" s="1"/>
  <c r="S53" i="7"/>
  <c r="U53" i="7" s="1"/>
  <c r="S139" i="7"/>
  <c r="T139" i="7" s="1"/>
  <c r="S99" i="7"/>
  <c r="T99" i="7" s="1"/>
  <c r="S66" i="7"/>
  <c r="T66" i="7" s="1"/>
  <c r="V27" i="7"/>
  <c r="S157" i="7"/>
  <c r="U157" i="7" s="1"/>
  <c r="V105" i="7"/>
  <c r="S191" i="7"/>
  <c r="T191" i="7" s="1"/>
  <c r="S114" i="7"/>
  <c r="U114" i="7" s="1"/>
  <c r="S90" i="7"/>
  <c r="T90" i="7" s="1"/>
  <c r="S65" i="7"/>
  <c r="U65" i="7" s="1"/>
  <c r="S138" i="7"/>
  <c r="U138" i="7" s="1"/>
  <c r="V147" i="7"/>
  <c r="V198" i="7"/>
  <c r="V135" i="7"/>
  <c r="S101" i="7"/>
  <c r="U101" i="7" s="1"/>
  <c r="S186" i="7"/>
  <c r="U186" i="7" s="1"/>
  <c r="S161" i="7"/>
  <c r="U161" i="7" s="1"/>
  <c r="S134" i="7"/>
  <c r="T134" i="7" s="1"/>
  <c r="S128" i="7"/>
  <c r="U128" i="7" s="1"/>
  <c r="V151" i="7"/>
  <c r="V108" i="7"/>
  <c r="V88" i="7"/>
  <c r="S153" i="7"/>
  <c r="T153" i="7" s="1"/>
  <c r="S98" i="7"/>
  <c r="T98" i="7" s="1"/>
  <c r="S197" i="7"/>
  <c r="U197" i="7" s="1"/>
  <c r="S173" i="7"/>
  <c r="U173" i="7" s="1"/>
  <c r="V117" i="7"/>
  <c r="S146" i="7"/>
  <c r="U146" i="7" s="1"/>
  <c r="V199" i="7"/>
  <c r="V143" i="7"/>
  <c r="S85" i="7"/>
  <c r="U85" i="7" s="1"/>
  <c r="S178" i="7"/>
  <c r="U178" i="7" s="1"/>
  <c r="S154" i="7"/>
  <c r="T154" i="7" s="1"/>
  <c r="S196" i="7"/>
  <c r="T196" i="7" s="1"/>
  <c r="S112" i="7"/>
  <c r="T112" i="7" s="1"/>
  <c r="S171" i="7"/>
  <c r="U171" i="7" s="1"/>
  <c r="V84" i="7"/>
  <c r="V93" i="7"/>
  <c r="V113" i="7"/>
  <c r="V100" i="7"/>
  <c r="V179" i="7"/>
  <c r="S185" i="7"/>
  <c r="U185" i="7" s="1"/>
  <c r="S74" i="7"/>
  <c r="U74" i="7" s="1"/>
  <c r="V131" i="7"/>
  <c r="S122" i="7"/>
  <c r="T122" i="7" s="1"/>
  <c r="V42" i="7"/>
  <c r="V59" i="7"/>
  <c r="S168" i="7"/>
  <c r="U168" i="7" s="1"/>
  <c r="S193" i="7"/>
  <c r="T193" i="7" s="1"/>
  <c r="U40" i="7"/>
  <c r="V75" i="7"/>
  <c r="V119" i="7"/>
  <c r="S180" i="7"/>
  <c r="U180" i="7" s="1"/>
  <c r="S58" i="7"/>
  <c r="U58" i="7" s="1"/>
  <c r="V167" i="7"/>
  <c r="V175" i="7"/>
  <c r="V39" i="7"/>
  <c r="S38" i="7"/>
  <c r="U38" i="7" s="1"/>
  <c r="S77" i="7"/>
  <c r="U77" i="7" s="1"/>
  <c r="V123" i="7"/>
  <c r="S177" i="7"/>
  <c r="T177" i="7" s="1"/>
  <c r="T25" i="7"/>
  <c r="W25" i="7" s="1"/>
  <c r="S165" i="7"/>
  <c r="U165" i="7" s="1"/>
  <c r="S156" i="7"/>
  <c r="U156" i="7" s="1"/>
  <c r="V195" i="7"/>
  <c r="V31" i="7"/>
  <c r="V96" i="7"/>
  <c r="S19" i="7"/>
  <c r="T19" i="7" s="1"/>
  <c r="V104" i="7"/>
  <c r="V155" i="7"/>
  <c r="S144" i="7"/>
  <c r="T144" i="7" s="1"/>
  <c r="V55" i="7"/>
  <c r="T26" i="7"/>
  <c r="W26" i="7" s="1"/>
  <c r="W54" i="7"/>
  <c r="V21" i="7"/>
  <c r="U100" i="7"/>
  <c r="T100" i="7"/>
  <c r="U21" i="7"/>
  <c r="T21" i="7"/>
  <c r="U143" i="7"/>
  <c r="T143" i="7"/>
  <c r="U189" i="7"/>
  <c r="T189" i="7"/>
  <c r="U145" i="7"/>
  <c r="T145" i="7"/>
  <c r="U93" i="7"/>
  <c r="T93" i="7"/>
  <c r="T195" i="7"/>
  <c r="U195" i="7"/>
  <c r="U167" i="7"/>
  <c r="T167" i="7"/>
  <c r="T51" i="7"/>
  <c r="U51" i="7"/>
  <c r="U127" i="7"/>
  <c r="T127" i="7"/>
  <c r="U176" i="7"/>
  <c r="T176" i="7"/>
  <c r="U118" i="7"/>
  <c r="T118" i="7"/>
  <c r="U45" i="7"/>
  <c r="T45" i="7"/>
  <c r="U121" i="7"/>
  <c r="T121" i="7"/>
  <c r="T71" i="7"/>
  <c r="U71" i="7"/>
  <c r="T59" i="7"/>
  <c r="U59" i="7"/>
  <c r="U190" i="7"/>
  <c r="T190" i="7"/>
  <c r="U135" i="7"/>
  <c r="T135" i="7"/>
  <c r="U88" i="7"/>
  <c r="T88" i="7"/>
  <c r="U151" i="7"/>
  <c r="T151" i="7"/>
  <c r="T42" i="7"/>
  <c r="U42" i="7"/>
  <c r="U34" i="7"/>
  <c r="T34" i="7"/>
  <c r="U119" i="7"/>
  <c r="T119" i="7"/>
  <c r="U7" i="7"/>
  <c r="T7" i="7"/>
  <c r="U49" i="7"/>
  <c r="T49" i="7"/>
  <c r="U105" i="7"/>
  <c r="T105" i="7"/>
  <c r="U123" i="7"/>
  <c r="T123" i="7"/>
  <c r="T31" i="7"/>
  <c r="U31" i="7"/>
  <c r="U159" i="7"/>
  <c r="T159" i="7"/>
  <c r="U108" i="7"/>
  <c r="T108" i="7"/>
  <c r="T199" i="7"/>
  <c r="U199" i="7"/>
  <c r="T203" i="7"/>
  <c r="U203" i="7"/>
  <c r="U84" i="7"/>
  <c r="T84" i="7"/>
  <c r="U183" i="7"/>
  <c r="T183" i="7"/>
  <c r="T67" i="7"/>
  <c r="U67" i="7"/>
  <c r="U104" i="7"/>
  <c r="T104" i="7"/>
  <c r="W64" i="7"/>
  <c r="T47" i="7"/>
  <c r="U47" i="7"/>
  <c r="U96" i="7"/>
  <c r="T96" i="7"/>
  <c r="S142" i="5"/>
  <c r="U142" i="5" s="1"/>
  <c r="T39" i="7"/>
  <c r="U39" i="7"/>
  <c r="U179" i="7"/>
  <c r="T179" i="7"/>
  <c r="U155" i="7"/>
  <c r="T155" i="7"/>
  <c r="U158" i="7"/>
  <c r="T158" i="7"/>
  <c r="U198" i="7"/>
  <c r="T198" i="7"/>
  <c r="U117" i="7"/>
  <c r="T117" i="7"/>
  <c r="U175" i="7"/>
  <c r="T175" i="7"/>
  <c r="U163" i="7"/>
  <c r="T163" i="7"/>
  <c r="T55" i="7"/>
  <c r="U55" i="7"/>
  <c r="U27" i="7"/>
  <c r="T27" i="7"/>
  <c r="T75" i="7"/>
  <c r="U75" i="7"/>
  <c r="T102" i="7"/>
  <c r="U113" i="7"/>
  <c r="T113" i="7"/>
  <c r="U147" i="7"/>
  <c r="T147" i="7"/>
  <c r="U13" i="7"/>
  <c r="T13" i="7"/>
  <c r="U131" i="7"/>
  <c r="T131" i="7"/>
  <c r="U103" i="7"/>
  <c r="T103" i="7"/>
  <c r="S145" i="5"/>
  <c r="U145" i="5" s="1"/>
  <c r="S188" i="5"/>
  <c r="U188" i="5" s="1"/>
  <c r="S29" i="5"/>
  <c r="T29" i="5" s="1"/>
  <c r="S177" i="5"/>
  <c r="T177" i="5" s="1"/>
  <c r="S70" i="5"/>
  <c r="T70" i="5" s="1"/>
  <c r="S12" i="5"/>
  <c r="U12" i="5" s="1"/>
  <c r="S193" i="5"/>
  <c r="U193" i="5" s="1"/>
  <c r="S18" i="5"/>
  <c r="T18" i="5" s="1"/>
  <c r="S103" i="5"/>
  <c r="T103" i="5" s="1"/>
  <c r="S94" i="5"/>
  <c r="U94" i="5" s="1"/>
  <c r="T31" i="5"/>
  <c r="W31" i="5" s="1"/>
  <c r="S61" i="5"/>
  <c r="U61" i="5" s="1"/>
  <c r="S27" i="5"/>
  <c r="T27" i="5" s="1"/>
  <c r="S195" i="5"/>
  <c r="U195" i="5" s="1"/>
  <c r="S92" i="5"/>
  <c r="T92" i="5" s="1"/>
  <c r="S73" i="5"/>
  <c r="U73" i="5" s="1"/>
  <c r="S119" i="5"/>
  <c r="T119" i="5" s="1"/>
  <c r="V119" i="5"/>
  <c r="S150" i="5"/>
  <c r="U150" i="5" s="1"/>
  <c r="V150" i="5"/>
  <c r="S20" i="5"/>
  <c r="U20" i="5" s="1"/>
  <c r="V20" i="5"/>
  <c r="S76" i="5"/>
  <c r="U76" i="5" s="1"/>
  <c r="V76" i="5"/>
  <c r="S41" i="5"/>
  <c r="T41" i="5" s="1"/>
  <c r="V41" i="5"/>
  <c r="T109" i="5"/>
  <c r="W109" i="5" s="1"/>
  <c r="S130" i="5"/>
  <c r="T130" i="5" s="1"/>
  <c r="S164" i="5"/>
  <c r="U164" i="5" s="1"/>
  <c r="S132" i="5"/>
  <c r="U132" i="5" s="1"/>
  <c r="S63" i="5"/>
  <c r="U63" i="5" s="1"/>
  <c r="T26" i="5"/>
  <c r="W26" i="5" s="1"/>
  <c r="T51" i="5"/>
  <c r="W51" i="5" s="1"/>
  <c r="S196" i="5"/>
  <c r="T196" i="5" s="1"/>
  <c r="T30" i="5"/>
  <c r="W30" i="5" s="1"/>
  <c r="T57" i="5"/>
  <c r="W57" i="5" s="1"/>
  <c r="T32" i="5"/>
  <c r="W32" i="5" s="1"/>
  <c r="S202" i="5"/>
  <c r="T202" i="5" s="1"/>
  <c r="T52" i="5"/>
  <c r="W52" i="5" s="1"/>
  <c r="U113" i="5"/>
  <c r="W113" i="5" s="1"/>
  <c r="T24" i="5"/>
  <c r="W24" i="5" s="1"/>
  <c r="U64" i="5"/>
  <c r="W64" i="5" s="1"/>
  <c r="T80" i="5"/>
  <c r="W80" i="5" s="1"/>
  <c r="T68" i="5"/>
  <c r="W68" i="5" s="1"/>
  <c r="T104" i="5"/>
  <c r="W104" i="5" s="1"/>
  <c r="T15" i="5"/>
  <c r="W15" i="5" s="1"/>
  <c r="T10" i="5"/>
  <c r="W10" i="5" s="1"/>
  <c r="U6" i="5"/>
  <c r="W6" i="5" s="1"/>
  <c r="T65" i="5"/>
  <c r="W65" i="5" s="1"/>
  <c r="U36" i="5"/>
  <c r="W36" i="5" s="1"/>
  <c r="T58" i="5"/>
  <c r="W58" i="5" s="1"/>
  <c r="T81" i="5"/>
  <c r="W81" i="5" s="1"/>
  <c r="S115" i="5"/>
  <c r="U115" i="5" s="1"/>
  <c r="S189" i="5"/>
  <c r="T189" i="5" s="1"/>
  <c r="S42" i="5"/>
  <c r="T42" i="5" s="1"/>
  <c r="S146" i="5"/>
  <c r="T146" i="5" s="1"/>
  <c r="S75" i="5"/>
  <c r="U75" i="5" s="1"/>
  <c r="S106" i="5"/>
  <c r="U106" i="5" s="1"/>
  <c r="S69" i="5"/>
  <c r="T69" i="5" s="1"/>
  <c r="S184" i="5"/>
  <c r="U184" i="5" s="1"/>
  <c r="S100" i="5"/>
  <c r="U100" i="5" s="1"/>
  <c r="S158" i="5"/>
  <c r="U158" i="5" s="1"/>
  <c r="S111" i="5"/>
  <c r="S201" i="5"/>
  <c r="S197" i="5"/>
  <c r="T197" i="5" s="1"/>
  <c r="S179" i="5"/>
  <c r="S163" i="5"/>
  <c r="U163" i="5" s="1"/>
  <c r="S135" i="5"/>
  <c r="U135" i="5" s="1"/>
  <c r="T78" i="5"/>
  <c r="W78" i="5" s="1"/>
  <c r="S74" i="5"/>
  <c r="U74" i="5" s="1"/>
  <c r="S46" i="5"/>
  <c r="U46" i="5" s="1"/>
  <c r="S82" i="5"/>
  <c r="T82" i="5" s="1"/>
  <c r="S186" i="5"/>
  <c r="U186" i="5" s="1"/>
  <c r="S8" i="5"/>
  <c r="U8" i="5" s="1"/>
  <c r="S19" i="5"/>
  <c r="U19" i="5" s="1"/>
  <c r="S11" i="5"/>
  <c r="S107" i="5"/>
  <c r="S153" i="5"/>
  <c r="U153" i="5" s="1"/>
  <c r="S124" i="5"/>
  <c r="U124" i="5" s="1"/>
  <c r="S144" i="5"/>
  <c r="U144" i="5" s="1"/>
  <c r="S187" i="5"/>
  <c r="T187" i="5" s="1"/>
  <c r="S120" i="5"/>
  <c r="U120" i="5" s="1"/>
  <c r="S14" i="5"/>
  <c r="T14" i="5" s="1"/>
  <c r="S39" i="5"/>
  <c r="U39" i="5" s="1"/>
  <c r="S90" i="5"/>
  <c r="S85" i="5"/>
  <c r="S116" i="5"/>
  <c r="U116" i="5" s="1"/>
  <c r="S121" i="5"/>
  <c r="U121" i="5" s="1"/>
  <c r="S185" i="5"/>
  <c r="U185" i="5" s="1"/>
  <c r="S139" i="5"/>
  <c r="U139" i="5" s="1"/>
  <c r="S62" i="5"/>
  <c r="U62" i="5" s="1"/>
  <c r="S56" i="5"/>
  <c r="U56" i="5" s="1"/>
  <c r="S35" i="5"/>
  <c r="T35" i="5" s="1"/>
  <c r="S79" i="5"/>
  <c r="T79" i="5" s="1"/>
  <c r="S101" i="5"/>
  <c r="T101" i="5" s="1"/>
  <c r="S117" i="5"/>
  <c r="S13" i="5"/>
  <c r="S114" i="5"/>
  <c r="U114" i="5" s="1"/>
  <c r="S33" i="5"/>
  <c r="U33" i="5" s="1"/>
  <c r="S156" i="5"/>
  <c r="U156" i="5" s="1"/>
  <c r="S161" i="5"/>
  <c r="U161" i="5" s="1"/>
  <c r="S171" i="5"/>
  <c r="U171" i="5" s="1"/>
  <c r="S28" i="5"/>
  <c r="T28" i="5" s="1"/>
  <c r="S138" i="5"/>
  <c r="S22" i="5"/>
  <c r="S105" i="5"/>
  <c r="S108" i="5"/>
  <c r="S86" i="5"/>
  <c r="S34" i="5"/>
  <c r="U34" i="5" s="1"/>
  <c r="S182" i="5"/>
  <c r="U182" i="5" s="1"/>
  <c r="S67" i="5"/>
  <c r="U67" i="5" s="1"/>
  <c r="S89" i="5"/>
  <c r="U89" i="5" s="1"/>
  <c r="S198" i="5"/>
  <c r="U198" i="5" s="1"/>
  <c r="S37" i="5"/>
  <c r="U37" i="5" s="1"/>
  <c r="S7" i="5"/>
  <c r="T7" i="5" s="1"/>
  <c r="S178" i="5"/>
  <c r="T178" i="5" s="1"/>
  <c r="S181" i="5"/>
  <c r="S166" i="5"/>
  <c r="S183" i="5"/>
  <c r="S17" i="5"/>
  <c r="U17" i="5" s="1"/>
  <c r="S48" i="5"/>
  <c r="U48" i="5" s="1"/>
  <c r="S102" i="5"/>
  <c r="U102" i="5" s="1"/>
  <c r="S122" i="5"/>
  <c r="T122" i="5" s="1"/>
  <c r="S71" i="5"/>
  <c r="U71" i="5" s="1"/>
  <c r="S87" i="5"/>
  <c r="U87" i="5" s="1"/>
  <c r="S95" i="5"/>
  <c r="U95" i="5" s="1"/>
  <c r="S96" i="5"/>
  <c r="S134" i="5"/>
  <c r="U134" i="5" s="1"/>
  <c r="S38" i="5"/>
  <c r="T38" i="5" s="1"/>
  <c r="S147" i="5"/>
  <c r="U147" i="5" s="1"/>
  <c r="S133" i="5"/>
  <c r="T133" i="5" s="1"/>
  <c r="S173" i="5"/>
  <c r="U173" i="5" s="1"/>
  <c r="S154" i="5"/>
  <c r="U154" i="5" s="1"/>
  <c r="S157" i="5"/>
  <c r="U157" i="5" s="1"/>
  <c r="S148" i="5"/>
  <c r="T25" i="5"/>
  <c r="W25" i="5" s="1"/>
  <c r="S77" i="5"/>
  <c r="U77" i="5" s="1"/>
  <c r="S43" i="5"/>
  <c r="U43" i="5" s="1"/>
  <c r="T125" i="5"/>
  <c r="W125" i="5" s="1"/>
  <c r="S53" i="5"/>
  <c r="T53" i="5" s="1"/>
  <c r="S190" i="5"/>
  <c r="U190" i="5" s="1"/>
  <c r="S143" i="5"/>
  <c r="U143" i="5" s="1"/>
  <c r="S149" i="5"/>
  <c r="T149" i="5" s="1"/>
  <c r="S168" i="5"/>
  <c r="U168" i="5" s="1"/>
  <c r="S199" i="5"/>
  <c r="T199" i="5" s="1"/>
  <c r="S40" i="5"/>
  <c r="T40" i="5" s="1"/>
  <c r="S118" i="5"/>
  <c r="U118" i="5" s="1"/>
  <c r="S99" i="5"/>
  <c r="U99" i="5" s="1"/>
  <c r="S200" i="5"/>
  <c r="T200" i="5" s="1"/>
  <c r="S88" i="5"/>
  <c r="U88" i="5" s="1"/>
  <c r="S159" i="5"/>
  <c r="U159" i="5" s="1"/>
  <c r="S165" i="5"/>
  <c r="S136" i="5"/>
  <c r="T136" i="5" s="1"/>
  <c r="S137" i="5"/>
  <c r="U137" i="5" s="1"/>
  <c r="S47" i="5"/>
  <c r="T47" i="5" s="1"/>
  <c r="S84" i="5"/>
  <c r="U84" i="5" s="1"/>
  <c r="S203" i="5"/>
  <c r="U203" i="5" s="1"/>
  <c r="S44" i="5"/>
  <c r="U44" i="5" s="1"/>
  <c r="S59" i="5"/>
  <c r="T59" i="5" s="1"/>
  <c r="S54" i="5"/>
  <c r="T54" i="5" s="1"/>
  <c r="S66" i="5"/>
  <c r="U66" i="5" s="1"/>
  <c r="S127" i="5"/>
  <c r="S129" i="5"/>
  <c r="S160" i="5"/>
  <c r="T160" i="5" s="1"/>
  <c r="S152" i="5"/>
  <c r="U152" i="5" s="1"/>
  <c r="S176" i="5"/>
  <c r="U176" i="5" s="1"/>
  <c r="S180" i="5"/>
  <c r="U180" i="5" s="1"/>
  <c r="S131" i="5"/>
  <c r="U131" i="5" s="1"/>
  <c r="S55" i="5"/>
  <c r="T55" i="5" s="1"/>
  <c r="S162" i="5"/>
  <c r="U162" i="5" s="1"/>
  <c r="S175" i="5"/>
  <c r="U175" i="5" s="1"/>
  <c r="S21" i="5"/>
  <c r="T21" i="5" s="1"/>
  <c r="S191" i="5"/>
  <c r="S112" i="5"/>
  <c r="T112" i="5" s="1"/>
  <c r="S169" i="5"/>
  <c r="U169" i="5" s="1"/>
  <c r="S192" i="5"/>
  <c r="U192" i="5" s="1"/>
  <c r="S151" i="5"/>
  <c r="U151" i="5" s="1"/>
  <c r="S167" i="5"/>
  <c r="U167" i="5" s="1"/>
  <c r="S23" i="5"/>
  <c r="S50" i="5"/>
  <c r="T50" i="5" s="1"/>
  <c r="S126" i="5"/>
  <c r="T126" i="5" s="1"/>
  <c r="S123" i="5"/>
  <c r="S172" i="5"/>
  <c r="T172" i="5" s="1"/>
  <c r="T49" i="5"/>
  <c r="W49" i="5" s="1"/>
  <c r="T110" i="5"/>
  <c r="W110" i="5" s="1"/>
  <c r="T9" i="5"/>
  <c r="W9" i="5" s="1"/>
  <c r="S170" i="5"/>
  <c r="U170" i="5" s="1"/>
  <c r="S194" i="5"/>
  <c r="T194" i="5" s="1"/>
  <c r="S83" i="5"/>
  <c r="U83" i="5" s="1"/>
  <c r="S72" i="5"/>
  <c r="U72" i="5" s="1"/>
  <c r="S16" i="5"/>
  <c r="T16" i="5" s="1"/>
  <c r="S140" i="5"/>
  <c r="U140" i="5" s="1"/>
  <c r="S155" i="5"/>
  <c r="S204" i="5"/>
  <c r="T204" i="5" s="1"/>
  <c r="S128" i="5"/>
  <c r="U128" i="5" s="1"/>
  <c r="T141" i="5"/>
  <c r="W141" i="5" s="1"/>
  <c r="S91" i="5"/>
  <c r="U91" i="5" s="1"/>
  <c r="S60" i="5"/>
  <c r="U60" i="5" s="1"/>
  <c r="U45" i="5"/>
  <c r="W45" i="5" s="1"/>
  <c r="S98" i="5"/>
  <c r="U98" i="5" s="1"/>
  <c r="T93" i="5"/>
  <c r="W93" i="5" s="1"/>
  <c r="S174" i="5"/>
  <c r="S97" i="5"/>
  <c r="T5" i="5"/>
  <c r="W5" i="5" s="1"/>
  <c r="P171" i="1"/>
  <c r="Q171" i="1" s="1"/>
  <c r="P139" i="1"/>
  <c r="Q139" i="1" s="1"/>
  <c r="P107" i="1"/>
  <c r="Q107" i="1" s="1"/>
  <c r="P91" i="1"/>
  <c r="Q91" i="1" s="1"/>
  <c r="P59" i="1"/>
  <c r="Q59" i="1" s="1"/>
  <c r="P43" i="1"/>
  <c r="Q43" i="1" s="1"/>
  <c r="P27" i="1"/>
  <c r="Q27" i="1" s="1"/>
  <c r="P11" i="1"/>
  <c r="Q11" i="1" s="1"/>
  <c r="P203" i="1"/>
  <c r="Q203" i="1" s="1"/>
  <c r="P187" i="1"/>
  <c r="Q187" i="1" s="1"/>
  <c r="P155" i="1"/>
  <c r="Q155" i="1" s="1"/>
  <c r="P123" i="1"/>
  <c r="Q123" i="1" s="1"/>
  <c r="P75" i="1"/>
  <c r="Q75" i="1" s="1"/>
  <c r="P5" i="1"/>
  <c r="Q5" i="1" s="1"/>
  <c r="P189" i="1"/>
  <c r="Q189" i="1" s="1"/>
  <c r="P173" i="1"/>
  <c r="Q173" i="1" s="1"/>
  <c r="P157" i="1"/>
  <c r="Q157" i="1" s="1"/>
  <c r="P141" i="1"/>
  <c r="Q141" i="1" s="1"/>
  <c r="P125" i="1"/>
  <c r="Q125" i="1" s="1"/>
  <c r="P109" i="1"/>
  <c r="Q109" i="1" s="1"/>
  <c r="P93" i="1"/>
  <c r="Q93" i="1" s="1"/>
  <c r="P77" i="1"/>
  <c r="Q77" i="1" s="1"/>
  <c r="P61" i="1"/>
  <c r="Q61" i="1" s="1"/>
  <c r="P45" i="1"/>
  <c r="Q45" i="1" s="1"/>
  <c r="P29" i="1"/>
  <c r="Q29" i="1" s="1"/>
  <c r="P13" i="1"/>
  <c r="Q13" i="1" s="1"/>
  <c r="P204" i="1"/>
  <c r="Q204" i="1" s="1"/>
  <c r="P188" i="1"/>
  <c r="Q188" i="1" s="1"/>
  <c r="P156" i="1"/>
  <c r="Q156" i="1" s="1"/>
  <c r="P140" i="1"/>
  <c r="Q140" i="1" s="1"/>
  <c r="P124" i="1"/>
  <c r="Q124" i="1" s="1"/>
  <c r="P108" i="1"/>
  <c r="Q108" i="1" s="1"/>
  <c r="P92" i="1"/>
  <c r="Q92" i="1" s="1"/>
  <c r="P76" i="1"/>
  <c r="Q76" i="1" s="1"/>
  <c r="P60" i="1"/>
  <c r="Q60" i="1" s="1"/>
  <c r="P44" i="1"/>
  <c r="Q44" i="1" s="1"/>
  <c r="P28" i="1"/>
  <c r="Q28" i="1" s="1"/>
  <c r="P12" i="1"/>
  <c r="Q12" i="1" s="1"/>
  <c r="P172" i="1"/>
  <c r="Q172" i="1" s="1"/>
  <c r="P200" i="1"/>
  <c r="Q200" i="1" s="1"/>
  <c r="P168" i="1"/>
  <c r="Q168" i="1" s="1"/>
  <c r="P136" i="1"/>
  <c r="Q136" i="1" s="1"/>
  <c r="P104" i="1"/>
  <c r="Q104" i="1" s="1"/>
  <c r="P88" i="1"/>
  <c r="Q88" i="1" s="1"/>
  <c r="P56" i="1"/>
  <c r="Q56" i="1" s="1"/>
  <c r="P24" i="1"/>
  <c r="Q24" i="1" s="1"/>
  <c r="P184" i="1"/>
  <c r="Q184" i="1" s="1"/>
  <c r="P152" i="1"/>
  <c r="Q152" i="1" s="1"/>
  <c r="P120" i="1"/>
  <c r="Q120" i="1" s="1"/>
  <c r="P72" i="1"/>
  <c r="Q72" i="1" s="1"/>
  <c r="P40" i="1"/>
  <c r="Q40" i="1" s="1"/>
  <c r="P8" i="1"/>
  <c r="Q8" i="1" s="1"/>
  <c r="P183" i="1"/>
  <c r="Q183" i="1" s="1"/>
  <c r="P135" i="1"/>
  <c r="Q135" i="1" s="1"/>
  <c r="P55" i="1"/>
  <c r="Q55" i="1" s="1"/>
  <c r="P39" i="1"/>
  <c r="Q39" i="1" s="1"/>
  <c r="P167" i="1"/>
  <c r="Q167" i="1" s="1"/>
  <c r="P103" i="1"/>
  <c r="Q103" i="1" s="1"/>
  <c r="P87" i="1"/>
  <c r="Q87" i="1" s="1"/>
  <c r="P7" i="1"/>
  <c r="Q7" i="1" s="1"/>
  <c r="P199" i="1"/>
  <c r="Q199" i="1" s="1"/>
  <c r="P151" i="1"/>
  <c r="Q151" i="1" s="1"/>
  <c r="P119" i="1"/>
  <c r="Q119" i="1" s="1"/>
  <c r="P71" i="1"/>
  <c r="Q71" i="1" s="1"/>
  <c r="P23" i="1"/>
  <c r="Q23" i="1" s="1"/>
  <c r="P202" i="1"/>
  <c r="Q202" i="1" s="1"/>
  <c r="P138" i="1"/>
  <c r="Q138" i="1" s="1"/>
  <c r="P90" i="1"/>
  <c r="Q90" i="1" s="1"/>
  <c r="P42" i="1"/>
  <c r="Q42" i="1" s="1"/>
  <c r="P185" i="1"/>
  <c r="Q185" i="1" s="1"/>
  <c r="P137" i="1"/>
  <c r="Q137" i="1" s="1"/>
  <c r="P89" i="1"/>
  <c r="Q89" i="1" s="1"/>
  <c r="P25" i="1"/>
  <c r="Q25" i="1" s="1"/>
  <c r="P170" i="1"/>
  <c r="Q170" i="1" s="1"/>
  <c r="P106" i="1"/>
  <c r="Q106" i="1" s="1"/>
  <c r="P74" i="1"/>
  <c r="Q74" i="1" s="1"/>
  <c r="P26" i="1"/>
  <c r="Q26" i="1" s="1"/>
  <c r="P153" i="1"/>
  <c r="Q153" i="1" s="1"/>
  <c r="P121" i="1"/>
  <c r="Q121" i="1" s="1"/>
  <c r="P73" i="1"/>
  <c r="Q73" i="1" s="1"/>
  <c r="P41" i="1"/>
  <c r="Q41" i="1" s="1"/>
  <c r="P186" i="1"/>
  <c r="Q186" i="1" s="1"/>
  <c r="P154" i="1"/>
  <c r="Q154" i="1" s="1"/>
  <c r="P122" i="1"/>
  <c r="Q122" i="1" s="1"/>
  <c r="P58" i="1"/>
  <c r="Q58" i="1" s="1"/>
  <c r="P10" i="1"/>
  <c r="Q10" i="1" s="1"/>
  <c r="P201" i="1"/>
  <c r="Q201" i="1" s="1"/>
  <c r="P169" i="1"/>
  <c r="Q169" i="1" s="1"/>
  <c r="P105" i="1"/>
  <c r="Q105" i="1" s="1"/>
  <c r="P57" i="1"/>
  <c r="Q57" i="1" s="1"/>
  <c r="P9" i="1"/>
  <c r="Q9" i="1" s="1"/>
  <c r="P182" i="1"/>
  <c r="Q182" i="1" s="1"/>
  <c r="P118" i="1"/>
  <c r="Q118" i="1" s="1"/>
  <c r="P6" i="1"/>
  <c r="Q6" i="1" s="1"/>
  <c r="P166" i="1"/>
  <c r="Q166" i="1" s="1"/>
  <c r="P102" i="1"/>
  <c r="Q102" i="1" s="1"/>
  <c r="P22" i="1"/>
  <c r="Q22" i="1" s="1"/>
  <c r="P150" i="1"/>
  <c r="Q150" i="1" s="1"/>
  <c r="P86" i="1"/>
  <c r="Q86" i="1" s="1"/>
  <c r="P38" i="1"/>
  <c r="Q38" i="1" s="1"/>
  <c r="P198" i="1"/>
  <c r="Q198" i="1" s="1"/>
  <c r="P134" i="1"/>
  <c r="Q134" i="1" s="1"/>
  <c r="P70" i="1"/>
  <c r="Q70" i="1" s="1"/>
  <c r="P54" i="1"/>
  <c r="Q54" i="1" s="1"/>
  <c r="P133" i="1"/>
  <c r="Q133" i="1" s="1"/>
  <c r="P181" i="1"/>
  <c r="Q181" i="1" s="1"/>
  <c r="P149" i="1"/>
  <c r="Q149" i="1" s="1"/>
  <c r="P101" i="1"/>
  <c r="Q101" i="1" s="1"/>
  <c r="P53" i="1"/>
  <c r="Q53" i="1" s="1"/>
  <c r="P21" i="1"/>
  <c r="Q21" i="1" s="1"/>
  <c r="P196" i="1"/>
  <c r="Q196" i="1" s="1"/>
  <c r="P180" i="1"/>
  <c r="Q180" i="1" s="1"/>
  <c r="P148" i="1"/>
  <c r="Q148" i="1" s="1"/>
  <c r="P116" i="1"/>
  <c r="Q116" i="1" s="1"/>
  <c r="P84" i="1"/>
  <c r="Q84" i="1" s="1"/>
  <c r="P52" i="1"/>
  <c r="Q52" i="1" s="1"/>
  <c r="P20" i="1"/>
  <c r="Q20" i="1" s="1"/>
  <c r="P195" i="1"/>
  <c r="Q195" i="1" s="1"/>
  <c r="P163" i="1"/>
  <c r="Q163" i="1" s="1"/>
  <c r="P131" i="1"/>
  <c r="Q131" i="1" s="1"/>
  <c r="P99" i="1"/>
  <c r="Q99" i="1" s="1"/>
  <c r="P67" i="1"/>
  <c r="Q67" i="1" s="1"/>
  <c r="P35" i="1"/>
  <c r="Q35" i="1" s="1"/>
  <c r="P178" i="1"/>
  <c r="Q178" i="1" s="1"/>
  <c r="P146" i="1"/>
  <c r="Q146" i="1" s="1"/>
  <c r="P114" i="1"/>
  <c r="Q114" i="1" s="1"/>
  <c r="P82" i="1"/>
  <c r="Q82" i="1" s="1"/>
  <c r="P50" i="1"/>
  <c r="Q50" i="1" s="1"/>
  <c r="P34" i="1"/>
  <c r="Q34" i="1" s="1"/>
  <c r="P177" i="1"/>
  <c r="Q177" i="1" s="1"/>
  <c r="P161" i="1"/>
  <c r="Q161" i="1" s="1"/>
  <c r="P129" i="1"/>
  <c r="Q129" i="1" s="1"/>
  <c r="P97" i="1"/>
  <c r="Q97" i="1" s="1"/>
  <c r="P81" i="1"/>
  <c r="Q81" i="1" s="1"/>
  <c r="P49" i="1"/>
  <c r="Q49" i="1" s="1"/>
  <c r="P33" i="1"/>
  <c r="Q33" i="1" s="1"/>
  <c r="P192" i="1"/>
  <c r="Q192" i="1" s="1"/>
  <c r="P160" i="1"/>
  <c r="Q160" i="1" s="1"/>
  <c r="P128" i="1"/>
  <c r="Q128" i="1" s="1"/>
  <c r="P112" i="1"/>
  <c r="Q112" i="1" s="1"/>
  <c r="P80" i="1"/>
  <c r="Q80" i="1" s="1"/>
  <c r="P64" i="1"/>
  <c r="Q64" i="1" s="1"/>
  <c r="P16" i="1"/>
  <c r="Q16" i="1" s="1"/>
  <c r="P191" i="1"/>
  <c r="Q191" i="1" s="1"/>
  <c r="P175" i="1"/>
  <c r="Q175" i="1" s="1"/>
  <c r="P159" i="1"/>
  <c r="Q159" i="1" s="1"/>
  <c r="P143" i="1"/>
  <c r="Q143" i="1" s="1"/>
  <c r="P127" i="1"/>
  <c r="Q127" i="1" s="1"/>
  <c r="P111" i="1"/>
  <c r="Q111" i="1" s="1"/>
  <c r="P95" i="1"/>
  <c r="Q95" i="1" s="1"/>
  <c r="P79" i="1"/>
  <c r="Q79" i="1" s="1"/>
  <c r="P63" i="1"/>
  <c r="Q63" i="1" s="1"/>
  <c r="P47" i="1"/>
  <c r="Q47" i="1" s="1"/>
  <c r="P31" i="1"/>
  <c r="Q31" i="1" s="1"/>
  <c r="P15" i="1"/>
  <c r="Q15" i="1" s="1"/>
  <c r="P197" i="1"/>
  <c r="Q197" i="1" s="1"/>
  <c r="P165" i="1"/>
  <c r="Q165" i="1" s="1"/>
  <c r="P117" i="1"/>
  <c r="Q117" i="1" s="1"/>
  <c r="P85" i="1"/>
  <c r="Q85" i="1" s="1"/>
  <c r="P69" i="1"/>
  <c r="Q69" i="1" s="1"/>
  <c r="P37" i="1"/>
  <c r="Q37" i="1" s="1"/>
  <c r="P164" i="1"/>
  <c r="Q164" i="1" s="1"/>
  <c r="P132" i="1"/>
  <c r="Q132" i="1" s="1"/>
  <c r="P100" i="1"/>
  <c r="Q100" i="1" s="1"/>
  <c r="P68" i="1"/>
  <c r="Q68" i="1" s="1"/>
  <c r="P36" i="1"/>
  <c r="Q36" i="1" s="1"/>
  <c r="P179" i="1"/>
  <c r="Q179" i="1" s="1"/>
  <c r="P147" i="1"/>
  <c r="Q147" i="1" s="1"/>
  <c r="P115" i="1"/>
  <c r="Q115" i="1" s="1"/>
  <c r="P83" i="1"/>
  <c r="Q83" i="1" s="1"/>
  <c r="P51" i="1"/>
  <c r="Q51" i="1" s="1"/>
  <c r="P19" i="1"/>
  <c r="Q19" i="1" s="1"/>
  <c r="P194" i="1"/>
  <c r="Q194" i="1" s="1"/>
  <c r="P162" i="1"/>
  <c r="Q162" i="1" s="1"/>
  <c r="P130" i="1"/>
  <c r="Q130" i="1" s="1"/>
  <c r="P98" i="1"/>
  <c r="Q98" i="1" s="1"/>
  <c r="P66" i="1"/>
  <c r="Q66" i="1" s="1"/>
  <c r="P18" i="1"/>
  <c r="Q18" i="1" s="1"/>
  <c r="P193" i="1"/>
  <c r="Q193" i="1" s="1"/>
  <c r="P145" i="1"/>
  <c r="Q145" i="1" s="1"/>
  <c r="P113" i="1"/>
  <c r="Q113" i="1" s="1"/>
  <c r="P65" i="1"/>
  <c r="Q65" i="1" s="1"/>
  <c r="P17" i="1"/>
  <c r="Q17" i="1" s="1"/>
  <c r="P176" i="1"/>
  <c r="Q176" i="1" s="1"/>
  <c r="P144" i="1"/>
  <c r="Q144" i="1" s="1"/>
  <c r="P96" i="1"/>
  <c r="Q96" i="1" s="1"/>
  <c r="P48" i="1"/>
  <c r="Q48" i="1" s="1"/>
  <c r="P32" i="1"/>
  <c r="Q32" i="1" s="1"/>
  <c r="P190" i="1"/>
  <c r="Q190" i="1" s="1"/>
  <c r="P174" i="1"/>
  <c r="Q174" i="1" s="1"/>
  <c r="P158" i="1"/>
  <c r="Q158" i="1" s="1"/>
  <c r="P142" i="1"/>
  <c r="Q142" i="1" s="1"/>
  <c r="P126" i="1"/>
  <c r="Q126" i="1" s="1"/>
  <c r="P110" i="1"/>
  <c r="Q110" i="1" s="1"/>
  <c r="P94" i="1"/>
  <c r="Q94" i="1" s="1"/>
  <c r="P78" i="1"/>
  <c r="Q78" i="1" s="1"/>
  <c r="P62" i="1"/>
  <c r="Q62" i="1" s="1"/>
  <c r="P46" i="1"/>
  <c r="Q46" i="1" s="1"/>
  <c r="P30" i="1"/>
  <c r="Q30" i="1" s="1"/>
  <c r="P14" i="1"/>
  <c r="Q14" i="1" s="1"/>
  <c r="M2" i="1"/>
  <c r="U184" i="7" l="1"/>
  <c r="T73" i="7"/>
  <c r="W73" i="7" s="1"/>
  <c r="T78" i="7"/>
  <c r="T107" i="7"/>
  <c r="T35" i="7"/>
  <c r="U129" i="7"/>
  <c r="T8" i="7"/>
  <c r="W8" i="7" s="1"/>
  <c r="T52" i="7"/>
  <c r="W52" i="7" s="1"/>
  <c r="T87" i="7"/>
  <c r="U30" i="7"/>
  <c r="T120" i="7"/>
  <c r="W120" i="7" s="1"/>
  <c r="U116" i="7"/>
  <c r="W116" i="7" s="1"/>
  <c r="T50" i="7"/>
  <c r="W50" i="7" s="1"/>
  <c r="T169" i="7"/>
  <c r="W169" i="7" s="1"/>
  <c r="T80" i="7"/>
  <c r="W80" i="7" s="1"/>
  <c r="T136" i="7"/>
  <c r="W136" i="7" s="1"/>
  <c r="T188" i="7"/>
  <c r="W188" i="7" s="1"/>
  <c r="T126" i="7"/>
  <c r="W126" i="7" s="1"/>
  <c r="T174" i="7"/>
  <c r="W174" i="7" s="1"/>
  <c r="U111" i="7"/>
  <c r="W111" i="7" s="1"/>
  <c r="T79" i="7"/>
  <c r="W79" i="7" s="1"/>
  <c r="U166" i="7"/>
  <c r="W166" i="7" s="1"/>
  <c r="T61" i="7"/>
  <c r="W61" i="7" s="1"/>
  <c r="T130" i="7"/>
  <c r="W130" i="7" s="1"/>
  <c r="U125" i="7"/>
  <c r="W125" i="7" s="1"/>
  <c r="T11" i="7"/>
  <c r="W11" i="7" s="1"/>
  <c r="T62" i="7"/>
  <c r="W62" i="7" s="1"/>
  <c r="W69" i="7"/>
  <c r="W91" i="7"/>
  <c r="T132" i="7"/>
  <c r="W132" i="7" s="1"/>
  <c r="T28" i="7"/>
  <c r="W28" i="7" s="1"/>
  <c r="T109" i="7"/>
  <c r="W109" i="7" s="1"/>
  <c r="T22" i="7"/>
  <c r="W22" i="7" s="1"/>
  <c r="T95" i="7"/>
  <c r="W95" i="7" s="1"/>
  <c r="T57" i="7"/>
  <c r="W57" i="7" s="1"/>
  <c r="T17" i="7"/>
  <c r="W17" i="7" s="1"/>
  <c r="T141" i="7"/>
  <c r="W141" i="7" s="1"/>
  <c r="W76" i="7"/>
  <c r="U33" i="7"/>
  <c r="W33" i="7" s="1"/>
  <c r="T32" i="7"/>
  <c r="W32" i="7" s="1"/>
  <c r="T5" i="7"/>
  <c r="W5" i="7" s="1"/>
  <c r="U44" i="7"/>
  <c r="W44" i="7" s="1"/>
  <c r="U41" i="7"/>
  <c r="W41" i="7" s="1"/>
  <c r="U115" i="7"/>
  <c r="W115" i="7" s="1"/>
  <c r="U94" i="7"/>
  <c r="W94" i="7" s="1"/>
  <c r="T140" i="7"/>
  <c r="W140" i="7" s="1"/>
  <c r="T182" i="7"/>
  <c r="W182" i="7" s="1"/>
  <c r="T65" i="7"/>
  <c r="W65" i="7" s="1"/>
  <c r="U14" i="7"/>
  <c r="W14" i="7" s="1"/>
  <c r="U106" i="7"/>
  <c r="W106" i="7" s="1"/>
  <c r="U43" i="7"/>
  <c r="W43" i="7" s="1"/>
  <c r="U6" i="7"/>
  <c r="W6" i="7" s="1"/>
  <c r="T68" i="7"/>
  <c r="W68" i="7" s="1"/>
  <c r="U70" i="7"/>
  <c r="W70" i="7" s="1"/>
  <c r="U63" i="7"/>
  <c r="W63" i="7" s="1"/>
  <c r="T92" i="7"/>
  <c r="W92" i="7" s="1"/>
  <c r="U86" i="7"/>
  <c r="W86" i="7" s="1"/>
  <c r="T192" i="7"/>
  <c r="W192" i="7" s="1"/>
  <c r="U124" i="7"/>
  <c r="W124" i="7" s="1"/>
  <c r="T200" i="7"/>
  <c r="W200" i="7" s="1"/>
  <c r="T97" i="7"/>
  <c r="W97" i="7" s="1"/>
  <c r="W87" i="7"/>
  <c r="T9" i="7"/>
  <c r="W9" i="7" s="1"/>
  <c r="W40" i="7"/>
  <c r="T56" i="7"/>
  <c r="W56" i="7" s="1"/>
  <c r="T48" i="7"/>
  <c r="W48" i="7" s="1"/>
  <c r="T150" i="7"/>
  <c r="W150" i="7" s="1"/>
  <c r="T83" i="7"/>
  <c r="W83" i="7" s="1"/>
  <c r="T204" i="7"/>
  <c r="W204" i="7" s="1"/>
  <c r="T23" i="7"/>
  <c r="W23" i="7" s="1"/>
  <c r="T148" i="7"/>
  <c r="W148" i="7" s="1"/>
  <c r="T18" i="7"/>
  <c r="W18" i="7" s="1"/>
  <c r="U110" i="7"/>
  <c r="W110" i="7" s="1"/>
  <c r="U82" i="7"/>
  <c r="W82" i="7" s="1"/>
  <c r="T149" i="7"/>
  <c r="W149" i="7" s="1"/>
  <c r="T36" i="7"/>
  <c r="W36" i="7" s="1"/>
  <c r="U12" i="7"/>
  <c r="W12" i="7" s="1"/>
  <c r="T81" i="7"/>
  <c r="W81" i="7" s="1"/>
  <c r="U187" i="7"/>
  <c r="W187" i="7" s="1"/>
  <c r="T89" i="7"/>
  <c r="W89" i="7" s="1"/>
  <c r="U10" i="7"/>
  <c r="W10" i="7" s="1"/>
  <c r="U99" i="7"/>
  <c r="W99" i="7" s="1"/>
  <c r="T194" i="7"/>
  <c r="W194" i="7" s="1"/>
  <c r="T72" i="7"/>
  <c r="W72" i="7" s="1"/>
  <c r="T172" i="7"/>
  <c r="W172" i="7" s="1"/>
  <c r="U24" i="7"/>
  <c r="W24" i="7" s="1"/>
  <c r="U15" i="7"/>
  <c r="T15" i="7"/>
  <c r="T142" i="7"/>
  <c r="W142" i="7" s="1"/>
  <c r="T138" i="7"/>
  <c r="W138" i="7" s="1"/>
  <c r="U20" i="7"/>
  <c r="W20" i="7" s="1"/>
  <c r="U60" i="7"/>
  <c r="W60" i="7" s="1"/>
  <c r="U29" i="7"/>
  <c r="W29" i="7" s="1"/>
  <c r="T156" i="7"/>
  <c r="W156" i="7" s="1"/>
  <c r="U139" i="7"/>
  <c r="W139" i="7" s="1"/>
  <c r="T160" i="7"/>
  <c r="W160" i="7" s="1"/>
  <c r="U66" i="7"/>
  <c r="W66" i="7" s="1"/>
  <c r="T164" i="7"/>
  <c r="W164" i="7" s="1"/>
  <c r="U137" i="7"/>
  <c r="W137" i="7" s="1"/>
  <c r="U122" i="7"/>
  <c r="W122" i="7" s="1"/>
  <c r="U162" i="7"/>
  <c r="W162" i="7" s="1"/>
  <c r="T46" i="7"/>
  <c r="W46" i="7" s="1"/>
  <c r="T152" i="7"/>
  <c r="W152" i="7" s="1"/>
  <c r="T181" i="7"/>
  <c r="W181" i="7" s="1"/>
  <c r="T202" i="7"/>
  <c r="W202" i="7" s="1"/>
  <c r="T186" i="7"/>
  <c r="W186" i="7" s="1"/>
  <c r="T197" i="7"/>
  <c r="W197" i="7" s="1"/>
  <c r="T101" i="7"/>
  <c r="W101" i="7" s="1"/>
  <c r="U153" i="7"/>
  <c r="W153" i="7" s="1"/>
  <c r="U154" i="7"/>
  <c r="W154" i="7" s="1"/>
  <c r="U37" i="7"/>
  <c r="W37" i="7" s="1"/>
  <c r="U196" i="7"/>
  <c r="W196" i="7" s="1"/>
  <c r="U191" i="7"/>
  <c r="W191" i="7" s="1"/>
  <c r="T133" i="7"/>
  <c r="W133" i="7" s="1"/>
  <c r="T114" i="7"/>
  <c r="W114" i="7" s="1"/>
  <c r="T170" i="7"/>
  <c r="W170" i="7" s="1"/>
  <c r="U90" i="7"/>
  <c r="W90" i="7" s="1"/>
  <c r="T201" i="7"/>
  <c r="W201" i="7" s="1"/>
  <c r="T161" i="7"/>
  <c r="W161" i="7" s="1"/>
  <c r="T146" i="7"/>
  <c r="W146" i="7" s="1"/>
  <c r="T157" i="7"/>
  <c r="W157" i="7" s="1"/>
  <c r="T171" i="7"/>
  <c r="W171" i="7" s="1"/>
  <c r="T53" i="7"/>
  <c r="W53" i="7" s="1"/>
  <c r="U193" i="7"/>
  <c r="W193" i="7" s="1"/>
  <c r="U134" i="7"/>
  <c r="W134" i="7" s="1"/>
  <c r="W71" i="7"/>
  <c r="T128" i="7"/>
  <c r="W128" i="7" s="1"/>
  <c r="T173" i="7"/>
  <c r="W173" i="7" s="1"/>
  <c r="U112" i="7"/>
  <c r="W112" i="7" s="1"/>
  <c r="U98" i="7"/>
  <c r="W98" i="7" s="1"/>
  <c r="T178" i="7"/>
  <c r="W178" i="7" s="1"/>
  <c r="T85" i="7"/>
  <c r="W85" i="7" s="1"/>
  <c r="T165" i="7"/>
  <c r="W165" i="7" s="1"/>
  <c r="U144" i="7"/>
  <c r="W144" i="7" s="1"/>
  <c r="T180" i="7"/>
  <c r="W180" i="7" s="1"/>
  <c r="T185" i="7"/>
  <c r="W185" i="7" s="1"/>
  <c r="T142" i="5"/>
  <c r="W142" i="5" s="1"/>
  <c r="W51" i="7"/>
  <c r="T168" i="7"/>
  <c r="W168" i="7" s="1"/>
  <c r="T58" i="7"/>
  <c r="W58" i="7" s="1"/>
  <c r="T74" i="7"/>
  <c r="W74" i="7" s="1"/>
  <c r="U177" i="7"/>
  <c r="W177" i="7" s="1"/>
  <c r="W199" i="7"/>
  <c r="W31" i="7"/>
  <c r="W102" i="7"/>
  <c r="T38" i="7"/>
  <c r="W38" i="7" s="1"/>
  <c r="T77" i="7"/>
  <c r="W77" i="7" s="1"/>
  <c r="W67" i="7"/>
  <c r="U19" i="7"/>
  <c r="W19" i="7" s="1"/>
  <c r="W195" i="7"/>
  <c r="W75" i="7"/>
  <c r="W47" i="7"/>
  <c r="W78" i="7"/>
  <c r="W39" i="7"/>
  <c r="W59" i="7"/>
  <c r="W35" i="7"/>
  <c r="W121" i="7"/>
  <c r="W107" i="7"/>
  <c r="W189" i="7"/>
  <c r="W131" i="7"/>
  <c r="W175" i="7"/>
  <c r="W155" i="7"/>
  <c r="W104" i="7"/>
  <c r="W55" i="7"/>
  <c r="W42" i="7"/>
  <c r="W13" i="7"/>
  <c r="W176" i="7"/>
  <c r="W108" i="7"/>
  <c r="W147" i="7"/>
  <c r="W179" i="7"/>
  <c r="W135" i="7"/>
  <c r="W190" i="7"/>
  <c r="W127" i="7"/>
  <c r="W93" i="7"/>
  <c r="W45" i="7"/>
  <c r="W183" i="7"/>
  <c r="W184" i="7"/>
  <c r="W159" i="7"/>
  <c r="W113" i="7"/>
  <c r="W119" i="7"/>
  <c r="W84" i="7"/>
  <c r="W118" i="7"/>
  <c r="W27" i="7"/>
  <c r="W34" i="7"/>
  <c r="W145" i="7"/>
  <c r="W143" i="7"/>
  <c r="W30" i="7"/>
  <c r="W123" i="7"/>
  <c r="W129" i="7"/>
  <c r="W198" i="7"/>
  <c r="W96" i="7"/>
  <c r="W49" i="7"/>
  <c r="W163" i="7"/>
  <c r="W117" i="7"/>
  <c r="W158" i="7"/>
  <c r="W151" i="7"/>
  <c r="W21" i="7"/>
  <c r="W105" i="7"/>
  <c r="W7" i="7"/>
  <c r="W167" i="7"/>
  <c r="W103" i="7"/>
  <c r="W203" i="7"/>
  <c r="W88" i="7"/>
  <c r="W100" i="7"/>
  <c r="T145" i="5"/>
  <c r="W145" i="5" s="1"/>
  <c r="U29" i="5"/>
  <c r="W29" i="5" s="1"/>
  <c r="U177" i="5"/>
  <c r="W177" i="5" s="1"/>
  <c r="T188" i="5"/>
  <c r="W188" i="5" s="1"/>
  <c r="U70" i="5"/>
  <c r="W70" i="5" s="1"/>
  <c r="U27" i="5"/>
  <c r="W27" i="5" s="1"/>
  <c r="T12" i="5"/>
  <c r="W12" i="5" s="1"/>
  <c r="T193" i="5"/>
  <c r="W193" i="5" s="1"/>
  <c r="U18" i="5"/>
  <c r="W18" i="5" s="1"/>
  <c r="T195" i="5"/>
  <c r="W195" i="5" s="1"/>
  <c r="U103" i="5"/>
  <c r="W103" i="5" s="1"/>
  <c r="T150" i="5"/>
  <c r="W150" i="5" s="1"/>
  <c r="T94" i="5"/>
  <c r="W94" i="5" s="1"/>
  <c r="T61" i="5"/>
  <c r="W61" i="5" s="1"/>
  <c r="T20" i="5"/>
  <c r="W20" i="5" s="1"/>
  <c r="T73" i="5"/>
  <c r="W73" i="5" s="1"/>
  <c r="U92" i="5"/>
  <c r="W92" i="5" s="1"/>
  <c r="U41" i="5"/>
  <c r="W41" i="5" s="1"/>
  <c r="U119" i="5"/>
  <c r="W119" i="5" s="1"/>
  <c r="T76" i="5"/>
  <c r="W76" i="5" s="1"/>
  <c r="T63" i="5"/>
  <c r="W63" i="5" s="1"/>
  <c r="T164" i="5"/>
  <c r="W164" i="5" s="1"/>
  <c r="U130" i="5"/>
  <c r="W130" i="5" s="1"/>
  <c r="T132" i="5"/>
  <c r="W132" i="5" s="1"/>
  <c r="U196" i="5"/>
  <c r="W196" i="5" s="1"/>
  <c r="T116" i="5"/>
  <c r="W116" i="5" s="1"/>
  <c r="T184" i="5"/>
  <c r="W184" i="5" s="1"/>
  <c r="T134" i="5"/>
  <c r="W134" i="5" s="1"/>
  <c r="U202" i="5"/>
  <c r="W202" i="5" s="1"/>
  <c r="T124" i="5"/>
  <c r="W124" i="5" s="1"/>
  <c r="T67" i="5"/>
  <c r="W67" i="5" s="1"/>
  <c r="T74" i="5"/>
  <c r="W74" i="5" s="1"/>
  <c r="T180" i="5"/>
  <c r="W180" i="5" s="1"/>
  <c r="T186" i="5"/>
  <c r="W186" i="5" s="1"/>
  <c r="T100" i="5"/>
  <c r="W100" i="5" s="1"/>
  <c r="T173" i="5"/>
  <c r="W173" i="5" s="1"/>
  <c r="T161" i="5"/>
  <c r="W161" i="5" s="1"/>
  <c r="T106" i="5"/>
  <c r="W106" i="5" s="1"/>
  <c r="T153" i="5"/>
  <c r="W153" i="5" s="1"/>
  <c r="U172" i="5"/>
  <c r="W172" i="5" s="1"/>
  <c r="U146" i="5"/>
  <c r="W146" i="5" s="1"/>
  <c r="T144" i="5"/>
  <c r="W144" i="5" s="1"/>
  <c r="U82" i="5"/>
  <c r="W82" i="5" s="1"/>
  <c r="T168" i="5"/>
  <c r="W168" i="5" s="1"/>
  <c r="T46" i="5"/>
  <c r="W46" i="5" s="1"/>
  <c r="T143" i="5"/>
  <c r="W143" i="5" s="1"/>
  <c r="U101" i="5"/>
  <c r="W101" i="5" s="1"/>
  <c r="T75" i="5"/>
  <c r="W75" i="5" s="1"/>
  <c r="U187" i="5"/>
  <c r="W187" i="5" s="1"/>
  <c r="U14" i="5"/>
  <c r="W14" i="5" s="1"/>
  <c r="T62" i="5"/>
  <c r="W62" i="5" s="1"/>
  <c r="T118" i="5"/>
  <c r="W118" i="5" s="1"/>
  <c r="U197" i="5"/>
  <c r="W197" i="5" s="1"/>
  <c r="U122" i="5"/>
  <c r="W122" i="5" s="1"/>
  <c r="U28" i="5"/>
  <c r="W28" i="5" s="1"/>
  <c r="U38" i="5"/>
  <c r="W38" i="5" s="1"/>
  <c r="T33" i="5"/>
  <c r="W33" i="5" s="1"/>
  <c r="T37" i="5"/>
  <c r="W37" i="5" s="1"/>
  <c r="U199" i="5"/>
  <c r="W199" i="5" s="1"/>
  <c r="T182" i="5"/>
  <c r="W182" i="5" s="1"/>
  <c r="T147" i="5"/>
  <c r="W147" i="5" s="1"/>
  <c r="T151" i="5"/>
  <c r="W151" i="5" s="1"/>
  <c r="T102" i="5"/>
  <c r="W102" i="5" s="1"/>
  <c r="T157" i="5"/>
  <c r="W157" i="5" s="1"/>
  <c r="U16" i="5"/>
  <c r="W16" i="5" s="1"/>
  <c r="T152" i="5"/>
  <c r="W152" i="5" s="1"/>
  <c r="U21" i="5"/>
  <c r="W21" i="5" s="1"/>
  <c r="U149" i="5"/>
  <c r="W149" i="5" s="1"/>
  <c r="U200" i="5"/>
  <c r="W200" i="5" s="1"/>
  <c r="T171" i="5"/>
  <c r="W171" i="5" s="1"/>
  <c r="T88" i="5"/>
  <c r="W88" i="5" s="1"/>
  <c r="T98" i="5"/>
  <c r="W98" i="5" s="1"/>
  <c r="U160" i="5"/>
  <c r="W160" i="5" s="1"/>
  <c r="T44" i="5"/>
  <c r="W44" i="5" s="1"/>
  <c r="U54" i="5"/>
  <c r="W54" i="5" s="1"/>
  <c r="U79" i="5"/>
  <c r="W79" i="5" s="1"/>
  <c r="U112" i="5"/>
  <c r="W112" i="5" s="1"/>
  <c r="T115" i="5"/>
  <c r="W115" i="5" s="1"/>
  <c r="T95" i="5"/>
  <c r="W95" i="5" s="1"/>
  <c r="T84" i="5"/>
  <c r="W84" i="5" s="1"/>
  <c r="T19" i="5"/>
  <c r="W19" i="5" s="1"/>
  <c r="T139" i="5"/>
  <c r="W139" i="5" s="1"/>
  <c r="U189" i="5"/>
  <c r="W189" i="5" s="1"/>
  <c r="T39" i="5"/>
  <c r="W39" i="5" s="1"/>
  <c r="T158" i="5"/>
  <c r="W158" i="5" s="1"/>
  <c r="T137" i="5"/>
  <c r="W137" i="5" s="1"/>
  <c r="T43" i="5"/>
  <c r="W43" i="5" s="1"/>
  <c r="T162" i="5"/>
  <c r="W162" i="5" s="1"/>
  <c r="T66" i="5"/>
  <c r="W66" i="5" s="1"/>
  <c r="T77" i="5"/>
  <c r="W77" i="5" s="1"/>
  <c r="T8" i="5"/>
  <c r="W8" i="5" s="1"/>
  <c r="T170" i="5"/>
  <c r="W170" i="5" s="1"/>
  <c r="T121" i="5"/>
  <c r="W121" i="5" s="1"/>
  <c r="T120" i="5"/>
  <c r="W120" i="5" s="1"/>
  <c r="T185" i="5"/>
  <c r="W185" i="5" s="1"/>
  <c r="T140" i="5"/>
  <c r="W140" i="5" s="1"/>
  <c r="T192" i="5"/>
  <c r="W192" i="5" s="1"/>
  <c r="T114" i="5"/>
  <c r="W114" i="5" s="1"/>
  <c r="U55" i="5"/>
  <c r="W55" i="5" s="1"/>
  <c r="U40" i="5"/>
  <c r="W40" i="5" s="1"/>
  <c r="T128" i="5"/>
  <c r="W128" i="5" s="1"/>
  <c r="U204" i="5"/>
  <c r="W204" i="5" s="1"/>
  <c r="U136" i="5"/>
  <c r="W136" i="5" s="1"/>
  <c r="T176" i="5"/>
  <c r="W176" i="5" s="1"/>
  <c r="T71" i="5"/>
  <c r="W71" i="5" s="1"/>
  <c r="U42" i="5"/>
  <c r="W42" i="5" s="1"/>
  <c r="U50" i="5"/>
  <c r="W50" i="5" s="1"/>
  <c r="T198" i="5"/>
  <c r="W198" i="5" s="1"/>
  <c r="T17" i="5"/>
  <c r="W17" i="5" s="1"/>
  <c r="T131" i="5"/>
  <c r="W131" i="5" s="1"/>
  <c r="T89" i="5"/>
  <c r="W89" i="5" s="1"/>
  <c r="T191" i="5"/>
  <c r="U191" i="5"/>
  <c r="T181" i="5"/>
  <c r="U181" i="5"/>
  <c r="U90" i="5"/>
  <c r="T90" i="5"/>
  <c r="U107" i="5"/>
  <c r="T107" i="5"/>
  <c r="T86" i="5"/>
  <c r="U86" i="5"/>
  <c r="U11" i="5"/>
  <c r="T11" i="5"/>
  <c r="U23" i="5"/>
  <c r="T23" i="5"/>
  <c r="U129" i="5"/>
  <c r="T129" i="5"/>
  <c r="T108" i="5"/>
  <c r="U108" i="5"/>
  <c r="T203" i="5"/>
  <c r="W203" i="5" s="1"/>
  <c r="T175" i="5"/>
  <c r="W175" i="5" s="1"/>
  <c r="T179" i="5"/>
  <c r="U179" i="5"/>
  <c r="T83" i="5"/>
  <c r="W83" i="5" s="1"/>
  <c r="U53" i="5"/>
  <c r="W53" i="5" s="1"/>
  <c r="U127" i="5"/>
  <c r="T127" i="5"/>
  <c r="U105" i="5"/>
  <c r="T105" i="5"/>
  <c r="T99" i="5"/>
  <c r="W99" i="5" s="1"/>
  <c r="U126" i="5"/>
  <c r="W126" i="5" s="1"/>
  <c r="T190" i="5"/>
  <c r="W190" i="5" s="1"/>
  <c r="T60" i="5"/>
  <c r="W60" i="5" s="1"/>
  <c r="U194" i="5"/>
  <c r="W194" i="5" s="1"/>
  <c r="U22" i="5"/>
  <c r="T22" i="5"/>
  <c r="T13" i="5"/>
  <c r="U13" i="5"/>
  <c r="T48" i="5"/>
  <c r="W48" i="5" s="1"/>
  <c r="T56" i="5"/>
  <c r="W56" i="5" s="1"/>
  <c r="T159" i="5"/>
  <c r="W159" i="5" s="1"/>
  <c r="U201" i="5"/>
  <c r="T201" i="5"/>
  <c r="T169" i="5"/>
  <c r="W169" i="5" s="1"/>
  <c r="U47" i="5"/>
  <c r="W47" i="5" s="1"/>
  <c r="U7" i="5"/>
  <c r="W7" i="5" s="1"/>
  <c r="U97" i="5"/>
  <c r="T97" i="5"/>
  <c r="T165" i="5"/>
  <c r="U165" i="5"/>
  <c r="U138" i="5"/>
  <c r="T138" i="5"/>
  <c r="T117" i="5"/>
  <c r="U117" i="5"/>
  <c r="U178" i="5"/>
  <c r="W178" i="5" s="1"/>
  <c r="U155" i="5"/>
  <c r="T155" i="5"/>
  <c r="U111" i="5"/>
  <c r="T111" i="5"/>
  <c r="T34" i="5"/>
  <c r="W34" i="5" s="1"/>
  <c r="T156" i="5"/>
  <c r="W156" i="5" s="1"/>
  <c r="T167" i="5"/>
  <c r="W167" i="5" s="1"/>
  <c r="U174" i="5"/>
  <c r="T174" i="5"/>
  <c r="U148" i="5"/>
  <c r="T148" i="5"/>
  <c r="T96" i="5"/>
  <c r="U96" i="5"/>
  <c r="U183" i="5"/>
  <c r="T183" i="5"/>
  <c r="U133" i="5"/>
  <c r="W133" i="5" s="1"/>
  <c r="U69" i="5"/>
  <c r="W69" i="5" s="1"/>
  <c r="T87" i="5"/>
  <c r="W87" i="5" s="1"/>
  <c r="T72" i="5"/>
  <c r="W72" i="5" s="1"/>
  <c r="U123" i="5"/>
  <c r="T123" i="5"/>
  <c r="U166" i="5"/>
  <c r="T166" i="5"/>
  <c r="T85" i="5"/>
  <c r="U85" i="5"/>
  <c r="T163" i="5"/>
  <c r="W163" i="5" s="1"/>
  <c r="T135" i="5"/>
  <c r="W135" i="5" s="1"/>
  <c r="T91" i="5"/>
  <c r="W91" i="5" s="1"/>
  <c r="U35" i="5"/>
  <c r="W35" i="5" s="1"/>
  <c r="T154" i="5"/>
  <c r="W154" i="5" s="1"/>
  <c r="U59" i="5"/>
  <c r="W59" i="5" s="1"/>
  <c r="R193" i="1"/>
  <c r="S193" i="1" s="1"/>
  <c r="U193" i="1" s="1"/>
  <c r="R125" i="1"/>
  <c r="S125" i="1" s="1"/>
  <c r="U125" i="1" s="1"/>
  <c r="R110" i="1"/>
  <c r="S110" i="1" s="1"/>
  <c r="U110" i="1" s="1"/>
  <c r="R29" i="1"/>
  <c r="S29" i="1" s="1"/>
  <c r="U29" i="1" s="1"/>
  <c r="R66" i="1"/>
  <c r="S66" i="1" s="1"/>
  <c r="U66" i="1" s="1"/>
  <c r="R121" i="1"/>
  <c r="S121" i="1" s="1"/>
  <c r="U121" i="1" s="1"/>
  <c r="R102" i="1"/>
  <c r="S102" i="1" s="1"/>
  <c r="U102" i="1" s="1"/>
  <c r="R85" i="1"/>
  <c r="S85" i="1" s="1"/>
  <c r="U85" i="1" s="1"/>
  <c r="R26" i="1"/>
  <c r="S26" i="1" s="1"/>
  <c r="U26" i="1" s="1"/>
  <c r="R6" i="1"/>
  <c r="S6" i="1" s="1"/>
  <c r="U6" i="1" s="1"/>
  <c r="R190" i="1"/>
  <c r="S190" i="1" s="1"/>
  <c r="U190" i="1" s="1"/>
  <c r="R9" i="1"/>
  <c r="S9" i="1" s="1"/>
  <c r="U9" i="1" s="1"/>
  <c r="R112" i="1"/>
  <c r="S112" i="1" s="1"/>
  <c r="U112" i="1" s="1"/>
  <c r="R171" i="1"/>
  <c r="S171" i="1" s="1"/>
  <c r="U171" i="1" s="1"/>
  <c r="R128" i="1"/>
  <c r="S128" i="1" s="1"/>
  <c r="U128" i="1" s="1"/>
  <c r="R203" i="1"/>
  <c r="S203" i="1" s="1"/>
  <c r="U203" i="1" s="1"/>
  <c r="R105" i="1"/>
  <c r="S105" i="1" s="1"/>
  <c r="U105" i="1" s="1"/>
  <c r="R25" i="1"/>
  <c r="S25" i="1" s="1"/>
  <c r="U25" i="1" s="1"/>
  <c r="R94" i="1"/>
  <c r="S94" i="1" s="1"/>
  <c r="U94" i="1" s="1"/>
  <c r="R86" i="1"/>
  <c r="S86" i="1" s="1"/>
  <c r="U86" i="1" s="1"/>
  <c r="R18" i="1"/>
  <c r="S18" i="1" s="1"/>
  <c r="U18" i="1" s="1"/>
  <c r="R173" i="1"/>
  <c r="S173" i="1" s="1"/>
  <c r="U173" i="1" s="1"/>
  <c r="R34" i="1"/>
  <c r="S34" i="1" s="1"/>
  <c r="U34" i="1" s="1"/>
  <c r="R142" i="1"/>
  <c r="S142" i="1" s="1"/>
  <c r="U142" i="1" s="1"/>
  <c r="R153" i="1"/>
  <c r="S153" i="1" s="1"/>
  <c r="U153" i="1" s="1"/>
  <c r="R166" i="1"/>
  <c r="S166" i="1" s="1"/>
  <c r="U166" i="1" s="1"/>
  <c r="R174" i="1"/>
  <c r="S174" i="1" s="1"/>
  <c r="U174" i="1" s="1"/>
  <c r="R131" i="1"/>
  <c r="S131" i="1" s="1"/>
  <c r="U131" i="1" s="1"/>
  <c r="R118" i="1"/>
  <c r="S118" i="1" s="1"/>
  <c r="U118" i="1" s="1"/>
  <c r="R32" i="1"/>
  <c r="S32" i="1" s="1"/>
  <c r="U32" i="1" s="1"/>
  <c r="R182" i="1"/>
  <c r="S182" i="1" s="1"/>
  <c r="U182" i="1" s="1"/>
  <c r="R187" i="1"/>
  <c r="S187" i="1" s="1"/>
  <c r="U187" i="1" s="1"/>
  <c r="R76" i="1"/>
  <c r="S76" i="1" s="1"/>
  <c r="U76" i="1" s="1"/>
  <c r="R137" i="1"/>
  <c r="S137" i="1" s="1"/>
  <c r="U137" i="1" s="1"/>
  <c r="R84" i="1"/>
  <c r="S84" i="1" s="1"/>
  <c r="U84" i="1" s="1"/>
  <c r="R201" i="1"/>
  <c r="S201" i="1" s="1"/>
  <c r="U201" i="1" s="1"/>
  <c r="R116" i="1"/>
  <c r="S116" i="1" s="1"/>
  <c r="U116" i="1" s="1"/>
  <c r="R106" i="1"/>
  <c r="S106" i="1" s="1"/>
  <c r="U106" i="1" s="1"/>
  <c r="R148" i="1"/>
  <c r="S148" i="1" s="1"/>
  <c r="U148" i="1" s="1"/>
  <c r="R154" i="1"/>
  <c r="S154" i="1" s="1"/>
  <c r="U154" i="1" s="1"/>
  <c r="R191" i="1"/>
  <c r="S191" i="1" s="1"/>
  <c r="U191" i="1" s="1"/>
  <c r="R186" i="1"/>
  <c r="S186" i="1" s="1"/>
  <c r="U186" i="1" s="1"/>
  <c r="R16" i="1"/>
  <c r="S16" i="1" s="1"/>
  <c r="U16" i="1" s="1"/>
  <c r="R133" i="1"/>
  <c r="S133" i="1" s="1"/>
  <c r="U133" i="1" s="1"/>
  <c r="R162" i="1"/>
  <c r="S162" i="1" s="1"/>
  <c r="U162" i="1" s="1"/>
  <c r="R74" i="1"/>
  <c r="S74" i="1" s="1"/>
  <c r="U74" i="1" s="1"/>
  <c r="R146" i="1"/>
  <c r="S146" i="1" s="1"/>
  <c r="U146" i="1" s="1"/>
  <c r="R107" i="1"/>
  <c r="S107" i="1" s="1"/>
  <c r="U107" i="1" s="1"/>
  <c r="R197" i="1"/>
  <c r="S197" i="1" s="1"/>
  <c r="U197" i="1" s="1"/>
  <c r="R39" i="1"/>
  <c r="S39" i="1" s="1"/>
  <c r="U39" i="1" s="1"/>
  <c r="R51" i="1"/>
  <c r="S51" i="1" s="1"/>
  <c r="U51" i="1" s="1"/>
  <c r="R88" i="1"/>
  <c r="S88" i="1" s="1"/>
  <c r="U88" i="1" s="1"/>
  <c r="R181" i="1"/>
  <c r="S181" i="1" s="1"/>
  <c r="U181" i="1" s="1"/>
  <c r="R169" i="1"/>
  <c r="S169" i="1" s="1"/>
  <c r="U169" i="1" s="1"/>
  <c r="R192" i="1"/>
  <c r="S192" i="1" s="1"/>
  <c r="U192" i="1" s="1"/>
  <c r="R60" i="1"/>
  <c r="S60" i="1" s="1"/>
  <c r="U60" i="1" s="1"/>
  <c r="R14" i="1"/>
  <c r="S14" i="1" s="1"/>
  <c r="U14" i="1" s="1"/>
  <c r="R176" i="1"/>
  <c r="S176" i="1" s="1"/>
  <c r="U176" i="1" s="1"/>
  <c r="R147" i="1"/>
  <c r="S147" i="1" s="1"/>
  <c r="U147" i="1" s="1"/>
  <c r="R63" i="1"/>
  <c r="S63" i="1" s="1"/>
  <c r="U63" i="1" s="1"/>
  <c r="R33" i="1"/>
  <c r="S33" i="1" s="1"/>
  <c r="U33" i="1" s="1"/>
  <c r="R54" i="1"/>
  <c r="S54" i="1" s="1"/>
  <c r="U54" i="1" s="1"/>
  <c r="R91" i="1"/>
  <c r="S91" i="1" s="1"/>
  <c r="U91" i="1" s="1"/>
  <c r="R103" i="1"/>
  <c r="S103" i="1" s="1"/>
  <c r="U103" i="1" s="1"/>
  <c r="R108" i="1"/>
  <c r="S108" i="1" s="1"/>
  <c r="U108" i="1" s="1"/>
  <c r="R136" i="1"/>
  <c r="S136" i="1" s="1"/>
  <c r="U136" i="1" s="1"/>
  <c r="R124" i="1"/>
  <c r="S124" i="1" s="1"/>
  <c r="U124" i="1" s="1"/>
  <c r="R10" i="1"/>
  <c r="S10" i="1" s="1"/>
  <c r="U10" i="1" s="1"/>
  <c r="R185" i="1"/>
  <c r="S185" i="1" s="1"/>
  <c r="U185" i="1" s="1"/>
  <c r="R132" i="1"/>
  <c r="S132" i="1" s="1"/>
  <c r="U132" i="1" s="1"/>
  <c r="R204" i="1"/>
  <c r="S204" i="1" s="1"/>
  <c r="U204" i="1" s="1"/>
  <c r="R159" i="1"/>
  <c r="S159" i="1" s="1"/>
  <c r="U159" i="1" s="1"/>
  <c r="R73" i="1"/>
  <c r="S73" i="1" s="1"/>
  <c r="U73" i="1" s="1"/>
  <c r="R22" i="1"/>
  <c r="S22" i="1" s="1"/>
  <c r="U22" i="1" s="1"/>
  <c r="R178" i="1"/>
  <c r="S178" i="1" s="1"/>
  <c r="U178" i="1" s="1"/>
  <c r="R180" i="1"/>
  <c r="S180" i="1" s="1"/>
  <c r="U180" i="1" s="1"/>
  <c r="R67" i="1"/>
  <c r="S67" i="1" s="1"/>
  <c r="U67" i="1" s="1"/>
  <c r="R82" i="1"/>
  <c r="S82" i="1" s="1"/>
  <c r="U82" i="1" s="1"/>
  <c r="R43" i="1"/>
  <c r="S43" i="1" s="1"/>
  <c r="U43" i="1" s="1"/>
  <c r="R114" i="1"/>
  <c r="S114" i="1" s="1"/>
  <c r="U114" i="1" s="1"/>
  <c r="R59" i="1"/>
  <c r="S59" i="1" s="1"/>
  <c r="U59" i="1" s="1"/>
  <c r="R53" i="1"/>
  <c r="S53" i="1" s="1"/>
  <c r="U53" i="1" s="1"/>
  <c r="R72" i="1"/>
  <c r="S72" i="1" s="1"/>
  <c r="U72" i="1" s="1"/>
  <c r="R15" i="1"/>
  <c r="S15" i="1" s="1"/>
  <c r="U15" i="1" s="1"/>
  <c r="R55" i="1"/>
  <c r="S55" i="1" s="1"/>
  <c r="U55" i="1" s="1"/>
  <c r="R31" i="1"/>
  <c r="S31" i="1" s="1"/>
  <c r="U31" i="1" s="1"/>
  <c r="R89" i="1"/>
  <c r="S89" i="1" s="1"/>
  <c r="U89" i="1" s="1"/>
  <c r="R30" i="1"/>
  <c r="S30" i="1" s="1"/>
  <c r="U30" i="1" s="1"/>
  <c r="R17" i="1"/>
  <c r="S17" i="1" s="1"/>
  <c r="U17" i="1" s="1"/>
  <c r="R179" i="1"/>
  <c r="S179" i="1" s="1"/>
  <c r="U179" i="1" s="1"/>
  <c r="R79" i="1"/>
  <c r="S79" i="1" s="1"/>
  <c r="U79" i="1" s="1"/>
  <c r="R49" i="1"/>
  <c r="S49" i="1" s="1"/>
  <c r="U49" i="1" s="1"/>
  <c r="R163" i="1"/>
  <c r="S163" i="1" s="1"/>
  <c r="U163" i="1" s="1"/>
  <c r="R70" i="1"/>
  <c r="S70" i="1" s="1"/>
  <c r="U70" i="1" s="1"/>
  <c r="R139" i="1"/>
  <c r="S139" i="1" s="1"/>
  <c r="U139" i="1" s="1"/>
  <c r="R119" i="1"/>
  <c r="S119" i="1" s="1"/>
  <c r="U119" i="1" s="1"/>
  <c r="R156" i="1"/>
  <c r="S156" i="1" s="1"/>
  <c r="U156" i="1" s="1"/>
  <c r="R152" i="1"/>
  <c r="S152" i="1" s="1"/>
  <c r="U152" i="1" s="1"/>
  <c r="R172" i="1"/>
  <c r="S172" i="1" s="1"/>
  <c r="U172" i="1" s="1"/>
  <c r="R58" i="1"/>
  <c r="S58" i="1" s="1"/>
  <c r="U58" i="1" s="1"/>
  <c r="R42" i="1"/>
  <c r="S42" i="1" s="1"/>
  <c r="U42" i="1" s="1"/>
  <c r="R143" i="1"/>
  <c r="S143" i="1" s="1"/>
  <c r="U143" i="1" s="1"/>
  <c r="R183" i="1"/>
  <c r="S183" i="1" s="1"/>
  <c r="U183" i="1" s="1"/>
  <c r="R164" i="1"/>
  <c r="S164" i="1" s="1"/>
  <c r="U164" i="1" s="1"/>
  <c r="R199" i="1"/>
  <c r="S199" i="1" s="1"/>
  <c r="U199" i="1" s="1"/>
  <c r="R37" i="1"/>
  <c r="S37" i="1" s="1"/>
  <c r="U37" i="1" s="1"/>
  <c r="R93" i="1"/>
  <c r="S93" i="1" s="1"/>
  <c r="U93" i="1" s="1"/>
  <c r="R69" i="1"/>
  <c r="S69" i="1" s="1"/>
  <c r="U69" i="1" s="1"/>
  <c r="R141" i="1"/>
  <c r="S141" i="1" s="1"/>
  <c r="U141" i="1" s="1"/>
  <c r="R130" i="1"/>
  <c r="S130" i="1" s="1"/>
  <c r="U130" i="1" s="1"/>
  <c r="R24" i="1"/>
  <c r="S24" i="1" s="1"/>
  <c r="U24" i="1" s="1"/>
  <c r="R117" i="1"/>
  <c r="S117" i="1" s="1"/>
  <c r="U117" i="1" s="1"/>
  <c r="R40" i="1"/>
  <c r="S40" i="1" s="1"/>
  <c r="U40" i="1" s="1"/>
  <c r="R80" i="1"/>
  <c r="S80" i="1" s="1"/>
  <c r="U80" i="1" s="1"/>
  <c r="R123" i="1"/>
  <c r="S123" i="1" s="1"/>
  <c r="U123" i="1" s="1"/>
  <c r="R57" i="1"/>
  <c r="S57" i="1" s="1"/>
  <c r="U57" i="1" s="1"/>
  <c r="R35" i="1"/>
  <c r="S35" i="1" s="1"/>
  <c r="U35" i="1" s="1"/>
  <c r="R83" i="1"/>
  <c r="S83" i="1" s="1"/>
  <c r="U83" i="1" s="1"/>
  <c r="R122" i="1"/>
  <c r="S122" i="1" s="1"/>
  <c r="U122" i="1" s="1"/>
  <c r="R28" i="1"/>
  <c r="S28" i="1" s="1"/>
  <c r="U28" i="1" s="1"/>
  <c r="R115" i="1"/>
  <c r="S115" i="1" s="1"/>
  <c r="U115" i="1" s="1"/>
  <c r="R87" i="1"/>
  <c r="S87" i="1" s="1"/>
  <c r="U87" i="1" s="1"/>
  <c r="R46" i="1"/>
  <c r="S46" i="1" s="1"/>
  <c r="U46" i="1" s="1"/>
  <c r="R65" i="1"/>
  <c r="S65" i="1" s="1"/>
  <c r="U65" i="1" s="1"/>
  <c r="R36" i="1"/>
  <c r="S36" i="1" s="1"/>
  <c r="U36" i="1" s="1"/>
  <c r="R95" i="1"/>
  <c r="S95" i="1" s="1"/>
  <c r="U95" i="1" s="1"/>
  <c r="R81" i="1"/>
  <c r="S81" i="1" s="1"/>
  <c r="U81" i="1" s="1"/>
  <c r="R195" i="1"/>
  <c r="S195" i="1" s="1"/>
  <c r="U195" i="1" s="1"/>
  <c r="R134" i="1"/>
  <c r="S134" i="1" s="1"/>
  <c r="U134" i="1" s="1"/>
  <c r="R44" i="1"/>
  <c r="S44" i="1" s="1"/>
  <c r="U44" i="1" s="1"/>
  <c r="R135" i="1"/>
  <c r="S135" i="1" s="1"/>
  <c r="U135" i="1" s="1"/>
  <c r="R188" i="1"/>
  <c r="S188" i="1" s="1"/>
  <c r="U188" i="1" s="1"/>
  <c r="R168" i="1"/>
  <c r="S168" i="1" s="1"/>
  <c r="U168" i="1" s="1"/>
  <c r="R45" i="1"/>
  <c r="S45" i="1" s="1"/>
  <c r="U45" i="1" s="1"/>
  <c r="R90" i="1"/>
  <c r="S90" i="1" s="1"/>
  <c r="U90" i="1" s="1"/>
  <c r="R161" i="1"/>
  <c r="S161" i="1" s="1"/>
  <c r="U161" i="1" s="1"/>
  <c r="R157" i="1"/>
  <c r="S157" i="1" s="1"/>
  <c r="U157" i="1" s="1"/>
  <c r="R177" i="1"/>
  <c r="S177" i="1" s="1"/>
  <c r="U177" i="1" s="1"/>
  <c r="R189" i="1"/>
  <c r="S189" i="1" s="1"/>
  <c r="U189" i="1" s="1"/>
  <c r="R175" i="1"/>
  <c r="S175" i="1" s="1"/>
  <c r="U175" i="1" s="1"/>
  <c r="R48" i="1"/>
  <c r="S48" i="1" s="1"/>
  <c r="U48" i="1" s="1"/>
  <c r="R50" i="1"/>
  <c r="S50" i="1" s="1"/>
  <c r="U50" i="1" s="1"/>
  <c r="R8" i="1"/>
  <c r="S8" i="1" s="1"/>
  <c r="U8" i="1" s="1"/>
  <c r="R196" i="1"/>
  <c r="S196" i="1" s="1"/>
  <c r="U196" i="1" s="1"/>
  <c r="R99" i="1"/>
  <c r="S99" i="1" s="1"/>
  <c r="U99" i="1" s="1"/>
  <c r="R21" i="1"/>
  <c r="S21" i="1" s="1"/>
  <c r="U21" i="1" s="1"/>
  <c r="R75" i="1"/>
  <c r="S75" i="1" s="1"/>
  <c r="U75" i="1" s="1"/>
  <c r="R194" i="1"/>
  <c r="S194" i="1" s="1"/>
  <c r="U194" i="1" s="1"/>
  <c r="R23" i="1"/>
  <c r="S23" i="1" s="1"/>
  <c r="U23" i="1" s="1"/>
  <c r="R19" i="1"/>
  <c r="S19" i="1" s="1"/>
  <c r="U19" i="1" s="1"/>
  <c r="R170" i="1"/>
  <c r="S170" i="1" s="1"/>
  <c r="U170" i="1" s="1"/>
  <c r="R96" i="1"/>
  <c r="S96" i="1" s="1"/>
  <c r="U96" i="1" s="1"/>
  <c r="R71" i="1"/>
  <c r="S71" i="1" s="1"/>
  <c r="U71" i="1" s="1"/>
  <c r="R12" i="1"/>
  <c r="S12" i="1" s="1"/>
  <c r="U12" i="1" s="1"/>
  <c r="R47" i="1"/>
  <c r="S47" i="1" s="1"/>
  <c r="U47" i="1" s="1"/>
  <c r="R120" i="1"/>
  <c r="S120" i="1" s="1"/>
  <c r="U120" i="1" s="1"/>
  <c r="R62" i="1"/>
  <c r="S62" i="1" s="1"/>
  <c r="U62" i="1" s="1"/>
  <c r="R113" i="1"/>
  <c r="S113" i="1" s="1"/>
  <c r="U113" i="1" s="1"/>
  <c r="R68" i="1"/>
  <c r="S68" i="1" s="1"/>
  <c r="U68" i="1" s="1"/>
  <c r="R111" i="1"/>
  <c r="S111" i="1" s="1"/>
  <c r="U111" i="1" s="1"/>
  <c r="R97" i="1"/>
  <c r="S97" i="1" s="1"/>
  <c r="U97" i="1" s="1"/>
  <c r="R20" i="1"/>
  <c r="S20" i="1" s="1"/>
  <c r="U20" i="1" s="1"/>
  <c r="R198" i="1"/>
  <c r="S198" i="1" s="1"/>
  <c r="U198" i="1" s="1"/>
  <c r="R92" i="1"/>
  <c r="S92" i="1" s="1"/>
  <c r="U92" i="1" s="1"/>
  <c r="R151" i="1"/>
  <c r="S151" i="1" s="1"/>
  <c r="U151" i="1" s="1"/>
  <c r="R13" i="1"/>
  <c r="S13" i="1" s="1"/>
  <c r="U13" i="1" s="1"/>
  <c r="R184" i="1"/>
  <c r="S184" i="1" s="1"/>
  <c r="U184" i="1" s="1"/>
  <c r="R61" i="1"/>
  <c r="S61" i="1" s="1"/>
  <c r="U61" i="1" s="1"/>
  <c r="R41" i="1"/>
  <c r="S41" i="1" s="1"/>
  <c r="U41" i="1" s="1"/>
  <c r="R150" i="1"/>
  <c r="S150" i="1" s="1"/>
  <c r="U150" i="1" s="1"/>
  <c r="R126" i="1"/>
  <c r="S126" i="1" s="1"/>
  <c r="U126" i="1" s="1"/>
  <c r="R138" i="1"/>
  <c r="S138" i="1" s="1"/>
  <c r="U138" i="1" s="1"/>
  <c r="R98" i="1"/>
  <c r="S98" i="1" s="1"/>
  <c r="U98" i="1" s="1"/>
  <c r="R202" i="1"/>
  <c r="S202" i="1" s="1"/>
  <c r="U202" i="1" s="1"/>
  <c r="R158" i="1"/>
  <c r="S158" i="1" s="1"/>
  <c r="U158" i="1" s="1"/>
  <c r="R11" i="1"/>
  <c r="S11" i="1" s="1"/>
  <c r="U11" i="1" s="1"/>
  <c r="R64" i="1"/>
  <c r="S64" i="1" s="1"/>
  <c r="U64" i="1" s="1"/>
  <c r="R7" i="1"/>
  <c r="S7" i="1" s="1"/>
  <c r="U7" i="1" s="1"/>
  <c r="R165" i="1"/>
  <c r="S165" i="1" s="1"/>
  <c r="U165" i="1" s="1"/>
  <c r="R56" i="1"/>
  <c r="S56" i="1" s="1"/>
  <c r="U56" i="1" s="1"/>
  <c r="R101" i="1"/>
  <c r="S101" i="1" s="1"/>
  <c r="U101" i="1" s="1"/>
  <c r="R155" i="1"/>
  <c r="S155" i="1" s="1"/>
  <c r="U155" i="1" s="1"/>
  <c r="R149" i="1"/>
  <c r="S149" i="1" s="1"/>
  <c r="U149" i="1" s="1"/>
  <c r="R160" i="1"/>
  <c r="S160" i="1" s="1"/>
  <c r="U160" i="1" s="1"/>
  <c r="R104" i="1"/>
  <c r="S104" i="1" s="1"/>
  <c r="U104" i="1" s="1"/>
  <c r="R144" i="1"/>
  <c r="S144" i="1" s="1"/>
  <c r="U144" i="1" s="1"/>
  <c r="R27" i="1"/>
  <c r="S27" i="1" s="1"/>
  <c r="U27" i="1" s="1"/>
  <c r="R78" i="1"/>
  <c r="S78" i="1" s="1"/>
  <c r="U78" i="1" s="1"/>
  <c r="R145" i="1"/>
  <c r="S145" i="1" s="1"/>
  <c r="U145" i="1" s="1"/>
  <c r="R100" i="1"/>
  <c r="S100" i="1" s="1"/>
  <c r="U100" i="1" s="1"/>
  <c r="R127" i="1"/>
  <c r="S127" i="1" s="1"/>
  <c r="U127" i="1" s="1"/>
  <c r="R129" i="1"/>
  <c r="S129" i="1" s="1"/>
  <c r="U129" i="1" s="1"/>
  <c r="R52" i="1"/>
  <c r="S52" i="1" s="1"/>
  <c r="U52" i="1" s="1"/>
  <c r="R38" i="1"/>
  <c r="S38" i="1" s="1"/>
  <c r="U38" i="1" s="1"/>
  <c r="R140" i="1"/>
  <c r="S140" i="1" s="1"/>
  <c r="U140" i="1" s="1"/>
  <c r="R167" i="1"/>
  <c r="S167" i="1" s="1"/>
  <c r="U167" i="1" s="1"/>
  <c r="R77" i="1"/>
  <c r="S77" i="1" s="1"/>
  <c r="U77" i="1" s="1"/>
  <c r="R200" i="1"/>
  <c r="S200" i="1" s="1"/>
  <c r="U200" i="1" s="1"/>
  <c r="R109" i="1"/>
  <c r="S109" i="1" s="1"/>
  <c r="U109" i="1" s="1"/>
  <c r="R5" i="1"/>
  <c r="S5" i="1" s="1"/>
  <c r="U5" i="1" s="1"/>
  <c r="E6" i="1"/>
  <c r="E7" i="1"/>
  <c r="E8" i="1"/>
  <c r="E9" i="1"/>
  <c r="E5" i="1"/>
  <c r="W15" i="7" l="1"/>
  <c r="C24" i="7" s="1"/>
  <c r="W86" i="5"/>
  <c r="W181" i="5"/>
  <c r="W117" i="5"/>
  <c r="W13" i="5"/>
  <c r="W105" i="5"/>
  <c r="W11" i="5"/>
  <c r="W179" i="5"/>
  <c r="W96" i="5"/>
  <c r="W165" i="5"/>
  <c r="W85" i="5"/>
  <c r="W111" i="5"/>
  <c r="W201" i="5"/>
  <c r="W127" i="5"/>
  <c r="W155" i="5"/>
  <c r="W107" i="5"/>
  <c r="W90" i="5"/>
  <c r="W183" i="5"/>
  <c r="W123" i="5"/>
  <c r="W138" i="5"/>
  <c r="W22" i="5"/>
  <c r="W108" i="5"/>
  <c r="W191" i="5"/>
  <c r="W148" i="5"/>
  <c r="W129" i="5"/>
  <c r="W174" i="5"/>
  <c r="W97" i="5"/>
  <c r="W23" i="5"/>
  <c r="W166" i="5"/>
  <c r="T175" i="1"/>
  <c r="T189" i="1"/>
  <c r="T65" i="1"/>
  <c r="T93" i="1"/>
  <c r="T177" i="1"/>
  <c r="T133" i="1"/>
  <c r="T47" i="1"/>
  <c r="T174" i="1"/>
  <c r="T144" i="1"/>
  <c r="T179" i="1"/>
  <c r="T153" i="1"/>
  <c r="T82" i="1"/>
  <c r="T36" i="1"/>
  <c r="V36" i="1" s="1"/>
  <c r="T27" i="1"/>
  <c r="V27" i="1" s="1"/>
  <c r="T46" i="1"/>
  <c r="T176" i="1"/>
  <c r="T191" i="1"/>
  <c r="T98" i="1"/>
  <c r="V98" i="1" s="1"/>
  <c r="T180" i="1"/>
  <c r="T126" i="1"/>
  <c r="T178" i="1"/>
  <c r="T16" i="1"/>
  <c r="T41" i="1"/>
  <c r="T157" i="1"/>
  <c r="T156" i="1"/>
  <c r="T196" i="1"/>
  <c r="T119" i="1"/>
  <c r="T186" i="1"/>
  <c r="T24" i="1"/>
  <c r="T128" i="1"/>
  <c r="T14" i="1"/>
  <c r="T50" i="1"/>
  <c r="T9" i="1"/>
  <c r="T48" i="1"/>
  <c r="V48" i="1" s="1"/>
  <c r="T112" i="1"/>
  <c r="T72" i="1"/>
  <c r="T69" i="1"/>
  <c r="T6" i="1"/>
  <c r="T92" i="1"/>
  <c r="T160" i="1"/>
  <c r="T61" i="1"/>
  <c r="T96" i="1"/>
  <c r="T161" i="1"/>
  <c r="T28" i="1"/>
  <c r="T164" i="1"/>
  <c r="T30" i="1"/>
  <c r="T159" i="1"/>
  <c r="T60" i="1"/>
  <c r="T154" i="1"/>
  <c r="T142" i="1"/>
  <c r="T85" i="1"/>
  <c r="T12" i="1"/>
  <c r="T138" i="1"/>
  <c r="T117" i="1"/>
  <c r="T187" i="1"/>
  <c r="T79" i="1"/>
  <c r="V79" i="1" s="1"/>
  <c r="T8" i="1"/>
  <c r="T43" i="1"/>
  <c r="T53" i="1"/>
  <c r="T22" i="1"/>
  <c r="T95" i="1"/>
  <c r="T74" i="1"/>
  <c r="T115" i="1"/>
  <c r="T62" i="1"/>
  <c r="V62" i="1" s="1"/>
  <c r="T33" i="1"/>
  <c r="V33" i="1" s="1"/>
  <c r="T37" i="1"/>
  <c r="T137" i="1"/>
  <c r="T131" i="1"/>
  <c r="T71" i="1"/>
  <c r="T193" i="1"/>
  <c r="T109" i="1"/>
  <c r="T122" i="1"/>
  <c r="T34" i="1"/>
  <c r="V34" i="1" s="1"/>
  <c r="T39" i="1"/>
  <c r="T143" i="1"/>
  <c r="T151" i="1"/>
  <c r="T23" i="1"/>
  <c r="T168" i="1"/>
  <c r="T35" i="1"/>
  <c r="T42" i="1"/>
  <c r="V42" i="1" s="1"/>
  <c r="T185" i="1"/>
  <c r="V185" i="1" s="1"/>
  <c r="T181" i="1"/>
  <c r="T18" i="1"/>
  <c r="T66" i="1"/>
  <c r="T17" i="1"/>
  <c r="T111" i="1"/>
  <c r="T103" i="1"/>
  <c r="T83" i="1"/>
  <c r="T158" i="1"/>
  <c r="T182" i="1"/>
  <c r="T147" i="1"/>
  <c r="T113" i="1"/>
  <c r="T54" i="1"/>
  <c r="T59" i="1"/>
  <c r="T84" i="1"/>
  <c r="T141" i="1"/>
  <c r="V141" i="1" s="1"/>
  <c r="T67" i="1"/>
  <c r="T104" i="1"/>
  <c r="T120" i="1"/>
  <c r="T63" i="1"/>
  <c r="T64" i="1"/>
  <c r="T87" i="1"/>
  <c r="T94" i="1"/>
  <c r="T198" i="1"/>
  <c r="T25" i="1"/>
  <c r="T90" i="1"/>
  <c r="T192" i="1"/>
  <c r="T135" i="1"/>
  <c r="T200" i="1"/>
  <c r="T45" i="1"/>
  <c r="T31" i="1"/>
  <c r="T169" i="1"/>
  <c r="T97" i="1"/>
  <c r="T101" i="1"/>
  <c r="T167" i="1"/>
  <c r="T134" i="1"/>
  <c r="T197" i="1"/>
  <c r="T40" i="1"/>
  <c r="T56" i="1"/>
  <c r="T194" i="1"/>
  <c r="V194" i="1" s="1"/>
  <c r="T57" i="1"/>
  <c r="T58" i="1"/>
  <c r="T15" i="1"/>
  <c r="T10" i="1"/>
  <c r="T86" i="1"/>
  <c r="T29" i="1"/>
  <c r="T129" i="1"/>
  <c r="T114" i="1"/>
  <c r="T127" i="1"/>
  <c r="T139" i="1"/>
  <c r="T100" i="1"/>
  <c r="T70" i="1"/>
  <c r="T145" i="1"/>
  <c r="V145" i="1" s="1"/>
  <c r="T163" i="1"/>
  <c r="V163" i="1" s="1"/>
  <c r="T78" i="1"/>
  <c r="T184" i="1"/>
  <c r="T204" i="1"/>
  <c r="T20" i="1"/>
  <c r="T19" i="1"/>
  <c r="T121" i="1"/>
  <c r="T125" i="1"/>
  <c r="T123" i="1"/>
  <c r="V123" i="1" s="1"/>
  <c r="T21" i="1"/>
  <c r="T108" i="1"/>
  <c r="T11" i="1"/>
  <c r="T203" i="1"/>
  <c r="T105" i="1"/>
  <c r="T116" i="1"/>
  <c r="V116" i="1" s="1"/>
  <c r="T81" i="1"/>
  <c r="T91" i="1"/>
  <c r="T202" i="1"/>
  <c r="T32" i="1"/>
  <c r="T55" i="1"/>
  <c r="V55" i="1" s="1"/>
  <c r="T162" i="1"/>
  <c r="V162" i="1" s="1"/>
  <c r="T76" i="1"/>
  <c r="T26" i="1"/>
  <c r="T188" i="1"/>
  <c r="T149" i="1"/>
  <c r="T183" i="1"/>
  <c r="T148" i="1"/>
  <c r="T13" i="1"/>
  <c r="T106" i="1"/>
  <c r="T77" i="1"/>
  <c r="T51" i="1"/>
  <c r="V51" i="1" s="1"/>
  <c r="T172" i="1"/>
  <c r="T7" i="1"/>
  <c r="T99" i="1"/>
  <c r="T166" i="1"/>
  <c r="T195" i="1"/>
  <c r="T107" i="1"/>
  <c r="T136" i="1"/>
  <c r="T68" i="1"/>
  <c r="T146" i="1"/>
  <c r="T88" i="1"/>
  <c r="T201" i="1"/>
  <c r="T130" i="1"/>
  <c r="T171" i="1"/>
  <c r="T73" i="1"/>
  <c r="T118" i="1"/>
  <c r="V118" i="1" s="1"/>
  <c r="T190" i="1"/>
  <c r="T165" i="1"/>
  <c r="V165" i="1" s="1"/>
  <c r="T49" i="1"/>
  <c r="T150" i="1"/>
  <c r="T75" i="1"/>
  <c r="T110" i="1"/>
  <c r="T199" i="1"/>
  <c r="T170" i="1"/>
  <c r="T89" i="1"/>
  <c r="T102" i="1"/>
  <c r="T155" i="1"/>
  <c r="T132" i="1"/>
  <c r="T173" i="1"/>
  <c r="T44" i="1"/>
  <c r="T80" i="1"/>
  <c r="T140" i="1"/>
  <c r="T124" i="1"/>
  <c r="V124" i="1" s="1"/>
  <c r="T38" i="1"/>
  <c r="T52" i="1"/>
  <c r="T152" i="1"/>
  <c r="T5" i="1"/>
  <c r="AC111" i="1"/>
  <c r="AD111" i="1"/>
  <c r="AE111" i="1"/>
  <c r="AF111" i="1"/>
  <c r="AG111" i="1"/>
  <c r="AH111" i="1"/>
  <c r="AI111" i="1"/>
  <c r="AJ111" i="1"/>
  <c r="AK111" i="1"/>
  <c r="AB111" i="1"/>
  <c r="C22" i="7" l="1"/>
  <c r="C21" i="7"/>
  <c r="AB5" i="7" s="1"/>
  <c r="C23" i="7"/>
  <c r="C26" i="7" s="1"/>
  <c r="C27" i="7" s="1"/>
  <c r="C25" i="7"/>
  <c r="C22" i="5"/>
  <c r="C23" i="5"/>
  <c r="C26" i="5" s="1"/>
  <c r="C24" i="5"/>
  <c r="C25" i="5"/>
  <c r="C21" i="5"/>
  <c r="AB5" i="5" s="1"/>
  <c r="V89" i="1"/>
  <c r="V190" i="1"/>
  <c r="V68" i="1"/>
  <c r="V26" i="1"/>
  <c r="V121" i="1"/>
  <c r="V70" i="1"/>
  <c r="V10" i="1"/>
  <c r="V134" i="1"/>
  <c r="V135" i="1"/>
  <c r="V63" i="1"/>
  <c r="V113" i="1"/>
  <c r="V66" i="1"/>
  <c r="V151" i="1"/>
  <c r="V131" i="1"/>
  <c r="V22" i="1"/>
  <c r="V12" i="1"/>
  <c r="V28" i="1"/>
  <c r="V72" i="1"/>
  <c r="V186" i="1"/>
  <c r="V126" i="1"/>
  <c r="V82" i="1"/>
  <c r="V93" i="1"/>
  <c r="V147" i="1"/>
  <c r="V173" i="1"/>
  <c r="V184" i="1"/>
  <c r="V83" i="1"/>
  <c r="V160" i="1"/>
  <c r="V99" i="1"/>
  <c r="V31" i="1"/>
  <c r="V46" i="1"/>
  <c r="V52" i="1"/>
  <c r="V29" i="1"/>
  <c r="V168" i="1"/>
  <c r="V6" i="1"/>
  <c r="V188" i="1"/>
  <c r="V200" i="1"/>
  <c r="V69" i="1"/>
  <c r="V32" i="1"/>
  <c r="V60" i="1"/>
  <c r="V150" i="1"/>
  <c r="V56" i="1"/>
  <c r="V187" i="1"/>
  <c r="V30" i="1"/>
  <c r="V138" i="1"/>
  <c r="V148" i="1"/>
  <c r="V198" i="1"/>
  <c r="V132" i="1"/>
  <c r="V202" i="1"/>
  <c r="V94" i="1"/>
  <c r="V115" i="1"/>
  <c r="V159" i="1"/>
  <c r="V7" i="1"/>
  <c r="V45" i="1"/>
  <c r="V193" i="1"/>
  <c r="V117" i="1"/>
  <c r="V146" i="1"/>
  <c r="V197" i="1"/>
  <c r="V71" i="1"/>
  <c r="V177" i="1"/>
  <c r="V140" i="1"/>
  <c r="V136" i="1"/>
  <c r="V77" i="1"/>
  <c r="V76" i="1"/>
  <c r="V105" i="1"/>
  <c r="V19" i="1"/>
  <c r="V100" i="1"/>
  <c r="V15" i="1"/>
  <c r="V167" i="1"/>
  <c r="V192" i="1"/>
  <c r="V120" i="1"/>
  <c r="V18" i="1"/>
  <c r="V143" i="1"/>
  <c r="V137" i="1"/>
  <c r="V53" i="1"/>
  <c r="V85" i="1"/>
  <c r="V161" i="1"/>
  <c r="V112" i="1"/>
  <c r="V119" i="1"/>
  <c r="V180" i="1"/>
  <c r="V153" i="1"/>
  <c r="V65" i="1"/>
  <c r="V166" i="1"/>
  <c r="V169" i="1"/>
  <c r="V176" i="1"/>
  <c r="V183" i="1"/>
  <c r="V84" i="1"/>
  <c r="V47" i="1"/>
  <c r="V149" i="1"/>
  <c r="V111" i="1"/>
  <c r="V133" i="1"/>
  <c r="V38" i="1"/>
  <c r="V81" i="1"/>
  <c r="V54" i="1"/>
  <c r="V178" i="1"/>
  <c r="V75" i="1"/>
  <c r="V114" i="1"/>
  <c r="V174" i="1"/>
  <c r="V201" i="1"/>
  <c r="V129" i="1"/>
  <c r="V109" i="1"/>
  <c r="V92" i="1"/>
  <c r="V155" i="1"/>
  <c r="V91" i="1"/>
  <c r="V59" i="1"/>
  <c r="V128" i="1"/>
  <c r="V102" i="1"/>
  <c r="V125" i="1"/>
  <c r="V64" i="1"/>
  <c r="V95" i="1"/>
  <c r="V24" i="1"/>
  <c r="V80" i="1"/>
  <c r="V199" i="1"/>
  <c r="V73" i="1"/>
  <c r="V107" i="1"/>
  <c r="V106" i="1"/>
  <c r="V203" i="1"/>
  <c r="V20" i="1"/>
  <c r="V139" i="1"/>
  <c r="V58" i="1"/>
  <c r="V101" i="1"/>
  <c r="V90" i="1"/>
  <c r="V104" i="1"/>
  <c r="V182" i="1"/>
  <c r="V181" i="1"/>
  <c r="V39" i="1"/>
  <c r="V37" i="1"/>
  <c r="V43" i="1"/>
  <c r="V142" i="1"/>
  <c r="V96" i="1"/>
  <c r="V196" i="1"/>
  <c r="V179" i="1"/>
  <c r="V189" i="1"/>
  <c r="V108" i="1"/>
  <c r="V157" i="1"/>
  <c r="V152" i="1"/>
  <c r="V78" i="1"/>
  <c r="V35" i="1"/>
  <c r="V41" i="1"/>
  <c r="V88" i="1"/>
  <c r="V40" i="1"/>
  <c r="V74" i="1"/>
  <c r="V86" i="1"/>
  <c r="V23" i="1"/>
  <c r="V130" i="1"/>
  <c r="V122" i="1"/>
  <c r="V50" i="1"/>
  <c r="V21" i="1"/>
  <c r="V103" i="1"/>
  <c r="V14" i="1"/>
  <c r="V49" i="1"/>
  <c r="V87" i="1"/>
  <c r="V16" i="1"/>
  <c r="V172" i="1"/>
  <c r="V17" i="1"/>
  <c r="V164" i="1"/>
  <c r="V170" i="1"/>
  <c r="V44" i="1"/>
  <c r="V110" i="1"/>
  <c r="V171" i="1"/>
  <c r="V195" i="1"/>
  <c r="V13" i="1"/>
  <c r="V11" i="1"/>
  <c r="V204" i="1"/>
  <c r="V127" i="1"/>
  <c r="V57" i="1"/>
  <c r="V97" i="1"/>
  <c r="V25" i="1"/>
  <c r="V67" i="1"/>
  <c r="V158" i="1"/>
  <c r="V8" i="1"/>
  <c r="V154" i="1"/>
  <c r="V61" i="1"/>
  <c r="V9" i="1"/>
  <c r="V156" i="1"/>
  <c r="V191" i="1"/>
  <c r="V144" i="1"/>
  <c r="V175" i="1"/>
  <c r="V5" i="1"/>
  <c r="C28" i="7" l="1"/>
  <c r="C27" i="5"/>
  <c r="C28" i="5"/>
  <c r="C23" i="1"/>
  <c r="C26" i="1" s="1"/>
  <c r="C22" i="1"/>
  <c r="C25" i="1"/>
  <c r="C24" i="1"/>
  <c r="C21" i="1"/>
  <c r="C27" i="1" l="1"/>
  <c r="AA5" i="1"/>
  <c r="C28" i="1"/>
</calcChain>
</file>

<file path=xl/sharedStrings.xml><?xml version="1.0" encoding="utf-8"?>
<sst xmlns="http://schemas.openxmlformats.org/spreadsheetml/2006/main" count="181" uniqueCount="71">
  <si>
    <t>P()</t>
  </si>
  <si>
    <t>zł</t>
  </si>
  <si>
    <t xml:space="preserve">a= </t>
  </si>
  <si>
    <t xml:space="preserve">b= </t>
  </si>
  <si>
    <t>Demand</t>
  </si>
  <si>
    <t>Left range</t>
  </si>
  <si>
    <t>CPF</t>
  </si>
  <si>
    <t>Result</t>
  </si>
  <si>
    <t>(triangular symmetrical)</t>
  </si>
  <si>
    <t>BL buys</t>
  </si>
  <si>
    <t>BL sales</t>
  </si>
  <si>
    <t>refund</t>
  </si>
  <si>
    <t>replications</t>
  </si>
  <si>
    <t>average profit</t>
  </si>
  <si>
    <t>Prob of high profit</t>
  </si>
  <si>
    <t>std dev</t>
  </si>
  <si>
    <t>minimum profit</t>
  </si>
  <si>
    <t>maksimum profit</t>
  </si>
  <si>
    <t>confidence interval</t>
  </si>
  <si>
    <t>lower bound</t>
  </si>
  <si>
    <t>upper bound</t>
  </si>
  <si>
    <t>Decision</t>
  </si>
  <si>
    <t>Order</t>
  </si>
  <si>
    <t>RAND1</t>
  </si>
  <si>
    <t>Experiment</t>
  </si>
  <si>
    <t>Average profit
Order</t>
  </si>
  <si>
    <t>Average profit</t>
  </si>
  <si>
    <t>Std dev.</t>
  </si>
  <si>
    <t>Conf. interval</t>
  </si>
  <si>
    <t>Lower bound</t>
  </si>
  <si>
    <t>Upper bound</t>
  </si>
  <si>
    <t>Replication</t>
  </si>
  <si>
    <t>RAND2</t>
  </si>
  <si>
    <t>RAND3</t>
  </si>
  <si>
    <t>cost of the lost demand</t>
  </si>
  <si>
    <t>Results for the suggested volume of excursions</t>
  </si>
  <si>
    <t>Blue Lagoon (BL) travel agency</t>
  </si>
  <si>
    <t>Decline in demand</t>
  </si>
  <si>
    <t>profit (2*income, 1 cost)</t>
  </si>
  <si>
    <t>Cost of purchase</t>
  </si>
  <si>
    <t>Historical demand</t>
  </si>
  <si>
    <t>Final demand</t>
  </si>
  <si>
    <t>Final demand (rounded)</t>
  </si>
  <si>
    <t>Income for BL from the sold trips</t>
  </si>
  <si>
    <t>Number of trips sold by BL to customers</t>
  </si>
  <si>
    <t>Income from return of unsold tours</t>
  </si>
  <si>
    <t>Right range</t>
  </si>
  <si>
    <t>20%-40% relative to past demand</t>
  </si>
  <si>
    <t>trips</t>
  </si>
  <si>
    <t>&gt; 100 000.PLN</t>
  </si>
  <si>
    <t>What will happen if demand increase (instead of
demand decrease) appears?</t>
  </si>
  <si>
    <t>Consider „lost profit” per each tour that could have
been sold (but wasn’t) equal to 1500 zł (in basic
and modified model)</t>
  </si>
  <si>
    <t>Elaborate results numerically and graphically</t>
  </si>
  <si>
    <t>As the order increases, the confidence interval for 
the average profit increases more strongly. What
 does this indicate?</t>
  </si>
  <si>
    <t>: this phenomenon indicates, that overbuying trips can lead to really harmful losses. According to the confidence interval behavior, it is better to sell all of the trips in smaller quantity, than sell most of the trips of larger quantity.</t>
  </si>
  <si>
    <t>: Higher order quantity bears bigger risk of loss, because unsold trips generate grave losses when compared to a sales margin.</t>
  </si>
  <si>
    <t>: if the demand increase appears and our order quantity does not change, the only thing that will happen is a potential profit miss. The company will still sell all of its trips, as the demad increase does not change this fact.</t>
  </si>
  <si>
    <t>: If the demand increase is stable and not seasonal, the company could change its strategy by buying more trips. It deeply depends on the seasonality of the demand change though, because in this scenario losses could be astronomical.</t>
  </si>
  <si>
    <t>: After all, in the worst case scenario of demand increase, the company still sells everything it has. So in terms of not changing operational strategy, demand increase has little to zero impact in short term, with possible profits in long.</t>
  </si>
  <si>
    <r>
      <t xml:space="preserve">profit (2*income, 1 cost, </t>
    </r>
    <r>
      <rPr>
        <b/>
        <sz val="12"/>
        <color rgb="FFFF0000"/>
        <rFont val="Arial"/>
        <family val="2"/>
      </rPr>
      <t>LOST PROFIT</t>
    </r>
    <r>
      <rPr>
        <b/>
        <sz val="12"/>
        <rFont val="Arial"/>
        <family val="2"/>
        <charset val="238"/>
      </rPr>
      <t>)</t>
    </r>
  </si>
  <si>
    <t>LOST PROFIT</t>
  </si>
  <si>
    <t>: with a "lost profit" concept it is much harder to achieve profits as high as before its introduction. In this scenario it is crucial for business owners to be exactly precise with demand forecast.</t>
  </si>
  <si>
    <t>: The concept of "lost profit" promotes the optimal order quantity, as underordering as well as overordering are both costly to a degree, that the business suffers.</t>
  </si>
  <si>
    <t>: The numerical results can be found in "Simulation" and "Mod. Simul" spreadsheets. As for the plots, here they are below:</t>
  </si>
  <si>
    <t>Normal simulation</t>
  </si>
  <si>
    <t>Modified simulation - with lost profit concept</t>
  </si>
  <si>
    <t xml:space="preserve">OQ = </t>
  </si>
  <si>
    <t>Prob of high profit &gt; 100 000PLN</t>
  </si>
  <si>
    <t>Lost profit + demand increase</t>
  </si>
  <si>
    <t>: The situation is different when we account 'lost profit' concept. In this scenario Blue Lagoon travel agency MUST buy more trips (definetly more than 170), as lower order quantities generate substantial losses.</t>
  </si>
  <si>
    <t>: Otherwise, in case of demand increase lost profits are too grave to be ignored.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</si>
</sst>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name val="Times New Roman"/>
      <charset val="238"/>
    </font>
    <font>
      <sz val="12"/>
      <name val="Times New Roman"/>
      <family val="1"/>
      <charset val="238"/>
    </font>
    <font>
      <b/>
      <sz val="12"/>
      <name val="Times New Roman"/>
      <family val="1"/>
    </font>
    <font>
      <sz val="18"/>
      <color indexed="9"/>
      <name val="Arial"/>
      <family val="2"/>
      <charset val="238"/>
    </font>
    <font>
      <sz val="12"/>
      <color indexed="9"/>
      <name val="Arial"/>
      <family val="2"/>
      <charset val="238"/>
    </font>
    <font>
      <sz val="12"/>
      <name val="Arial"/>
      <family val="2"/>
      <charset val="238"/>
    </font>
    <font>
      <b/>
      <sz val="12"/>
      <name val="Arial"/>
      <family val="2"/>
      <charset val="238"/>
    </font>
    <font>
      <b/>
      <sz val="12"/>
      <name val="Arial"/>
      <family val="2"/>
      <charset val="238"/>
    </font>
    <font>
      <sz val="12"/>
      <name val="Arial"/>
      <family val="2"/>
      <charset val="238"/>
    </font>
    <font>
      <b/>
      <sz val="16"/>
      <name val="Arial"/>
      <family val="2"/>
      <charset val="238"/>
    </font>
    <font>
      <b/>
      <sz val="14"/>
      <color rgb="FFFF0000"/>
      <name val="Arial"/>
      <family val="2"/>
      <charset val="238"/>
    </font>
    <font>
      <sz val="12"/>
      <color rgb="FFFF0000"/>
      <name val="Arial"/>
      <family val="2"/>
      <charset val="238"/>
    </font>
    <font>
      <b/>
      <sz val="16"/>
      <color rgb="FFFF0000"/>
      <name val="Arial"/>
      <family val="2"/>
      <charset val="238"/>
    </font>
    <font>
      <sz val="16"/>
      <name val="Arial"/>
      <family val="2"/>
      <charset val="238"/>
    </font>
    <font>
      <sz val="16"/>
      <name val="Times New Roman"/>
      <family val="1"/>
      <charset val="238"/>
    </font>
    <font>
      <b/>
      <sz val="10"/>
      <name val="Arial"/>
      <family val="2"/>
      <charset val="238"/>
    </font>
    <font>
      <sz val="12"/>
      <name val="Times New Roman"/>
      <family val="1"/>
    </font>
    <font>
      <b/>
      <sz val="12"/>
      <color rgb="FFFF0000"/>
      <name val="Arial"/>
      <family val="2"/>
    </font>
    <font>
      <b/>
      <sz val="12"/>
      <color rgb="FFFF0000"/>
      <name val="Times New Roman"/>
      <family val="1"/>
    </font>
  </fonts>
  <fills count="10">
    <fill>
      <patternFill patternType="none"/>
    </fill>
    <fill>
      <patternFill patternType="gray125"/>
    </fill>
    <fill>
      <patternFill patternType="solid">
        <fgColor indexed="23"/>
        <bgColor indexed="64"/>
      </patternFill>
    </fill>
    <fill>
      <patternFill patternType="solid">
        <fgColor indexed="22"/>
        <bgColor indexed="64"/>
      </patternFill>
    </fill>
    <fill>
      <patternFill patternType="solid">
        <fgColor indexed="55"/>
        <bgColor indexed="64"/>
      </patternFill>
    </fill>
    <fill>
      <patternFill patternType="solid">
        <fgColor theme="9" tint="0.59999389629810485"/>
        <bgColor indexed="64"/>
      </patternFill>
    </fill>
    <fill>
      <patternFill patternType="solid">
        <fgColor theme="3" tint="0.59999389629810485"/>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FFCC"/>
        <bgColor indexed="64"/>
      </patternFill>
    </fill>
  </fills>
  <borders count="27">
    <border>
      <left/>
      <right/>
      <top/>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top/>
      <bottom/>
      <diagonal/>
    </border>
    <border>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rgb="FFFF0000"/>
      </left>
      <right/>
      <top style="medium">
        <color rgb="FFFF0000"/>
      </top>
      <bottom style="medium">
        <color rgb="FFFF0000"/>
      </bottom>
      <diagonal/>
    </border>
    <border>
      <left/>
      <right/>
      <top style="medium">
        <color rgb="FFFF0000"/>
      </top>
      <bottom style="medium">
        <color rgb="FFFF0000"/>
      </bottom>
      <diagonal/>
    </border>
    <border>
      <left/>
      <right style="medium">
        <color rgb="FFFF0000"/>
      </right>
      <top style="medium">
        <color rgb="FFFF0000"/>
      </top>
      <bottom style="medium">
        <color rgb="FFFF0000"/>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style="medium">
        <color indexed="64"/>
      </left>
      <right style="medium">
        <color indexed="64"/>
      </right>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medium">
        <color rgb="FFFF0000"/>
      </top>
      <bottom/>
      <diagonal/>
    </border>
    <border>
      <left/>
      <right style="medium">
        <color rgb="FFFF0000"/>
      </right>
      <top style="medium">
        <color rgb="FFFF0000"/>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86">
    <xf numFmtId="0" fontId="0" fillId="0" borderId="0" xfId="0"/>
    <xf numFmtId="0" fontId="0" fillId="0" borderId="0" xfId="0" applyAlignment="1">
      <alignment horizontal="right"/>
    </xf>
    <xf numFmtId="2" fontId="0" fillId="0" borderId="0" xfId="0" applyNumberFormat="1" applyAlignment="1">
      <alignment horizontal="left"/>
    </xf>
    <xf numFmtId="0" fontId="0" fillId="0" borderId="0" xfId="0" applyAlignment="1">
      <alignment horizontal="center"/>
    </xf>
    <xf numFmtId="0" fontId="2" fillId="0" borderId="0" xfId="0" applyFont="1" applyAlignment="1">
      <alignment horizontal="center"/>
    </xf>
    <xf numFmtId="0" fontId="3" fillId="2" borderId="0" xfId="0" applyFont="1" applyFill="1"/>
    <xf numFmtId="0" fontId="4" fillId="2" borderId="0" xfId="0" applyFont="1" applyFill="1"/>
    <xf numFmtId="0" fontId="5" fillId="0" borderId="0" xfId="0" applyFont="1"/>
    <xf numFmtId="0" fontId="0" fillId="4" borderId="0" xfId="0" applyFill="1"/>
    <xf numFmtId="0" fontId="5" fillId="0" borderId="0" xfId="0" applyFont="1" applyAlignment="1">
      <alignment horizontal="left"/>
    </xf>
    <xf numFmtId="0" fontId="6" fillId="0" borderId="3" xfId="0" applyFont="1" applyBorder="1" applyAlignment="1">
      <alignment horizontal="center"/>
    </xf>
    <xf numFmtId="0" fontId="5" fillId="0" borderId="5" xfId="0" applyFont="1" applyBorder="1" applyAlignment="1">
      <alignment horizontal="center"/>
    </xf>
    <xf numFmtId="0" fontId="6" fillId="3" borderId="4" xfId="0" applyFont="1" applyFill="1" applyBorder="1" applyAlignment="1">
      <alignment horizontal="center"/>
    </xf>
    <xf numFmtId="0" fontId="6" fillId="0" borderId="2" xfId="0" applyFont="1" applyBorder="1" applyAlignment="1">
      <alignment horizontal="center"/>
    </xf>
    <xf numFmtId="0" fontId="5" fillId="0" borderId="0" xfId="0" applyFont="1" applyAlignment="1">
      <alignment horizontal="center"/>
    </xf>
    <xf numFmtId="0" fontId="5" fillId="0" borderId="6" xfId="0" applyFont="1" applyBorder="1" applyAlignment="1">
      <alignment horizontal="center"/>
    </xf>
    <xf numFmtId="0" fontId="5" fillId="0" borderId="7" xfId="0" applyFont="1" applyBorder="1"/>
    <xf numFmtId="0" fontId="5" fillId="0" borderId="8" xfId="0" applyFont="1" applyBorder="1" applyAlignment="1">
      <alignment horizontal="center"/>
    </xf>
    <xf numFmtId="0" fontId="5" fillId="0" borderId="2" xfId="0" applyFont="1" applyBorder="1"/>
    <xf numFmtId="0" fontId="6" fillId="0" borderId="5" xfId="0" applyFont="1" applyBorder="1" applyAlignment="1">
      <alignment horizontal="center"/>
    </xf>
    <xf numFmtId="0" fontId="5" fillId="0" borderId="5" xfId="0" applyFont="1" applyBorder="1"/>
    <xf numFmtId="0" fontId="6" fillId="0" borderId="8" xfId="0" applyFont="1" applyBorder="1" applyAlignment="1">
      <alignment horizontal="center"/>
    </xf>
    <xf numFmtId="0" fontId="6" fillId="0" borderId="0" xfId="0" applyFont="1" applyAlignment="1">
      <alignment horizontal="center"/>
    </xf>
    <xf numFmtId="0" fontId="6" fillId="0" borderId="0" xfId="0" applyFont="1" applyAlignment="1">
      <alignment horizontal="left"/>
    </xf>
    <xf numFmtId="0" fontId="11" fillId="0" borderId="5" xfId="0" applyFont="1" applyBorder="1" applyAlignment="1">
      <alignment horizontal="center"/>
    </xf>
    <xf numFmtId="0" fontId="11" fillId="0" borderId="5" xfId="0" applyFont="1" applyBorder="1"/>
    <xf numFmtId="0" fontId="11" fillId="0" borderId="8" xfId="0" applyFont="1" applyBorder="1" applyAlignment="1">
      <alignment horizontal="center"/>
    </xf>
    <xf numFmtId="0" fontId="5" fillId="7" borderId="0" xfId="0" applyFont="1" applyFill="1"/>
    <xf numFmtId="0" fontId="0" fillId="7" borderId="0" xfId="0" applyFill="1"/>
    <xf numFmtId="0" fontId="6" fillId="7" borderId="0" xfId="0" applyFont="1" applyFill="1"/>
    <xf numFmtId="0" fontId="7" fillId="7" borderId="1" xfId="0" applyFont="1" applyFill="1" applyBorder="1" applyAlignment="1">
      <alignment horizontal="center"/>
    </xf>
    <xf numFmtId="0" fontId="6" fillId="7" borderId="2" xfId="0" applyFont="1" applyFill="1" applyBorder="1" applyAlignment="1">
      <alignment horizontal="center"/>
    </xf>
    <xf numFmtId="0" fontId="6" fillId="7" borderId="0" xfId="0" applyFont="1" applyFill="1" applyAlignment="1">
      <alignment horizontal="right"/>
    </xf>
    <xf numFmtId="0" fontId="6" fillId="7" borderId="0" xfId="0" applyFont="1" applyFill="1" applyAlignment="1">
      <alignment horizontal="left"/>
    </xf>
    <xf numFmtId="0" fontId="6" fillId="3" borderId="10" xfId="0" applyFont="1" applyFill="1" applyBorder="1"/>
    <xf numFmtId="0" fontId="6" fillId="3" borderId="11" xfId="0" applyFont="1" applyFill="1" applyBorder="1"/>
    <xf numFmtId="0" fontId="6" fillId="3" borderId="12" xfId="0" applyFont="1" applyFill="1" applyBorder="1"/>
    <xf numFmtId="0" fontId="6" fillId="3" borderId="4" xfId="0" applyFont="1" applyFill="1" applyBorder="1" applyAlignment="1">
      <alignment horizontal="center" wrapText="1"/>
    </xf>
    <xf numFmtId="0" fontId="5" fillId="0" borderId="13" xfId="0" applyFont="1" applyBorder="1" applyAlignment="1">
      <alignment horizontal="center"/>
    </xf>
    <xf numFmtId="0" fontId="5" fillId="0" borderId="14" xfId="0" applyFont="1" applyBorder="1" applyAlignment="1">
      <alignment horizontal="center"/>
    </xf>
    <xf numFmtId="0" fontId="5" fillId="0" borderId="16" xfId="0" applyFont="1" applyBorder="1" applyAlignment="1">
      <alignment horizontal="center"/>
    </xf>
    <xf numFmtId="0" fontId="5" fillId="0" borderId="17" xfId="0" applyFont="1" applyBorder="1" applyAlignment="1">
      <alignment horizontal="center"/>
    </xf>
    <xf numFmtId="0" fontId="5" fillId="0" borderId="18" xfId="0" applyFont="1" applyBorder="1" applyAlignment="1">
      <alignment horizontal="center"/>
    </xf>
    <xf numFmtId="0" fontId="8" fillId="0" borderId="0" xfId="0" applyFont="1"/>
    <xf numFmtId="0" fontId="5" fillId="8" borderId="9" xfId="0" applyFont="1" applyFill="1" applyBorder="1"/>
    <xf numFmtId="0" fontId="5" fillId="8" borderId="19" xfId="0" applyFont="1" applyFill="1" applyBorder="1" applyAlignment="1">
      <alignment horizontal="left"/>
    </xf>
    <xf numFmtId="0" fontId="5" fillId="8" borderId="20" xfId="0" applyFont="1" applyFill="1" applyBorder="1" applyAlignment="1">
      <alignment horizontal="left"/>
    </xf>
    <xf numFmtId="0" fontId="5" fillId="8" borderId="19" xfId="0" applyFont="1" applyFill="1" applyBorder="1"/>
    <xf numFmtId="0" fontId="9" fillId="5" borderId="9" xfId="0" applyFont="1" applyFill="1" applyBorder="1"/>
    <xf numFmtId="0" fontId="13" fillId="5" borderId="9" xfId="0" applyFont="1" applyFill="1" applyBorder="1"/>
    <xf numFmtId="2" fontId="14" fillId="5" borderId="9" xfId="0" applyNumberFormat="1" applyFont="1" applyFill="1" applyBorder="1" applyAlignment="1">
      <alignment horizontal="left"/>
    </xf>
    <xf numFmtId="0" fontId="12" fillId="5" borderId="9" xfId="0" applyFont="1" applyFill="1" applyBorder="1"/>
    <xf numFmtId="0" fontId="6" fillId="7" borderId="1" xfId="0" applyFont="1" applyFill="1" applyBorder="1" applyAlignment="1">
      <alignment horizontal="center"/>
    </xf>
    <xf numFmtId="0" fontId="6" fillId="7" borderId="1" xfId="0" applyFont="1" applyFill="1" applyBorder="1" applyAlignment="1">
      <alignment horizontal="center" wrapText="1"/>
    </xf>
    <xf numFmtId="0" fontId="15" fillId="7" borderId="0" xfId="0" applyFont="1" applyFill="1"/>
    <xf numFmtId="0" fontId="6" fillId="0" borderId="19" xfId="0" applyFont="1" applyBorder="1"/>
    <xf numFmtId="2" fontId="5" fillId="0" borderId="14" xfId="0" applyNumberFormat="1" applyFont="1" applyBorder="1" applyAlignment="1">
      <alignment horizontal="center"/>
    </xf>
    <xf numFmtId="0" fontId="6" fillId="3" borderId="22" xfId="0" applyFont="1" applyFill="1" applyBorder="1"/>
    <xf numFmtId="0" fontId="10" fillId="9" borderId="22" xfId="0" applyFont="1" applyFill="1" applyBorder="1"/>
    <xf numFmtId="0" fontId="6" fillId="3" borderId="23" xfId="0" applyFont="1" applyFill="1" applyBorder="1"/>
    <xf numFmtId="0" fontId="15" fillId="3" borderId="10" xfId="0" applyFont="1" applyFill="1" applyBorder="1"/>
    <xf numFmtId="1" fontId="5" fillId="0" borderId="14" xfId="0" applyNumberFormat="1" applyFont="1" applyBorder="1" applyAlignment="1">
      <alignment horizontal="center"/>
    </xf>
    <xf numFmtId="1" fontId="5" fillId="0" borderId="15" xfId="0" applyNumberFormat="1" applyFont="1" applyBorder="1" applyAlignment="1">
      <alignment horizontal="center"/>
    </xf>
    <xf numFmtId="1" fontId="5" fillId="8" borderId="9" xfId="0" applyNumberFormat="1" applyFont="1" applyFill="1" applyBorder="1" applyAlignment="1">
      <alignment horizontal="center"/>
    </xf>
    <xf numFmtId="1" fontId="5" fillId="8" borderId="19" xfId="0" applyNumberFormat="1" applyFont="1" applyFill="1" applyBorder="1"/>
    <xf numFmtId="9" fontId="5" fillId="8" borderId="19" xfId="1" applyFont="1" applyFill="1" applyBorder="1"/>
    <xf numFmtId="1" fontId="9" fillId="6" borderId="8" xfId="0" applyNumberFormat="1" applyFont="1" applyFill="1" applyBorder="1" applyAlignment="1">
      <alignment horizontal="center"/>
    </xf>
    <xf numFmtId="0" fontId="5" fillId="0" borderId="14" xfId="1" applyNumberFormat="1" applyFont="1" applyBorder="1" applyAlignment="1">
      <alignment horizontal="center"/>
    </xf>
    <xf numFmtId="0" fontId="2" fillId="0" borderId="0" xfId="0" applyFont="1"/>
    <xf numFmtId="0" fontId="16" fillId="0" borderId="0" xfId="0" applyFont="1"/>
    <xf numFmtId="0" fontId="17" fillId="3" borderId="4" xfId="0" applyFont="1" applyFill="1" applyBorder="1" applyAlignment="1">
      <alignment horizontal="center" vertical="center" wrapText="1"/>
    </xf>
    <xf numFmtId="0" fontId="0" fillId="0" borderId="24" xfId="0" applyBorder="1"/>
    <xf numFmtId="0" fontId="18" fillId="0" borderId="0" xfId="0" applyFont="1" applyAlignment="1">
      <alignment horizontal="center" vertical="center"/>
    </xf>
    <xf numFmtId="0" fontId="0" fillId="0" borderId="25" xfId="0" applyBorder="1"/>
    <xf numFmtId="0" fontId="0" fillId="0" borderId="26" xfId="0" applyBorder="1"/>
    <xf numFmtId="0" fontId="0" fillId="0" borderId="14" xfId="0" applyBorder="1"/>
    <xf numFmtId="0" fontId="16" fillId="0" borderId="25" xfId="0" applyFont="1"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0" fontId="16" fillId="0" borderId="17" xfId="0" applyFont="1" applyBorder="1" applyAlignment="1">
      <alignment horizontal="center"/>
    </xf>
    <xf numFmtId="0" fontId="0" fillId="0" borderId="21" xfId="0" applyBorder="1" applyAlignment="1">
      <alignment horizontal="center" vertical="center"/>
    </xf>
    <xf numFmtId="0" fontId="5" fillId="8" borderId="19" xfId="0" applyFont="1" applyFill="1" applyBorder="1" applyAlignment="1">
      <alignment horizontal="left"/>
    </xf>
    <xf numFmtId="0" fontId="5" fillId="8" borderId="20" xfId="0" applyFont="1" applyFill="1" applyBorder="1" applyAlignment="1">
      <alignment horizontal="left"/>
    </xf>
    <xf numFmtId="0" fontId="6" fillId="9" borderId="19" xfId="0" applyFont="1" applyFill="1" applyBorder="1" applyAlignment="1">
      <alignment horizontal="center" wrapText="1"/>
    </xf>
    <xf numFmtId="0" fontId="6" fillId="9" borderId="21" xfId="0" applyFont="1" applyFill="1" applyBorder="1" applyAlignment="1">
      <alignment horizontal="center"/>
    </xf>
    <xf numFmtId="0" fontId="6" fillId="9" borderId="20" xfId="0" applyFont="1" applyFill="1" applyBorder="1" applyAlignment="1">
      <alignment horizontal="center"/>
    </xf>
  </cellXfs>
  <cellStyles count="2">
    <cellStyle name="Normal" xfId="0" builtinId="0"/>
    <cellStyle name="Percent" xfId="1" builtinId="5"/>
  </cellStyles>
  <dxfs count="0"/>
  <tableStyles count="0" defaultTableStyle="TableStyleMedium9"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'Basic Simulation'!$AA$112</c:f>
              <c:strCache>
                <c:ptCount val="1"/>
                <c:pt idx="0">
                  <c:v>Average profit</c:v>
                </c:pt>
              </c:strCache>
            </c:strRef>
          </c:tx>
          <c:spPr>
            <a:ln w="28575" cap="rnd">
              <a:solidFill>
                <a:schemeClr val="accent1"/>
              </a:solidFill>
              <a:round/>
            </a:ln>
            <a:effectLst/>
          </c:spPr>
          <c:marker>
            <c:symbol val="none"/>
          </c:marker>
          <c:cat>
            <c:numRef>
              <c:f>'Basic Simulation'!$AB$111:$AK$111</c:f>
              <c:numCache>
                <c:formatCode>General</c:formatCode>
                <c:ptCount val="10"/>
                <c:pt idx="0">
                  <c:v>80</c:v>
                </c:pt>
                <c:pt idx="1">
                  <c:v>90</c:v>
                </c:pt>
                <c:pt idx="2">
                  <c:v>100</c:v>
                </c:pt>
                <c:pt idx="3">
                  <c:v>110</c:v>
                </c:pt>
                <c:pt idx="4">
                  <c:v>120</c:v>
                </c:pt>
                <c:pt idx="5">
                  <c:v>130</c:v>
                </c:pt>
                <c:pt idx="6">
                  <c:v>140</c:v>
                </c:pt>
                <c:pt idx="7">
                  <c:v>150</c:v>
                </c:pt>
                <c:pt idx="8">
                  <c:v>160</c:v>
                </c:pt>
                <c:pt idx="9">
                  <c:v>170</c:v>
                </c:pt>
              </c:numCache>
            </c:numRef>
          </c:cat>
          <c:val>
            <c:numRef>
              <c:f>'Basic Simulation'!$AB$112:$AK$112</c:f>
              <c:numCache>
                <c:formatCode>General</c:formatCode>
                <c:ptCount val="10"/>
                <c:pt idx="0">
                  <c:v>120000</c:v>
                </c:pt>
                <c:pt idx="1">
                  <c:v>134853.70000000001</c:v>
                </c:pt>
                <c:pt idx="2">
                  <c:v>146598</c:v>
                </c:pt>
                <c:pt idx="3">
                  <c:v>151864.67499999999</c:v>
                </c:pt>
                <c:pt idx="4">
                  <c:v>151380.5</c:v>
                </c:pt>
                <c:pt idx="5">
                  <c:v>146703.85</c:v>
                </c:pt>
                <c:pt idx="6">
                  <c:v>138524.22500000001</c:v>
                </c:pt>
                <c:pt idx="7">
                  <c:v>122433.02499999999</c:v>
                </c:pt>
                <c:pt idx="8">
                  <c:v>105188.575</c:v>
                </c:pt>
                <c:pt idx="9">
                  <c:v>85100.024999999994</c:v>
                </c:pt>
              </c:numCache>
            </c:numRef>
          </c:val>
          <c:smooth val="0"/>
          <c:extLst>
            <c:ext xmlns:c16="http://schemas.microsoft.com/office/drawing/2014/chart" uri="{C3380CC4-5D6E-409C-BE32-E72D297353CC}">
              <c16:uniqueId val="{00000000-6F68-44D1-AAB3-AFE7E68180C0}"/>
            </c:ext>
          </c:extLst>
        </c:ser>
        <c:dLbls>
          <c:showLegendKey val="0"/>
          <c:showVal val="0"/>
          <c:showCatName val="0"/>
          <c:showSerName val="0"/>
          <c:showPercent val="0"/>
          <c:showBubbleSize val="0"/>
        </c:dLbls>
        <c:smooth val="0"/>
        <c:axId val="1583872672"/>
        <c:axId val="1583874112"/>
      </c:lineChart>
      <c:catAx>
        <c:axId val="1583872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874112"/>
        <c:crosses val="autoZero"/>
        <c:auto val="1"/>
        <c:lblAlgn val="ctr"/>
        <c:lblOffset val="100"/>
        <c:noMultiLvlLbl val="0"/>
      </c:catAx>
      <c:valAx>
        <c:axId val="1583874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872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'Mod. Simul.'!$AB$112</c:f>
              <c:strCache>
                <c:ptCount val="1"/>
                <c:pt idx="0">
                  <c:v>Average profit</c:v>
                </c:pt>
              </c:strCache>
            </c:strRef>
          </c:tx>
          <c:spPr>
            <a:ln w="28575" cap="rnd">
              <a:solidFill>
                <a:schemeClr val="accent1"/>
              </a:solidFill>
              <a:round/>
            </a:ln>
            <a:effectLst/>
          </c:spPr>
          <c:marker>
            <c:symbol val="none"/>
          </c:marker>
          <c:cat>
            <c:numRef>
              <c:f>'Mod. Simul.'!$AC$111:$AL$111</c:f>
              <c:numCache>
                <c:formatCode>General</c:formatCode>
                <c:ptCount val="10"/>
                <c:pt idx="0">
                  <c:v>80</c:v>
                </c:pt>
                <c:pt idx="1">
                  <c:v>90</c:v>
                </c:pt>
                <c:pt idx="2">
                  <c:v>100</c:v>
                </c:pt>
                <c:pt idx="3">
                  <c:v>110</c:v>
                </c:pt>
                <c:pt idx="4">
                  <c:v>120</c:v>
                </c:pt>
                <c:pt idx="5">
                  <c:v>130</c:v>
                </c:pt>
                <c:pt idx="6">
                  <c:v>140</c:v>
                </c:pt>
                <c:pt idx="7">
                  <c:v>150</c:v>
                </c:pt>
                <c:pt idx="8">
                  <c:v>160</c:v>
                </c:pt>
                <c:pt idx="9">
                  <c:v>170</c:v>
                </c:pt>
              </c:numCache>
            </c:numRef>
          </c:cat>
          <c:val>
            <c:numRef>
              <c:f>'Mod. Simul.'!$AC$112:$AL$112</c:f>
              <c:numCache>
                <c:formatCode>General</c:formatCode>
                <c:ptCount val="10"/>
                <c:pt idx="0">
                  <c:v>57724.724999999999</c:v>
                </c:pt>
                <c:pt idx="1">
                  <c:v>87341.425000000003</c:v>
                </c:pt>
                <c:pt idx="2">
                  <c:v>113067.6</c:v>
                </c:pt>
                <c:pt idx="3">
                  <c:v>128624.3</c:v>
                </c:pt>
                <c:pt idx="4">
                  <c:v>136966</c:v>
                </c:pt>
                <c:pt idx="5">
                  <c:v>137827.72500000001</c:v>
                </c:pt>
                <c:pt idx="6">
                  <c:v>133534.77499999999</c:v>
                </c:pt>
                <c:pt idx="7">
                  <c:v>122417.55</c:v>
                </c:pt>
                <c:pt idx="8">
                  <c:v>105111.925</c:v>
                </c:pt>
                <c:pt idx="9">
                  <c:v>85152.9</c:v>
                </c:pt>
              </c:numCache>
            </c:numRef>
          </c:val>
          <c:smooth val="0"/>
          <c:extLst>
            <c:ext xmlns:c16="http://schemas.microsoft.com/office/drawing/2014/chart" uri="{C3380CC4-5D6E-409C-BE32-E72D297353CC}">
              <c16:uniqueId val="{00000000-2020-43FC-86F2-615813E7C331}"/>
            </c:ext>
          </c:extLst>
        </c:ser>
        <c:dLbls>
          <c:showLegendKey val="0"/>
          <c:showVal val="0"/>
          <c:showCatName val="0"/>
          <c:showSerName val="0"/>
          <c:showPercent val="0"/>
          <c:showBubbleSize val="0"/>
        </c:dLbls>
        <c:smooth val="0"/>
        <c:axId val="1583872672"/>
        <c:axId val="1583874112"/>
      </c:lineChart>
      <c:catAx>
        <c:axId val="1583872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874112"/>
        <c:crosses val="autoZero"/>
        <c:auto val="1"/>
        <c:lblAlgn val="ctr"/>
        <c:lblOffset val="100"/>
        <c:noMultiLvlLbl val="0"/>
      </c:catAx>
      <c:valAx>
        <c:axId val="1583874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872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'Demand Increase'!$AB$112</c:f>
              <c:strCache>
                <c:ptCount val="1"/>
                <c:pt idx="0">
                  <c:v>Average profit</c:v>
                </c:pt>
              </c:strCache>
            </c:strRef>
          </c:tx>
          <c:spPr>
            <a:ln w="28575" cap="rnd">
              <a:solidFill>
                <a:schemeClr val="accent1"/>
              </a:solidFill>
              <a:round/>
            </a:ln>
            <a:effectLst/>
          </c:spPr>
          <c:marker>
            <c:symbol val="none"/>
          </c:marker>
          <c:cat>
            <c:numRef>
              <c:f>'Demand Increase'!$AC$111:$AL$111</c:f>
              <c:numCache>
                <c:formatCode>General</c:formatCode>
                <c:ptCount val="10"/>
                <c:pt idx="0">
                  <c:v>80</c:v>
                </c:pt>
                <c:pt idx="1">
                  <c:v>90</c:v>
                </c:pt>
                <c:pt idx="2">
                  <c:v>100</c:v>
                </c:pt>
                <c:pt idx="3">
                  <c:v>110</c:v>
                </c:pt>
                <c:pt idx="4">
                  <c:v>120</c:v>
                </c:pt>
                <c:pt idx="5">
                  <c:v>130</c:v>
                </c:pt>
                <c:pt idx="6">
                  <c:v>140</c:v>
                </c:pt>
                <c:pt idx="7">
                  <c:v>150</c:v>
                </c:pt>
                <c:pt idx="8">
                  <c:v>160</c:v>
                </c:pt>
                <c:pt idx="9">
                  <c:v>170</c:v>
                </c:pt>
              </c:numCache>
            </c:numRef>
          </c:cat>
          <c:val>
            <c:numRef>
              <c:f>'Demand Increase'!$AC$112:$AL$112</c:f>
              <c:numCache>
                <c:formatCode>General</c:formatCode>
                <c:ptCount val="10"/>
                <c:pt idx="0">
                  <c:v>-98091.074999999997</c:v>
                </c:pt>
                <c:pt idx="1">
                  <c:v>-68049.675000000003</c:v>
                </c:pt>
                <c:pt idx="2">
                  <c:v>-38134.800000000003</c:v>
                </c:pt>
                <c:pt idx="3">
                  <c:v>-7400.55</c:v>
                </c:pt>
                <c:pt idx="4">
                  <c:v>21722.775000000001</c:v>
                </c:pt>
                <c:pt idx="5">
                  <c:v>52067.625</c:v>
                </c:pt>
                <c:pt idx="6">
                  <c:v>82181.175000000003</c:v>
                </c:pt>
                <c:pt idx="7">
                  <c:v>111753.675</c:v>
                </c:pt>
                <c:pt idx="8">
                  <c:v>141548.32500000001</c:v>
                </c:pt>
                <c:pt idx="9">
                  <c:v>171945.75</c:v>
                </c:pt>
              </c:numCache>
            </c:numRef>
          </c:val>
          <c:smooth val="0"/>
          <c:extLst>
            <c:ext xmlns:c16="http://schemas.microsoft.com/office/drawing/2014/chart" uri="{C3380CC4-5D6E-409C-BE32-E72D297353CC}">
              <c16:uniqueId val="{00000000-F51D-425D-B997-1C1DC70BB253}"/>
            </c:ext>
          </c:extLst>
        </c:ser>
        <c:dLbls>
          <c:showLegendKey val="0"/>
          <c:showVal val="0"/>
          <c:showCatName val="0"/>
          <c:showSerName val="0"/>
          <c:showPercent val="0"/>
          <c:showBubbleSize val="0"/>
        </c:dLbls>
        <c:smooth val="0"/>
        <c:axId val="1583872672"/>
        <c:axId val="1583874112"/>
      </c:lineChart>
      <c:catAx>
        <c:axId val="1583872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874112"/>
        <c:crosses val="autoZero"/>
        <c:auto val="1"/>
        <c:lblAlgn val="ctr"/>
        <c:lblOffset val="100"/>
        <c:noMultiLvlLbl val="0"/>
      </c:catAx>
      <c:valAx>
        <c:axId val="1583874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872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'Basic Simulation'!$AA$112</c:f>
              <c:strCache>
                <c:ptCount val="1"/>
                <c:pt idx="0">
                  <c:v>Average profit</c:v>
                </c:pt>
              </c:strCache>
            </c:strRef>
          </c:tx>
          <c:spPr>
            <a:ln w="28575" cap="rnd">
              <a:solidFill>
                <a:schemeClr val="accent1"/>
              </a:solidFill>
              <a:round/>
            </a:ln>
            <a:effectLst/>
          </c:spPr>
          <c:marker>
            <c:symbol val="none"/>
          </c:marker>
          <c:cat>
            <c:numRef>
              <c:f>'Basic Simulation'!$AB$111:$AK$111</c:f>
              <c:numCache>
                <c:formatCode>General</c:formatCode>
                <c:ptCount val="10"/>
                <c:pt idx="0">
                  <c:v>80</c:v>
                </c:pt>
                <c:pt idx="1">
                  <c:v>90</c:v>
                </c:pt>
                <c:pt idx="2">
                  <c:v>100</c:v>
                </c:pt>
                <c:pt idx="3">
                  <c:v>110</c:v>
                </c:pt>
                <c:pt idx="4">
                  <c:v>120</c:v>
                </c:pt>
                <c:pt idx="5">
                  <c:v>130</c:v>
                </c:pt>
                <c:pt idx="6">
                  <c:v>140</c:v>
                </c:pt>
                <c:pt idx="7">
                  <c:v>150</c:v>
                </c:pt>
                <c:pt idx="8">
                  <c:v>160</c:v>
                </c:pt>
                <c:pt idx="9">
                  <c:v>170</c:v>
                </c:pt>
              </c:numCache>
            </c:numRef>
          </c:cat>
          <c:val>
            <c:numRef>
              <c:f>'Basic Simulation'!$AB$112:$AK$112</c:f>
              <c:numCache>
                <c:formatCode>General</c:formatCode>
                <c:ptCount val="10"/>
                <c:pt idx="0">
                  <c:v>120000</c:v>
                </c:pt>
                <c:pt idx="1">
                  <c:v>134853.70000000001</c:v>
                </c:pt>
                <c:pt idx="2">
                  <c:v>146598</c:v>
                </c:pt>
                <c:pt idx="3">
                  <c:v>151864.67499999999</c:v>
                </c:pt>
                <c:pt idx="4">
                  <c:v>151380.5</c:v>
                </c:pt>
                <c:pt idx="5">
                  <c:v>146703.85</c:v>
                </c:pt>
                <c:pt idx="6">
                  <c:v>138524.22500000001</c:v>
                </c:pt>
                <c:pt idx="7">
                  <c:v>122433.02499999999</c:v>
                </c:pt>
                <c:pt idx="8">
                  <c:v>105188.575</c:v>
                </c:pt>
                <c:pt idx="9">
                  <c:v>85100.024999999994</c:v>
                </c:pt>
              </c:numCache>
            </c:numRef>
          </c:val>
          <c:smooth val="0"/>
          <c:extLst>
            <c:ext xmlns:c16="http://schemas.microsoft.com/office/drawing/2014/chart" uri="{C3380CC4-5D6E-409C-BE32-E72D297353CC}">
              <c16:uniqueId val="{00000000-BD5D-4C2B-93D3-A07C55E94F51}"/>
            </c:ext>
          </c:extLst>
        </c:ser>
        <c:dLbls>
          <c:showLegendKey val="0"/>
          <c:showVal val="0"/>
          <c:showCatName val="0"/>
          <c:showSerName val="0"/>
          <c:showPercent val="0"/>
          <c:showBubbleSize val="0"/>
        </c:dLbls>
        <c:smooth val="0"/>
        <c:axId val="1583872672"/>
        <c:axId val="1583874112"/>
      </c:lineChart>
      <c:catAx>
        <c:axId val="1583872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874112"/>
        <c:crosses val="autoZero"/>
        <c:auto val="1"/>
        <c:lblAlgn val="ctr"/>
        <c:lblOffset val="100"/>
        <c:noMultiLvlLbl val="0"/>
      </c:catAx>
      <c:valAx>
        <c:axId val="1583874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872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'Mod. Simul.'!$AB$112</c:f>
              <c:strCache>
                <c:ptCount val="1"/>
                <c:pt idx="0">
                  <c:v>Average profit</c:v>
                </c:pt>
              </c:strCache>
            </c:strRef>
          </c:tx>
          <c:spPr>
            <a:ln w="28575" cap="rnd">
              <a:solidFill>
                <a:schemeClr val="accent1"/>
              </a:solidFill>
              <a:round/>
            </a:ln>
            <a:effectLst/>
          </c:spPr>
          <c:marker>
            <c:symbol val="none"/>
          </c:marker>
          <c:cat>
            <c:numRef>
              <c:f>'Mod. Simul.'!$AC$111:$AL$111</c:f>
              <c:numCache>
                <c:formatCode>General</c:formatCode>
                <c:ptCount val="10"/>
                <c:pt idx="0">
                  <c:v>80</c:v>
                </c:pt>
                <c:pt idx="1">
                  <c:v>90</c:v>
                </c:pt>
                <c:pt idx="2">
                  <c:v>100</c:v>
                </c:pt>
                <c:pt idx="3">
                  <c:v>110</c:v>
                </c:pt>
                <c:pt idx="4">
                  <c:v>120</c:v>
                </c:pt>
                <c:pt idx="5">
                  <c:v>130</c:v>
                </c:pt>
                <c:pt idx="6">
                  <c:v>140</c:v>
                </c:pt>
                <c:pt idx="7">
                  <c:v>150</c:v>
                </c:pt>
                <c:pt idx="8">
                  <c:v>160</c:v>
                </c:pt>
                <c:pt idx="9">
                  <c:v>170</c:v>
                </c:pt>
              </c:numCache>
            </c:numRef>
          </c:cat>
          <c:val>
            <c:numRef>
              <c:f>'Mod. Simul.'!$AC$112:$AL$112</c:f>
              <c:numCache>
                <c:formatCode>General</c:formatCode>
                <c:ptCount val="10"/>
                <c:pt idx="0">
                  <c:v>57724.724999999999</c:v>
                </c:pt>
                <c:pt idx="1">
                  <c:v>87341.425000000003</c:v>
                </c:pt>
                <c:pt idx="2">
                  <c:v>113067.6</c:v>
                </c:pt>
                <c:pt idx="3">
                  <c:v>128624.3</c:v>
                </c:pt>
                <c:pt idx="4">
                  <c:v>136966</c:v>
                </c:pt>
                <c:pt idx="5">
                  <c:v>137827.72500000001</c:v>
                </c:pt>
                <c:pt idx="6">
                  <c:v>133534.77499999999</c:v>
                </c:pt>
                <c:pt idx="7">
                  <c:v>122417.55</c:v>
                </c:pt>
                <c:pt idx="8">
                  <c:v>105111.925</c:v>
                </c:pt>
                <c:pt idx="9">
                  <c:v>85152.9</c:v>
                </c:pt>
              </c:numCache>
            </c:numRef>
          </c:val>
          <c:smooth val="0"/>
          <c:extLst>
            <c:ext xmlns:c16="http://schemas.microsoft.com/office/drawing/2014/chart" uri="{C3380CC4-5D6E-409C-BE32-E72D297353CC}">
              <c16:uniqueId val="{00000000-9E1F-4BC8-8AC2-07E61C1CAF36}"/>
            </c:ext>
          </c:extLst>
        </c:ser>
        <c:dLbls>
          <c:showLegendKey val="0"/>
          <c:showVal val="0"/>
          <c:showCatName val="0"/>
          <c:showSerName val="0"/>
          <c:showPercent val="0"/>
          <c:showBubbleSize val="0"/>
        </c:dLbls>
        <c:smooth val="0"/>
        <c:axId val="1583872672"/>
        <c:axId val="1583874112"/>
      </c:lineChart>
      <c:catAx>
        <c:axId val="1583872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874112"/>
        <c:crosses val="autoZero"/>
        <c:auto val="1"/>
        <c:lblAlgn val="ctr"/>
        <c:lblOffset val="100"/>
        <c:noMultiLvlLbl val="0"/>
      </c:catAx>
      <c:valAx>
        <c:axId val="1583874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872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'Basic Simulation'!$V$4</c:f>
              <c:strCache>
                <c:ptCount val="1"/>
                <c:pt idx="0">
                  <c:v>profit (2*income, 1 cost)</c:v>
                </c:pt>
              </c:strCache>
            </c:strRef>
          </c:tx>
          <c:spPr>
            <a:ln w="28575" cap="rnd">
              <a:noFill/>
              <a:round/>
            </a:ln>
            <a:effectLst/>
          </c:spPr>
          <c:marker>
            <c:symbol val="circle"/>
            <c:size val="5"/>
            <c:spPr>
              <a:solidFill>
                <a:schemeClr val="accent1"/>
              </a:solidFill>
              <a:ln w="9525">
                <a:solidFill>
                  <a:schemeClr val="accent1"/>
                </a:solidFill>
              </a:ln>
              <a:effectLst/>
            </c:spPr>
          </c:marker>
          <c:xVal>
            <c:numRef>
              <c:f>'Basic Simulation'!$R$5:$R$204</c:f>
              <c:numCache>
                <c:formatCode>0.00</c:formatCode>
                <c:ptCount val="200"/>
                <c:pt idx="0">
                  <c:v>111</c:v>
                </c:pt>
                <c:pt idx="1">
                  <c:v>151</c:v>
                </c:pt>
                <c:pt idx="2">
                  <c:v>129</c:v>
                </c:pt>
                <c:pt idx="3">
                  <c:v>99</c:v>
                </c:pt>
                <c:pt idx="4">
                  <c:v>130</c:v>
                </c:pt>
                <c:pt idx="5">
                  <c:v>125</c:v>
                </c:pt>
                <c:pt idx="6">
                  <c:v>150</c:v>
                </c:pt>
                <c:pt idx="7">
                  <c:v>144</c:v>
                </c:pt>
                <c:pt idx="8">
                  <c:v>102</c:v>
                </c:pt>
                <c:pt idx="9">
                  <c:v>140</c:v>
                </c:pt>
                <c:pt idx="10">
                  <c:v>124</c:v>
                </c:pt>
                <c:pt idx="11">
                  <c:v>126</c:v>
                </c:pt>
                <c:pt idx="12">
                  <c:v>135</c:v>
                </c:pt>
                <c:pt idx="13">
                  <c:v>116</c:v>
                </c:pt>
                <c:pt idx="14">
                  <c:v>150</c:v>
                </c:pt>
                <c:pt idx="15">
                  <c:v>122</c:v>
                </c:pt>
                <c:pt idx="16">
                  <c:v>107</c:v>
                </c:pt>
                <c:pt idx="17">
                  <c:v>134</c:v>
                </c:pt>
                <c:pt idx="18">
                  <c:v>129</c:v>
                </c:pt>
                <c:pt idx="19">
                  <c:v>137</c:v>
                </c:pt>
                <c:pt idx="20">
                  <c:v>155</c:v>
                </c:pt>
                <c:pt idx="21">
                  <c:v>133</c:v>
                </c:pt>
                <c:pt idx="22">
                  <c:v>100</c:v>
                </c:pt>
                <c:pt idx="23">
                  <c:v>99</c:v>
                </c:pt>
                <c:pt idx="24">
                  <c:v>125</c:v>
                </c:pt>
                <c:pt idx="25">
                  <c:v>125</c:v>
                </c:pt>
                <c:pt idx="26">
                  <c:v>138</c:v>
                </c:pt>
                <c:pt idx="27">
                  <c:v>158</c:v>
                </c:pt>
                <c:pt idx="28">
                  <c:v>154</c:v>
                </c:pt>
                <c:pt idx="29">
                  <c:v>146</c:v>
                </c:pt>
                <c:pt idx="30">
                  <c:v>106</c:v>
                </c:pt>
                <c:pt idx="31">
                  <c:v>99</c:v>
                </c:pt>
                <c:pt idx="32">
                  <c:v>135</c:v>
                </c:pt>
                <c:pt idx="33">
                  <c:v>115</c:v>
                </c:pt>
                <c:pt idx="34">
                  <c:v>103</c:v>
                </c:pt>
                <c:pt idx="35">
                  <c:v>126</c:v>
                </c:pt>
                <c:pt idx="36">
                  <c:v>112</c:v>
                </c:pt>
                <c:pt idx="37">
                  <c:v>128</c:v>
                </c:pt>
                <c:pt idx="38">
                  <c:v>123</c:v>
                </c:pt>
                <c:pt idx="39">
                  <c:v>98</c:v>
                </c:pt>
                <c:pt idx="40">
                  <c:v>142</c:v>
                </c:pt>
                <c:pt idx="41">
                  <c:v>113</c:v>
                </c:pt>
                <c:pt idx="42">
                  <c:v>130</c:v>
                </c:pt>
                <c:pt idx="43">
                  <c:v>133</c:v>
                </c:pt>
                <c:pt idx="44">
                  <c:v>119</c:v>
                </c:pt>
                <c:pt idx="45">
                  <c:v>99</c:v>
                </c:pt>
                <c:pt idx="46">
                  <c:v>96</c:v>
                </c:pt>
                <c:pt idx="47">
                  <c:v>114</c:v>
                </c:pt>
                <c:pt idx="48">
                  <c:v>101</c:v>
                </c:pt>
                <c:pt idx="49">
                  <c:v>97</c:v>
                </c:pt>
                <c:pt idx="50">
                  <c:v>96</c:v>
                </c:pt>
                <c:pt idx="51">
                  <c:v>143</c:v>
                </c:pt>
                <c:pt idx="52">
                  <c:v>121</c:v>
                </c:pt>
                <c:pt idx="53">
                  <c:v>141</c:v>
                </c:pt>
                <c:pt idx="54">
                  <c:v>90</c:v>
                </c:pt>
                <c:pt idx="55">
                  <c:v>167</c:v>
                </c:pt>
                <c:pt idx="56">
                  <c:v>102</c:v>
                </c:pt>
                <c:pt idx="57">
                  <c:v>118</c:v>
                </c:pt>
                <c:pt idx="58">
                  <c:v>133</c:v>
                </c:pt>
                <c:pt idx="59">
                  <c:v>94</c:v>
                </c:pt>
                <c:pt idx="60">
                  <c:v>99</c:v>
                </c:pt>
                <c:pt idx="61">
                  <c:v>129</c:v>
                </c:pt>
                <c:pt idx="62">
                  <c:v>117</c:v>
                </c:pt>
                <c:pt idx="63">
                  <c:v>140</c:v>
                </c:pt>
                <c:pt idx="64">
                  <c:v>134</c:v>
                </c:pt>
                <c:pt idx="65">
                  <c:v>128</c:v>
                </c:pt>
                <c:pt idx="66">
                  <c:v>152</c:v>
                </c:pt>
                <c:pt idx="67">
                  <c:v>101</c:v>
                </c:pt>
                <c:pt idx="68">
                  <c:v>123</c:v>
                </c:pt>
                <c:pt idx="69">
                  <c:v>137</c:v>
                </c:pt>
                <c:pt idx="70">
                  <c:v>122</c:v>
                </c:pt>
                <c:pt idx="71">
                  <c:v>109</c:v>
                </c:pt>
                <c:pt idx="72">
                  <c:v>160</c:v>
                </c:pt>
                <c:pt idx="73">
                  <c:v>87</c:v>
                </c:pt>
                <c:pt idx="74">
                  <c:v>151</c:v>
                </c:pt>
                <c:pt idx="75">
                  <c:v>109</c:v>
                </c:pt>
                <c:pt idx="76">
                  <c:v>113</c:v>
                </c:pt>
                <c:pt idx="77">
                  <c:v>98</c:v>
                </c:pt>
                <c:pt idx="78">
                  <c:v>154</c:v>
                </c:pt>
                <c:pt idx="79">
                  <c:v>135</c:v>
                </c:pt>
                <c:pt idx="80">
                  <c:v>114</c:v>
                </c:pt>
                <c:pt idx="81">
                  <c:v>130</c:v>
                </c:pt>
                <c:pt idx="82">
                  <c:v>101</c:v>
                </c:pt>
                <c:pt idx="83">
                  <c:v>93</c:v>
                </c:pt>
                <c:pt idx="84">
                  <c:v>116</c:v>
                </c:pt>
                <c:pt idx="85">
                  <c:v>147</c:v>
                </c:pt>
                <c:pt idx="86">
                  <c:v>139</c:v>
                </c:pt>
                <c:pt idx="87">
                  <c:v>121</c:v>
                </c:pt>
                <c:pt idx="88">
                  <c:v>138</c:v>
                </c:pt>
                <c:pt idx="89">
                  <c:v>131</c:v>
                </c:pt>
                <c:pt idx="90">
                  <c:v>131</c:v>
                </c:pt>
                <c:pt idx="91">
                  <c:v>106</c:v>
                </c:pt>
                <c:pt idx="92">
                  <c:v>131</c:v>
                </c:pt>
                <c:pt idx="93">
                  <c:v>93</c:v>
                </c:pt>
                <c:pt idx="94">
                  <c:v>97</c:v>
                </c:pt>
                <c:pt idx="95">
                  <c:v>130</c:v>
                </c:pt>
                <c:pt idx="96">
                  <c:v>146</c:v>
                </c:pt>
                <c:pt idx="97">
                  <c:v>148</c:v>
                </c:pt>
                <c:pt idx="98">
                  <c:v>101</c:v>
                </c:pt>
                <c:pt idx="99">
                  <c:v>104</c:v>
                </c:pt>
                <c:pt idx="100">
                  <c:v>111</c:v>
                </c:pt>
                <c:pt idx="101">
                  <c:v>136</c:v>
                </c:pt>
                <c:pt idx="102">
                  <c:v>95</c:v>
                </c:pt>
                <c:pt idx="103">
                  <c:v>129</c:v>
                </c:pt>
                <c:pt idx="104">
                  <c:v>117</c:v>
                </c:pt>
                <c:pt idx="105">
                  <c:v>100</c:v>
                </c:pt>
                <c:pt idx="106">
                  <c:v>113</c:v>
                </c:pt>
                <c:pt idx="107">
                  <c:v>103</c:v>
                </c:pt>
                <c:pt idx="108">
                  <c:v>130</c:v>
                </c:pt>
                <c:pt idx="109">
                  <c:v>171</c:v>
                </c:pt>
                <c:pt idx="110">
                  <c:v>139</c:v>
                </c:pt>
                <c:pt idx="111">
                  <c:v>120</c:v>
                </c:pt>
                <c:pt idx="112">
                  <c:v>122</c:v>
                </c:pt>
                <c:pt idx="113">
                  <c:v>90</c:v>
                </c:pt>
                <c:pt idx="114">
                  <c:v>116</c:v>
                </c:pt>
                <c:pt idx="115">
                  <c:v>99</c:v>
                </c:pt>
                <c:pt idx="116">
                  <c:v>114</c:v>
                </c:pt>
                <c:pt idx="117">
                  <c:v>129</c:v>
                </c:pt>
                <c:pt idx="118">
                  <c:v>87</c:v>
                </c:pt>
                <c:pt idx="119">
                  <c:v>126</c:v>
                </c:pt>
                <c:pt idx="120">
                  <c:v>123</c:v>
                </c:pt>
                <c:pt idx="121">
                  <c:v>131</c:v>
                </c:pt>
                <c:pt idx="122">
                  <c:v>133</c:v>
                </c:pt>
                <c:pt idx="123">
                  <c:v>141</c:v>
                </c:pt>
                <c:pt idx="124">
                  <c:v>122</c:v>
                </c:pt>
                <c:pt idx="125">
                  <c:v>99</c:v>
                </c:pt>
                <c:pt idx="126">
                  <c:v>105</c:v>
                </c:pt>
                <c:pt idx="127">
                  <c:v>94</c:v>
                </c:pt>
                <c:pt idx="128">
                  <c:v>145</c:v>
                </c:pt>
                <c:pt idx="129">
                  <c:v>131</c:v>
                </c:pt>
                <c:pt idx="130">
                  <c:v>140</c:v>
                </c:pt>
                <c:pt idx="131">
                  <c:v>132</c:v>
                </c:pt>
                <c:pt idx="132">
                  <c:v>95</c:v>
                </c:pt>
                <c:pt idx="133">
                  <c:v>135</c:v>
                </c:pt>
                <c:pt idx="134">
                  <c:v>123</c:v>
                </c:pt>
                <c:pt idx="135">
                  <c:v>97</c:v>
                </c:pt>
                <c:pt idx="136">
                  <c:v>157</c:v>
                </c:pt>
                <c:pt idx="137">
                  <c:v>122</c:v>
                </c:pt>
                <c:pt idx="138">
                  <c:v>96</c:v>
                </c:pt>
                <c:pt idx="139">
                  <c:v>145</c:v>
                </c:pt>
                <c:pt idx="140">
                  <c:v>123</c:v>
                </c:pt>
                <c:pt idx="141">
                  <c:v>125</c:v>
                </c:pt>
                <c:pt idx="142">
                  <c:v>137</c:v>
                </c:pt>
                <c:pt idx="143">
                  <c:v>101</c:v>
                </c:pt>
                <c:pt idx="144">
                  <c:v>91</c:v>
                </c:pt>
                <c:pt idx="145">
                  <c:v>102</c:v>
                </c:pt>
                <c:pt idx="146">
                  <c:v>173</c:v>
                </c:pt>
                <c:pt idx="147">
                  <c:v>109</c:v>
                </c:pt>
                <c:pt idx="148">
                  <c:v>140</c:v>
                </c:pt>
                <c:pt idx="149">
                  <c:v>101</c:v>
                </c:pt>
                <c:pt idx="150">
                  <c:v>151</c:v>
                </c:pt>
                <c:pt idx="151">
                  <c:v>106</c:v>
                </c:pt>
                <c:pt idx="152">
                  <c:v>111</c:v>
                </c:pt>
                <c:pt idx="153">
                  <c:v>136</c:v>
                </c:pt>
                <c:pt idx="154">
                  <c:v>118</c:v>
                </c:pt>
                <c:pt idx="155">
                  <c:v>163</c:v>
                </c:pt>
                <c:pt idx="156">
                  <c:v>149</c:v>
                </c:pt>
                <c:pt idx="157">
                  <c:v>151</c:v>
                </c:pt>
                <c:pt idx="158">
                  <c:v>98</c:v>
                </c:pt>
                <c:pt idx="159">
                  <c:v>87</c:v>
                </c:pt>
                <c:pt idx="160">
                  <c:v>129</c:v>
                </c:pt>
                <c:pt idx="161">
                  <c:v>101</c:v>
                </c:pt>
                <c:pt idx="162">
                  <c:v>131</c:v>
                </c:pt>
                <c:pt idx="163">
                  <c:v>93</c:v>
                </c:pt>
                <c:pt idx="164">
                  <c:v>134</c:v>
                </c:pt>
                <c:pt idx="165">
                  <c:v>129</c:v>
                </c:pt>
                <c:pt idx="166">
                  <c:v>118</c:v>
                </c:pt>
                <c:pt idx="167">
                  <c:v>149</c:v>
                </c:pt>
                <c:pt idx="168">
                  <c:v>111</c:v>
                </c:pt>
                <c:pt idx="169">
                  <c:v>115</c:v>
                </c:pt>
                <c:pt idx="170">
                  <c:v>142</c:v>
                </c:pt>
                <c:pt idx="171">
                  <c:v>144</c:v>
                </c:pt>
                <c:pt idx="172">
                  <c:v>101</c:v>
                </c:pt>
                <c:pt idx="173">
                  <c:v>129</c:v>
                </c:pt>
                <c:pt idx="174">
                  <c:v>95</c:v>
                </c:pt>
                <c:pt idx="175">
                  <c:v>146</c:v>
                </c:pt>
                <c:pt idx="176">
                  <c:v>132</c:v>
                </c:pt>
                <c:pt idx="177">
                  <c:v>142</c:v>
                </c:pt>
                <c:pt idx="178">
                  <c:v>128</c:v>
                </c:pt>
                <c:pt idx="179">
                  <c:v>149</c:v>
                </c:pt>
                <c:pt idx="180">
                  <c:v>146</c:v>
                </c:pt>
                <c:pt idx="181">
                  <c:v>94</c:v>
                </c:pt>
                <c:pt idx="182">
                  <c:v>143</c:v>
                </c:pt>
                <c:pt idx="183">
                  <c:v>103</c:v>
                </c:pt>
                <c:pt idx="184">
                  <c:v>126</c:v>
                </c:pt>
                <c:pt idx="185">
                  <c:v>98</c:v>
                </c:pt>
                <c:pt idx="186">
                  <c:v>113</c:v>
                </c:pt>
                <c:pt idx="187">
                  <c:v>91</c:v>
                </c:pt>
                <c:pt idx="188">
                  <c:v>136</c:v>
                </c:pt>
                <c:pt idx="189">
                  <c:v>138</c:v>
                </c:pt>
                <c:pt idx="190">
                  <c:v>141</c:v>
                </c:pt>
                <c:pt idx="191">
                  <c:v>130</c:v>
                </c:pt>
                <c:pt idx="192">
                  <c:v>107</c:v>
                </c:pt>
                <c:pt idx="193">
                  <c:v>162</c:v>
                </c:pt>
                <c:pt idx="194">
                  <c:v>116</c:v>
                </c:pt>
                <c:pt idx="195">
                  <c:v>123</c:v>
                </c:pt>
                <c:pt idx="196">
                  <c:v>98</c:v>
                </c:pt>
                <c:pt idx="197">
                  <c:v>104</c:v>
                </c:pt>
                <c:pt idx="198">
                  <c:v>104</c:v>
                </c:pt>
                <c:pt idx="199">
                  <c:v>133</c:v>
                </c:pt>
              </c:numCache>
            </c:numRef>
          </c:xVal>
          <c:yVal>
            <c:numRef>
              <c:f>'Basic Simulation'!$V$5:$V$204</c:f>
              <c:numCache>
                <c:formatCode>0</c:formatCode>
                <c:ptCount val="200"/>
                <c:pt idx="0">
                  <c:v>138500</c:v>
                </c:pt>
                <c:pt idx="1">
                  <c:v>187500</c:v>
                </c:pt>
                <c:pt idx="2">
                  <c:v>187500</c:v>
                </c:pt>
                <c:pt idx="3">
                  <c:v>96500</c:v>
                </c:pt>
                <c:pt idx="4">
                  <c:v>187500</c:v>
                </c:pt>
                <c:pt idx="5">
                  <c:v>187500</c:v>
                </c:pt>
                <c:pt idx="6">
                  <c:v>187500</c:v>
                </c:pt>
                <c:pt idx="7">
                  <c:v>187500</c:v>
                </c:pt>
                <c:pt idx="8">
                  <c:v>107000</c:v>
                </c:pt>
                <c:pt idx="9">
                  <c:v>187500</c:v>
                </c:pt>
                <c:pt idx="10">
                  <c:v>184000</c:v>
                </c:pt>
                <c:pt idx="11">
                  <c:v>187500</c:v>
                </c:pt>
                <c:pt idx="12">
                  <c:v>187500</c:v>
                </c:pt>
                <c:pt idx="13">
                  <c:v>156000</c:v>
                </c:pt>
                <c:pt idx="14">
                  <c:v>187500</c:v>
                </c:pt>
                <c:pt idx="15">
                  <c:v>177000</c:v>
                </c:pt>
                <c:pt idx="16">
                  <c:v>124500</c:v>
                </c:pt>
                <c:pt idx="17">
                  <c:v>187500</c:v>
                </c:pt>
                <c:pt idx="18">
                  <c:v>187500</c:v>
                </c:pt>
                <c:pt idx="19">
                  <c:v>187500</c:v>
                </c:pt>
                <c:pt idx="20">
                  <c:v>187500</c:v>
                </c:pt>
                <c:pt idx="21">
                  <c:v>187500</c:v>
                </c:pt>
                <c:pt idx="22">
                  <c:v>100000</c:v>
                </c:pt>
                <c:pt idx="23">
                  <c:v>96500</c:v>
                </c:pt>
                <c:pt idx="24">
                  <c:v>187500</c:v>
                </c:pt>
                <c:pt idx="25">
                  <c:v>187500</c:v>
                </c:pt>
                <c:pt idx="26">
                  <c:v>187500</c:v>
                </c:pt>
                <c:pt idx="27">
                  <c:v>187500</c:v>
                </c:pt>
                <c:pt idx="28">
                  <c:v>187500</c:v>
                </c:pt>
                <c:pt idx="29">
                  <c:v>187500</c:v>
                </c:pt>
                <c:pt idx="30">
                  <c:v>121000</c:v>
                </c:pt>
                <c:pt idx="31">
                  <c:v>96500</c:v>
                </c:pt>
                <c:pt idx="32">
                  <c:v>187500</c:v>
                </c:pt>
                <c:pt idx="33">
                  <c:v>152500</c:v>
                </c:pt>
                <c:pt idx="34">
                  <c:v>110500</c:v>
                </c:pt>
                <c:pt idx="35">
                  <c:v>187500</c:v>
                </c:pt>
                <c:pt idx="36">
                  <c:v>142000</c:v>
                </c:pt>
                <c:pt idx="37">
                  <c:v>187500</c:v>
                </c:pt>
                <c:pt idx="38">
                  <c:v>180500</c:v>
                </c:pt>
                <c:pt idx="39">
                  <c:v>93000</c:v>
                </c:pt>
                <c:pt idx="40">
                  <c:v>187500</c:v>
                </c:pt>
                <c:pt idx="41">
                  <c:v>145500</c:v>
                </c:pt>
                <c:pt idx="42">
                  <c:v>187500</c:v>
                </c:pt>
                <c:pt idx="43">
                  <c:v>187500</c:v>
                </c:pt>
                <c:pt idx="44">
                  <c:v>166500</c:v>
                </c:pt>
                <c:pt idx="45">
                  <c:v>96500</c:v>
                </c:pt>
                <c:pt idx="46">
                  <c:v>86000</c:v>
                </c:pt>
                <c:pt idx="47">
                  <c:v>149000</c:v>
                </c:pt>
                <c:pt idx="48">
                  <c:v>103500</c:v>
                </c:pt>
                <c:pt idx="49">
                  <c:v>89500</c:v>
                </c:pt>
                <c:pt idx="50">
                  <c:v>86000</c:v>
                </c:pt>
                <c:pt idx="51">
                  <c:v>187500</c:v>
                </c:pt>
                <c:pt idx="52">
                  <c:v>173500</c:v>
                </c:pt>
                <c:pt idx="53">
                  <c:v>187500</c:v>
                </c:pt>
                <c:pt idx="54">
                  <c:v>65000</c:v>
                </c:pt>
                <c:pt idx="55">
                  <c:v>187500</c:v>
                </c:pt>
                <c:pt idx="56">
                  <c:v>107000</c:v>
                </c:pt>
                <c:pt idx="57">
                  <c:v>163000</c:v>
                </c:pt>
                <c:pt idx="58">
                  <c:v>187500</c:v>
                </c:pt>
                <c:pt idx="59">
                  <c:v>79000</c:v>
                </c:pt>
                <c:pt idx="60">
                  <c:v>96500</c:v>
                </c:pt>
                <c:pt idx="61">
                  <c:v>187500</c:v>
                </c:pt>
                <c:pt idx="62">
                  <c:v>159500</c:v>
                </c:pt>
                <c:pt idx="63">
                  <c:v>187500</c:v>
                </c:pt>
                <c:pt idx="64">
                  <c:v>187500</c:v>
                </c:pt>
                <c:pt idx="65">
                  <c:v>187500</c:v>
                </c:pt>
                <c:pt idx="66">
                  <c:v>187500</c:v>
                </c:pt>
                <c:pt idx="67">
                  <c:v>103500</c:v>
                </c:pt>
                <c:pt idx="68">
                  <c:v>180500</c:v>
                </c:pt>
                <c:pt idx="69">
                  <c:v>187500</c:v>
                </c:pt>
                <c:pt idx="70">
                  <c:v>177000</c:v>
                </c:pt>
                <c:pt idx="71">
                  <c:v>131500</c:v>
                </c:pt>
                <c:pt idx="72">
                  <c:v>187500</c:v>
                </c:pt>
                <c:pt idx="73">
                  <c:v>54500</c:v>
                </c:pt>
                <c:pt idx="74">
                  <c:v>187500</c:v>
                </c:pt>
                <c:pt idx="75">
                  <c:v>131500</c:v>
                </c:pt>
                <c:pt idx="76">
                  <c:v>145500</c:v>
                </c:pt>
                <c:pt idx="77">
                  <c:v>93000</c:v>
                </c:pt>
                <c:pt idx="78">
                  <c:v>187500</c:v>
                </c:pt>
                <c:pt idx="79">
                  <c:v>187500</c:v>
                </c:pt>
                <c:pt idx="80">
                  <c:v>149000</c:v>
                </c:pt>
                <c:pt idx="81">
                  <c:v>187500</c:v>
                </c:pt>
                <c:pt idx="82">
                  <c:v>103500</c:v>
                </c:pt>
                <c:pt idx="83">
                  <c:v>75500</c:v>
                </c:pt>
                <c:pt idx="84">
                  <c:v>156000</c:v>
                </c:pt>
                <c:pt idx="85">
                  <c:v>187500</c:v>
                </c:pt>
                <c:pt idx="86">
                  <c:v>187500</c:v>
                </c:pt>
                <c:pt idx="87">
                  <c:v>173500</c:v>
                </c:pt>
                <c:pt idx="88">
                  <c:v>187500</c:v>
                </c:pt>
                <c:pt idx="89">
                  <c:v>187500</c:v>
                </c:pt>
                <c:pt idx="90">
                  <c:v>187500</c:v>
                </c:pt>
                <c:pt idx="91">
                  <c:v>121000</c:v>
                </c:pt>
                <c:pt idx="92">
                  <c:v>187500</c:v>
                </c:pt>
                <c:pt idx="93">
                  <c:v>75500</c:v>
                </c:pt>
                <c:pt idx="94">
                  <c:v>89500</c:v>
                </c:pt>
                <c:pt idx="95">
                  <c:v>187500</c:v>
                </c:pt>
                <c:pt idx="96">
                  <c:v>187500</c:v>
                </c:pt>
                <c:pt idx="97">
                  <c:v>187500</c:v>
                </c:pt>
                <c:pt idx="98">
                  <c:v>103500</c:v>
                </c:pt>
                <c:pt idx="99">
                  <c:v>114000</c:v>
                </c:pt>
                <c:pt idx="100">
                  <c:v>138500</c:v>
                </c:pt>
                <c:pt idx="101">
                  <c:v>187500</c:v>
                </c:pt>
                <c:pt idx="102">
                  <c:v>82500</c:v>
                </c:pt>
                <c:pt idx="103">
                  <c:v>187500</c:v>
                </c:pt>
                <c:pt idx="104">
                  <c:v>159500</c:v>
                </c:pt>
                <c:pt idx="105">
                  <c:v>100000</c:v>
                </c:pt>
                <c:pt idx="106">
                  <c:v>145500</c:v>
                </c:pt>
                <c:pt idx="107">
                  <c:v>110500</c:v>
                </c:pt>
                <c:pt idx="108">
                  <c:v>187500</c:v>
                </c:pt>
                <c:pt idx="109">
                  <c:v>187500</c:v>
                </c:pt>
                <c:pt idx="110">
                  <c:v>187500</c:v>
                </c:pt>
                <c:pt idx="111">
                  <c:v>170000</c:v>
                </c:pt>
                <c:pt idx="112">
                  <c:v>177000</c:v>
                </c:pt>
                <c:pt idx="113">
                  <c:v>65000</c:v>
                </c:pt>
                <c:pt idx="114">
                  <c:v>156000</c:v>
                </c:pt>
                <c:pt idx="115">
                  <c:v>96500</c:v>
                </c:pt>
                <c:pt idx="116">
                  <c:v>149000</c:v>
                </c:pt>
                <c:pt idx="117">
                  <c:v>187500</c:v>
                </c:pt>
                <c:pt idx="118">
                  <c:v>54500</c:v>
                </c:pt>
                <c:pt idx="119">
                  <c:v>187500</c:v>
                </c:pt>
                <c:pt idx="120">
                  <c:v>180500</c:v>
                </c:pt>
                <c:pt idx="121">
                  <c:v>187500</c:v>
                </c:pt>
                <c:pt idx="122">
                  <c:v>187500</c:v>
                </c:pt>
                <c:pt idx="123">
                  <c:v>187500</c:v>
                </c:pt>
                <c:pt idx="124">
                  <c:v>177000</c:v>
                </c:pt>
                <c:pt idx="125">
                  <c:v>96500</c:v>
                </c:pt>
                <c:pt idx="126">
                  <c:v>117500</c:v>
                </c:pt>
                <c:pt idx="127">
                  <c:v>79000</c:v>
                </c:pt>
                <c:pt idx="128">
                  <c:v>187500</c:v>
                </c:pt>
                <c:pt idx="129">
                  <c:v>187500</c:v>
                </c:pt>
                <c:pt idx="130">
                  <c:v>187500</c:v>
                </c:pt>
                <c:pt idx="131">
                  <c:v>187500</c:v>
                </c:pt>
                <c:pt idx="132">
                  <c:v>82500</c:v>
                </c:pt>
                <c:pt idx="133">
                  <c:v>187500</c:v>
                </c:pt>
                <c:pt idx="134">
                  <c:v>180500</c:v>
                </c:pt>
                <c:pt idx="135">
                  <c:v>89500</c:v>
                </c:pt>
                <c:pt idx="136">
                  <c:v>187500</c:v>
                </c:pt>
                <c:pt idx="137">
                  <c:v>177000</c:v>
                </c:pt>
                <c:pt idx="138">
                  <c:v>86000</c:v>
                </c:pt>
                <c:pt idx="139">
                  <c:v>187500</c:v>
                </c:pt>
                <c:pt idx="140">
                  <c:v>180500</c:v>
                </c:pt>
                <c:pt idx="141">
                  <c:v>187500</c:v>
                </c:pt>
                <c:pt idx="142">
                  <c:v>187500</c:v>
                </c:pt>
                <c:pt idx="143">
                  <c:v>103500</c:v>
                </c:pt>
                <c:pt idx="144">
                  <c:v>68500</c:v>
                </c:pt>
                <c:pt idx="145">
                  <c:v>107000</c:v>
                </c:pt>
                <c:pt idx="146">
                  <c:v>187500</c:v>
                </c:pt>
                <c:pt idx="147">
                  <c:v>131500</c:v>
                </c:pt>
                <c:pt idx="148">
                  <c:v>187500</c:v>
                </c:pt>
                <c:pt idx="149">
                  <c:v>103500</c:v>
                </c:pt>
                <c:pt idx="150">
                  <c:v>187500</c:v>
                </c:pt>
                <c:pt idx="151">
                  <c:v>121000</c:v>
                </c:pt>
                <c:pt idx="152">
                  <c:v>138500</c:v>
                </c:pt>
                <c:pt idx="153">
                  <c:v>187500</c:v>
                </c:pt>
                <c:pt idx="154">
                  <c:v>163000</c:v>
                </c:pt>
                <c:pt idx="155">
                  <c:v>187500</c:v>
                </c:pt>
                <c:pt idx="156">
                  <c:v>187500</c:v>
                </c:pt>
                <c:pt idx="157">
                  <c:v>187500</c:v>
                </c:pt>
                <c:pt idx="158">
                  <c:v>93000</c:v>
                </c:pt>
                <c:pt idx="159">
                  <c:v>54500</c:v>
                </c:pt>
                <c:pt idx="160">
                  <c:v>187500</c:v>
                </c:pt>
                <c:pt idx="161">
                  <c:v>103500</c:v>
                </c:pt>
                <c:pt idx="162">
                  <c:v>187500</c:v>
                </c:pt>
                <c:pt idx="163">
                  <c:v>75500</c:v>
                </c:pt>
                <c:pt idx="164">
                  <c:v>187500</c:v>
                </c:pt>
                <c:pt idx="165">
                  <c:v>187500</c:v>
                </c:pt>
                <c:pt idx="166">
                  <c:v>163000</c:v>
                </c:pt>
                <c:pt idx="167">
                  <c:v>187500</c:v>
                </c:pt>
                <c:pt idx="168">
                  <c:v>138500</c:v>
                </c:pt>
                <c:pt idx="169">
                  <c:v>152500</c:v>
                </c:pt>
                <c:pt idx="170">
                  <c:v>187500</c:v>
                </c:pt>
                <c:pt idx="171">
                  <c:v>187500</c:v>
                </c:pt>
                <c:pt idx="172">
                  <c:v>103500</c:v>
                </c:pt>
                <c:pt idx="173">
                  <c:v>187500</c:v>
                </c:pt>
                <c:pt idx="174">
                  <c:v>82500</c:v>
                </c:pt>
                <c:pt idx="175">
                  <c:v>187500</c:v>
                </c:pt>
                <c:pt idx="176">
                  <c:v>187500</c:v>
                </c:pt>
                <c:pt idx="177">
                  <c:v>187500</c:v>
                </c:pt>
                <c:pt idx="178">
                  <c:v>187500</c:v>
                </c:pt>
                <c:pt idx="179">
                  <c:v>187500</c:v>
                </c:pt>
                <c:pt idx="180">
                  <c:v>187500</c:v>
                </c:pt>
                <c:pt idx="181">
                  <c:v>79000</c:v>
                </c:pt>
                <c:pt idx="182">
                  <c:v>187500</c:v>
                </c:pt>
                <c:pt idx="183">
                  <c:v>110500</c:v>
                </c:pt>
                <c:pt idx="184">
                  <c:v>187500</c:v>
                </c:pt>
                <c:pt idx="185">
                  <c:v>93000</c:v>
                </c:pt>
                <c:pt idx="186">
                  <c:v>145500</c:v>
                </c:pt>
                <c:pt idx="187">
                  <c:v>68500</c:v>
                </c:pt>
                <c:pt idx="188">
                  <c:v>187500</c:v>
                </c:pt>
                <c:pt idx="189">
                  <c:v>187500</c:v>
                </c:pt>
                <c:pt idx="190">
                  <c:v>187500</c:v>
                </c:pt>
                <c:pt idx="191">
                  <c:v>187500</c:v>
                </c:pt>
                <c:pt idx="192">
                  <c:v>124500</c:v>
                </c:pt>
                <c:pt idx="193">
                  <c:v>187500</c:v>
                </c:pt>
                <c:pt idx="194">
                  <c:v>156000</c:v>
                </c:pt>
                <c:pt idx="195">
                  <c:v>180500</c:v>
                </c:pt>
                <c:pt idx="196">
                  <c:v>93000</c:v>
                </c:pt>
                <c:pt idx="197">
                  <c:v>114000</c:v>
                </c:pt>
                <c:pt idx="198">
                  <c:v>114000</c:v>
                </c:pt>
                <c:pt idx="199">
                  <c:v>187500</c:v>
                </c:pt>
              </c:numCache>
            </c:numRef>
          </c:yVal>
          <c:smooth val="0"/>
          <c:extLst>
            <c:ext xmlns:c16="http://schemas.microsoft.com/office/drawing/2014/chart" uri="{C3380CC4-5D6E-409C-BE32-E72D297353CC}">
              <c16:uniqueId val="{00000000-BBC2-499C-9F7D-B2E15A1B45ED}"/>
            </c:ext>
          </c:extLst>
        </c:ser>
        <c:dLbls>
          <c:showLegendKey val="0"/>
          <c:showVal val="0"/>
          <c:showCatName val="0"/>
          <c:showSerName val="0"/>
          <c:showPercent val="0"/>
          <c:showBubbleSize val="0"/>
        </c:dLbls>
        <c:axId val="2015545616"/>
        <c:axId val="2015546096"/>
      </c:scatterChart>
      <c:valAx>
        <c:axId val="201554561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546096"/>
        <c:crosses val="autoZero"/>
        <c:crossBetween val="midCat"/>
      </c:valAx>
      <c:valAx>
        <c:axId val="20155460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54561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'Basic Simulation'!$V$4</c:f>
              <c:strCache>
                <c:ptCount val="1"/>
                <c:pt idx="0">
                  <c:v>profit (2*income, 1 cost)</c:v>
                </c:pt>
              </c:strCache>
            </c:strRef>
          </c:tx>
          <c:spPr>
            <a:ln w="28575" cap="rnd">
              <a:noFill/>
              <a:round/>
            </a:ln>
            <a:effectLst/>
          </c:spPr>
          <c:marker>
            <c:symbol val="circle"/>
            <c:size val="5"/>
            <c:spPr>
              <a:solidFill>
                <a:schemeClr val="accent1"/>
              </a:solidFill>
              <a:ln w="9525">
                <a:solidFill>
                  <a:schemeClr val="accent1"/>
                </a:solidFill>
              </a:ln>
              <a:effectLst/>
            </c:spPr>
          </c:marker>
          <c:xVal>
            <c:numRef>
              <c:f>'Basic Simulation'!$R$5:$R$204</c:f>
              <c:numCache>
                <c:formatCode>0.00</c:formatCode>
                <c:ptCount val="200"/>
                <c:pt idx="0">
                  <c:v>111</c:v>
                </c:pt>
                <c:pt idx="1">
                  <c:v>151</c:v>
                </c:pt>
                <c:pt idx="2">
                  <c:v>129</c:v>
                </c:pt>
                <c:pt idx="3">
                  <c:v>99</c:v>
                </c:pt>
                <c:pt idx="4">
                  <c:v>130</c:v>
                </c:pt>
                <c:pt idx="5">
                  <c:v>125</c:v>
                </c:pt>
                <c:pt idx="6">
                  <c:v>150</c:v>
                </c:pt>
                <c:pt idx="7">
                  <c:v>144</c:v>
                </c:pt>
                <c:pt idx="8">
                  <c:v>102</c:v>
                </c:pt>
                <c:pt idx="9">
                  <c:v>140</c:v>
                </c:pt>
                <c:pt idx="10">
                  <c:v>124</c:v>
                </c:pt>
                <c:pt idx="11">
                  <c:v>126</c:v>
                </c:pt>
                <c:pt idx="12">
                  <c:v>135</c:v>
                </c:pt>
                <c:pt idx="13">
                  <c:v>116</c:v>
                </c:pt>
                <c:pt idx="14">
                  <c:v>150</c:v>
                </c:pt>
                <c:pt idx="15">
                  <c:v>122</c:v>
                </c:pt>
                <c:pt idx="16">
                  <c:v>107</c:v>
                </c:pt>
                <c:pt idx="17">
                  <c:v>134</c:v>
                </c:pt>
                <c:pt idx="18">
                  <c:v>129</c:v>
                </c:pt>
                <c:pt idx="19">
                  <c:v>137</c:v>
                </c:pt>
                <c:pt idx="20">
                  <c:v>155</c:v>
                </c:pt>
                <c:pt idx="21">
                  <c:v>133</c:v>
                </c:pt>
                <c:pt idx="22">
                  <c:v>100</c:v>
                </c:pt>
                <c:pt idx="23">
                  <c:v>99</c:v>
                </c:pt>
                <c:pt idx="24">
                  <c:v>125</c:v>
                </c:pt>
                <c:pt idx="25">
                  <c:v>125</c:v>
                </c:pt>
                <c:pt idx="26">
                  <c:v>138</c:v>
                </c:pt>
                <c:pt idx="27">
                  <c:v>158</c:v>
                </c:pt>
                <c:pt idx="28">
                  <c:v>154</c:v>
                </c:pt>
                <c:pt idx="29">
                  <c:v>146</c:v>
                </c:pt>
                <c:pt idx="30">
                  <c:v>106</c:v>
                </c:pt>
                <c:pt idx="31">
                  <c:v>99</c:v>
                </c:pt>
                <c:pt idx="32">
                  <c:v>135</c:v>
                </c:pt>
                <c:pt idx="33">
                  <c:v>115</c:v>
                </c:pt>
                <c:pt idx="34">
                  <c:v>103</c:v>
                </c:pt>
                <c:pt idx="35">
                  <c:v>126</c:v>
                </c:pt>
                <c:pt idx="36">
                  <c:v>112</c:v>
                </c:pt>
                <c:pt idx="37">
                  <c:v>128</c:v>
                </c:pt>
                <c:pt idx="38">
                  <c:v>123</c:v>
                </c:pt>
                <c:pt idx="39">
                  <c:v>98</c:v>
                </c:pt>
                <c:pt idx="40">
                  <c:v>142</c:v>
                </c:pt>
                <c:pt idx="41">
                  <c:v>113</c:v>
                </c:pt>
                <c:pt idx="42">
                  <c:v>130</c:v>
                </c:pt>
                <c:pt idx="43">
                  <c:v>133</c:v>
                </c:pt>
                <c:pt idx="44">
                  <c:v>119</c:v>
                </c:pt>
                <c:pt idx="45">
                  <c:v>99</c:v>
                </c:pt>
                <c:pt idx="46">
                  <c:v>96</c:v>
                </c:pt>
                <c:pt idx="47">
                  <c:v>114</c:v>
                </c:pt>
                <c:pt idx="48">
                  <c:v>101</c:v>
                </c:pt>
                <c:pt idx="49">
                  <c:v>97</c:v>
                </c:pt>
                <c:pt idx="50">
                  <c:v>96</c:v>
                </c:pt>
                <c:pt idx="51">
                  <c:v>143</c:v>
                </c:pt>
                <c:pt idx="52">
                  <c:v>121</c:v>
                </c:pt>
                <c:pt idx="53">
                  <c:v>141</c:v>
                </c:pt>
                <c:pt idx="54">
                  <c:v>90</c:v>
                </c:pt>
                <c:pt idx="55">
                  <c:v>167</c:v>
                </c:pt>
                <c:pt idx="56">
                  <c:v>102</c:v>
                </c:pt>
                <c:pt idx="57">
                  <c:v>118</c:v>
                </c:pt>
                <c:pt idx="58">
                  <c:v>133</c:v>
                </c:pt>
                <c:pt idx="59">
                  <c:v>94</c:v>
                </c:pt>
                <c:pt idx="60">
                  <c:v>99</c:v>
                </c:pt>
                <c:pt idx="61">
                  <c:v>129</c:v>
                </c:pt>
                <c:pt idx="62">
                  <c:v>117</c:v>
                </c:pt>
                <c:pt idx="63">
                  <c:v>140</c:v>
                </c:pt>
                <c:pt idx="64">
                  <c:v>134</c:v>
                </c:pt>
                <c:pt idx="65">
                  <c:v>128</c:v>
                </c:pt>
                <c:pt idx="66">
                  <c:v>152</c:v>
                </c:pt>
                <c:pt idx="67">
                  <c:v>101</c:v>
                </c:pt>
                <c:pt idx="68">
                  <c:v>123</c:v>
                </c:pt>
                <c:pt idx="69">
                  <c:v>137</c:v>
                </c:pt>
                <c:pt idx="70">
                  <c:v>122</c:v>
                </c:pt>
                <c:pt idx="71">
                  <c:v>109</c:v>
                </c:pt>
                <c:pt idx="72">
                  <c:v>160</c:v>
                </c:pt>
                <c:pt idx="73">
                  <c:v>87</c:v>
                </c:pt>
                <c:pt idx="74">
                  <c:v>151</c:v>
                </c:pt>
                <c:pt idx="75">
                  <c:v>109</c:v>
                </c:pt>
                <c:pt idx="76">
                  <c:v>113</c:v>
                </c:pt>
                <c:pt idx="77">
                  <c:v>98</c:v>
                </c:pt>
                <c:pt idx="78">
                  <c:v>154</c:v>
                </c:pt>
                <c:pt idx="79">
                  <c:v>135</c:v>
                </c:pt>
                <c:pt idx="80">
                  <c:v>114</c:v>
                </c:pt>
                <c:pt idx="81">
                  <c:v>130</c:v>
                </c:pt>
                <c:pt idx="82">
                  <c:v>101</c:v>
                </c:pt>
                <c:pt idx="83">
                  <c:v>93</c:v>
                </c:pt>
                <c:pt idx="84">
                  <c:v>116</c:v>
                </c:pt>
                <c:pt idx="85">
                  <c:v>147</c:v>
                </c:pt>
                <c:pt idx="86">
                  <c:v>139</c:v>
                </c:pt>
                <c:pt idx="87">
                  <c:v>121</c:v>
                </c:pt>
                <c:pt idx="88">
                  <c:v>138</c:v>
                </c:pt>
                <c:pt idx="89">
                  <c:v>131</c:v>
                </c:pt>
                <c:pt idx="90">
                  <c:v>131</c:v>
                </c:pt>
                <c:pt idx="91">
                  <c:v>106</c:v>
                </c:pt>
                <c:pt idx="92">
                  <c:v>131</c:v>
                </c:pt>
                <c:pt idx="93">
                  <c:v>93</c:v>
                </c:pt>
                <c:pt idx="94">
                  <c:v>97</c:v>
                </c:pt>
                <c:pt idx="95">
                  <c:v>130</c:v>
                </c:pt>
                <c:pt idx="96">
                  <c:v>146</c:v>
                </c:pt>
                <c:pt idx="97">
                  <c:v>148</c:v>
                </c:pt>
                <c:pt idx="98">
                  <c:v>101</c:v>
                </c:pt>
                <c:pt idx="99">
                  <c:v>104</c:v>
                </c:pt>
                <c:pt idx="100">
                  <c:v>111</c:v>
                </c:pt>
                <c:pt idx="101">
                  <c:v>136</c:v>
                </c:pt>
                <c:pt idx="102">
                  <c:v>95</c:v>
                </c:pt>
                <c:pt idx="103">
                  <c:v>129</c:v>
                </c:pt>
                <c:pt idx="104">
                  <c:v>117</c:v>
                </c:pt>
                <c:pt idx="105">
                  <c:v>100</c:v>
                </c:pt>
                <c:pt idx="106">
                  <c:v>113</c:v>
                </c:pt>
                <c:pt idx="107">
                  <c:v>103</c:v>
                </c:pt>
                <c:pt idx="108">
                  <c:v>130</c:v>
                </c:pt>
                <c:pt idx="109">
                  <c:v>171</c:v>
                </c:pt>
                <c:pt idx="110">
                  <c:v>139</c:v>
                </c:pt>
                <c:pt idx="111">
                  <c:v>120</c:v>
                </c:pt>
                <c:pt idx="112">
                  <c:v>122</c:v>
                </c:pt>
                <c:pt idx="113">
                  <c:v>90</c:v>
                </c:pt>
                <c:pt idx="114">
                  <c:v>116</c:v>
                </c:pt>
                <c:pt idx="115">
                  <c:v>99</c:v>
                </c:pt>
                <c:pt idx="116">
                  <c:v>114</c:v>
                </c:pt>
                <c:pt idx="117">
                  <c:v>129</c:v>
                </c:pt>
                <c:pt idx="118">
                  <c:v>87</c:v>
                </c:pt>
                <c:pt idx="119">
                  <c:v>126</c:v>
                </c:pt>
                <c:pt idx="120">
                  <c:v>123</c:v>
                </c:pt>
                <c:pt idx="121">
                  <c:v>131</c:v>
                </c:pt>
                <c:pt idx="122">
                  <c:v>133</c:v>
                </c:pt>
                <c:pt idx="123">
                  <c:v>141</c:v>
                </c:pt>
                <c:pt idx="124">
                  <c:v>122</c:v>
                </c:pt>
                <c:pt idx="125">
                  <c:v>99</c:v>
                </c:pt>
                <c:pt idx="126">
                  <c:v>105</c:v>
                </c:pt>
                <c:pt idx="127">
                  <c:v>94</c:v>
                </c:pt>
                <c:pt idx="128">
                  <c:v>145</c:v>
                </c:pt>
                <c:pt idx="129">
                  <c:v>131</c:v>
                </c:pt>
                <c:pt idx="130">
                  <c:v>140</c:v>
                </c:pt>
                <c:pt idx="131">
                  <c:v>132</c:v>
                </c:pt>
                <c:pt idx="132">
                  <c:v>95</c:v>
                </c:pt>
                <c:pt idx="133">
                  <c:v>135</c:v>
                </c:pt>
                <c:pt idx="134">
                  <c:v>123</c:v>
                </c:pt>
                <c:pt idx="135">
                  <c:v>97</c:v>
                </c:pt>
                <c:pt idx="136">
                  <c:v>157</c:v>
                </c:pt>
                <c:pt idx="137">
                  <c:v>122</c:v>
                </c:pt>
                <c:pt idx="138">
                  <c:v>96</c:v>
                </c:pt>
                <c:pt idx="139">
                  <c:v>145</c:v>
                </c:pt>
                <c:pt idx="140">
                  <c:v>123</c:v>
                </c:pt>
                <c:pt idx="141">
                  <c:v>125</c:v>
                </c:pt>
                <c:pt idx="142">
                  <c:v>137</c:v>
                </c:pt>
                <c:pt idx="143">
                  <c:v>101</c:v>
                </c:pt>
                <c:pt idx="144">
                  <c:v>91</c:v>
                </c:pt>
                <c:pt idx="145">
                  <c:v>102</c:v>
                </c:pt>
                <c:pt idx="146">
                  <c:v>173</c:v>
                </c:pt>
                <c:pt idx="147">
                  <c:v>109</c:v>
                </c:pt>
                <c:pt idx="148">
                  <c:v>140</c:v>
                </c:pt>
                <c:pt idx="149">
                  <c:v>101</c:v>
                </c:pt>
                <c:pt idx="150">
                  <c:v>151</c:v>
                </c:pt>
                <c:pt idx="151">
                  <c:v>106</c:v>
                </c:pt>
                <c:pt idx="152">
                  <c:v>111</c:v>
                </c:pt>
                <c:pt idx="153">
                  <c:v>136</c:v>
                </c:pt>
                <c:pt idx="154">
                  <c:v>118</c:v>
                </c:pt>
                <c:pt idx="155">
                  <c:v>163</c:v>
                </c:pt>
                <c:pt idx="156">
                  <c:v>149</c:v>
                </c:pt>
                <c:pt idx="157">
                  <c:v>151</c:v>
                </c:pt>
                <c:pt idx="158">
                  <c:v>98</c:v>
                </c:pt>
                <c:pt idx="159">
                  <c:v>87</c:v>
                </c:pt>
                <c:pt idx="160">
                  <c:v>129</c:v>
                </c:pt>
                <c:pt idx="161">
                  <c:v>101</c:v>
                </c:pt>
                <c:pt idx="162">
                  <c:v>131</c:v>
                </c:pt>
                <c:pt idx="163">
                  <c:v>93</c:v>
                </c:pt>
                <c:pt idx="164">
                  <c:v>134</c:v>
                </c:pt>
                <c:pt idx="165">
                  <c:v>129</c:v>
                </c:pt>
                <c:pt idx="166">
                  <c:v>118</c:v>
                </c:pt>
                <c:pt idx="167">
                  <c:v>149</c:v>
                </c:pt>
                <c:pt idx="168">
                  <c:v>111</c:v>
                </c:pt>
                <c:pt idx="169">
                  <c:v>115</c:v>
                </c:pt>
                <c:pt idx="170">
                  <c:v>142</c:v>
                </c:pt>
                <c:pt idx="171">
                  <c:v>144</c:v>
                </c:pt>
                <c:pt idx="172">
                  <c:v>101</c:v>
                </c:pt>
                <c:pt idx="173">
                  <c:v>129</c:v>
                </c:pt>
                <c:pt idx="174">
                  <c:v>95</c:v>
                </c:pt>
                <c:pt idx="175">
                  <c:v>146</c:v>
                </c:pt>
                <c:pt idx="176">
                  <c:v>132</c:v>
                </c:pt>
                <c:pt idx="177">
                  <c:v>142</c:v>
                </c:pt>
                <c:pt idx="178">
                  <c:v>128</c:v>
                </c:pt>
                <c:pt idx="179">
                  <c:v>149</c:v>
                </c:pt>
                <c:pt idx="180">
                  <c:v>146</c:v>
                </c:pt>
                <c:pt idx="181">
                  <c:v>94</c:v>
                </c:pt>
                <c:pt idx="182">
                  <c:v>143</c:v>
                </c:pt>
                <c:pt idx="183">
                  <c:v>103</c:v>
                </c:pt>
                <c:pt idx="184">
                  <c:v>126</c:v>
                </c:pt>
                <c:pt idx="185">
                  <c:v>98</c:v>
                </c:pt>
                <c:pt idx="186">
                  <c:v>113</c:v>
                </c:pt>
                <c:pt idx="187">
                  <c:v>91</c:v>
                </c:pt>
                <c:pt idx="188">
                  <c:v>136</c:v>
                </c:pt>
                <c:pt idx="189">
                  <c:v>138</c:v>
                </c:pt>
                <c:pt idx="190">
                  <c:v>141</c:v>
                </c:pt>
                <c:pt idx="191">
                  <c:v>130</c:v>
                </c:pt>
                <c:pt idx="192">
                  <c:v>107</c:v>
                </c:pt>
                <c:pt idx="193">
                  <c:v>162</c:v>
                </c:pt>
                <c:pt idx="194">
                  <c:v>116</c:v>
                </c:pt>
                <c:pt idx="195">
                  <c:v>123</c:v>
                </c:pt>
                <c:pt idx="196">
                  <c:v>98</c:v>
                </c:pt>
                <c:pt idx="197">
                  <c:v>104</c:v>
                </c:pt>
                <c:pt idx="198">
                  <c:v>104</c:v>
                </c:pt>
                <c:pt idx="199">
                  <c:v>133</c:v>
                </c:pt>
              </c:numCache>
            </c:numRef>
          </c:xVal>
          <c:yVal>
            <c:numRef>
              <c:f>'Basic Simulation'!$V$5:$V$204</c:f>
              <c:numCache>
                <c:formatCode>0</c:formatCode>
                <c:ptCount val="200"/>
                <c:pt idx="0">
                  <c:v>138500</c:v>
                </c:pt>
                <c:pt idx="1">
                  <c:v>187500</c:v>
                </c:pt>
                <c:pt idx="2">
                  <c:v>187500</c:v>
                </c:pt>
                <c:pt idx="3">
                  <c:v>96500</c:v>
                </c:pt>
                <c:pt idx="4">
                  <c:v>187500</c:v>
                </c:pt>
                <c:pt idx="5">
                  <c:v>187500</c:v>
                </c:pt>
                <c:pt idx="6">
                  <c:v>187500</c:v>
                </c:pt>
                <c:pt idx="7">
                  <c:v>187500</c:v>
                </c:pt>
                <c:pt idx="8">
                  <c:v>107000</c:v>
                </c:pt>
                <c:pt idx="9">
                  <c:v>187500</c:v>
                </c:pt>
                <c:pt idx="10">
                  <c:v>184000</c:v>
                </c:pt>
                <c:pt idx="11">
                  <c:v>187500</c:v>
                </c:pt>
                <c:pt idx="12">
                  <c:v>187500</c:v>
                </c:pt>
                <c:pt idx="13">
                  <c:v>156000</c:v>
                </c:pt>
                <c:pt idx="14">
                  <c:v>187500</c:v>
                </c:pt>
                <c:pt idx="15">
                  <c:v>177000</c:v>
                </c:pt>
                <c:pt idx="16">
                  <c:v>124500</c:v>
                </c:pt>
                <c:pt idx="17">
                  <c:v>187500</c:v>
                </c:pt>
                <c:pt idx="18">
                  <c:v>187500</c:v>
                </c:pt>
                <c:pt idx="19">
                  <c:v>187500</c:v>
                </c:pt>
                <c:pt idx="20">
                  <c:v>187500</c:v>
                </c:pt>
                <c:pt idx="21">
                  <c:v>187500</c:v>
                </c:pt>
                <c:pt idx="22">
                  <c:v>100000</c:v>
                </c:pt>
                <c:pt idx="23">
                  <c:v>96500</c:v>
                </c:pt>
                <c:pt idx="24">
                  <c:v>187500</c:v>
                </c:pt>
                <c:pt idx="25">
                  <c:v>187500</c:v>
                </c:pt>
                <c:pt idx="26">
                  <c:v>187500</c:v>
                </c:pt>
                <c:pt idx="27">
                  <c:v>187500</c:v>
                </c:pt>
                <c:pt idx="28">
                  <c:v>187500</c:v>
                </c:pt>
                <c:pt idx="29">
                  <c:v>187500</c:v>
                </c:pt>
                <c:pt idx="30">
                  <c:v>121000</c:v>
                </c:pt>
                <c:pt idx="31">
                  <c:v>96500</c:v>
                </c:pt>
                <c:pt idx="32">
                  <c:v>187500</c:v>
                </c:pt>
                <c:pt idx="33">
                  <c:v>152500</c:v>
                </c:pt>
                <c:pt idx="34">
                  <c:v>110500</c:v>
                </c:pt>
                <c:pt idx="35">
                  <c:v>187500</c:v>
                </c:pt>
                <c:pt idx="36">
                  <c:v>142000</c:v>
                </c:pt>
                <c:pt idx="37">
                  <c:v>187500</c:v>
                </c:pt>
                <c:pt idx="38">
                  <c:v>180500</c:v>
                </c:pt>
                <c:pt idx="39">
                  <c:v>93000</c:v>
                </c:pt>
                <c:pt idx="40">
                  <c:v>187500</c:v>
                </c:pt>
                <c:pt idx="41">
                  <c:v>145500</c:v>
                </c:pt>
                <c:pt idx="42">
                  <c:v>187500</c:v>
                </c:pt>
                <c:pt idx="43">
                  <c:v>187500</c:v>
                </c:pt>
                <c:pt idx="44">
                  <c:v>166500</c:v>
                </c:pt>
                <c:pt idx="45">
                  <c:v>96500</c:v>
                </c:pt>
                <c:pt idx="46">
                  <c:v>86000</c:v>
                </c:pt>
                <c:pt idx="47">
                  <c:v>149000</c:v>
                </c:pt>
                <c:pt idx="48">
                  <c:v>103500</c:v>
                </c:pt>
                <c:pt idx="49">
                  <c:v>89500</c:v>
                </c:pt>
                <c:pt idx="50">
                  <c:v>86000</c:v>
                </c:pt>
                <c:pt idx="51">
                  <c:v>187500</c:v>
                </c:pt>
                <c:pt idx="52">
                  <c:v>173500</c:v>
                </c:pt>
                <c:pt idx="53">
                  <c:v>187500</c:v>
                </c:pt>
                <c:pt idx="54">
                  <c:v>65000</c:v>
                </c:pt>
                <c:pt idx="55">
                  <c:v>187500</c:v>
                </c:pt>
                <c:pt idx="56">
                  <c:v>107000</c:v>
                </c:pt>
                <c:pt idx="57">
                  <c:v>163000</c:v>
                </c:pt>
                <c:pt idx="58">
                  <c:v>187500</c:v>
                </c:pt>
                <c:pt idx="59">
                  <c:v>79000</c:v>
                </c:pt>
                <c:pt idx="60">
                  <c:v>96500</c:v>
                </c:pt>
                <c:pt idx="61">
                  <c:v>187500</c:v>
                </c:pt>
                <c:pt idx="62">
                  <c:v>159500</c:v>
                </c:pt>
                <c:pt idx="63">
                  <c:v>187500</c:v>
                </c:pt>
                <c:pt idx="64">
                  <c:v>187500</c:v>
                </c:pt>
                <c:pt idx="65">
                  <c:v>187500</c:v>
                </c:pt>
                <c:pt idx="66">
                  <c:v>187500</c:v>
                </c:pt>
                <c:pt idx="67">
                  <c:v>103500</c:v>
                </c:pt>
                <c:pt idx="68">
                  <c:v>180500</c:v>
                </c:pt>
                <c:pt idx="69">
                  <c:v>187500</c:v>
                </c:pt>
                <c:pt idx="70">
                  <c:v>177000</c:v>
                </c:pt>
                <c:pt idx="71">
                  <c:v>131500</c:v>
                </c:pt>
                <c:pt idx="72">
                  <c:v>187500</c:v>
                </c:pt>
                <c:pt idx="73">
                  <c:v>54500</c:v>
                </c:pt>
                <c:pt idx="74">
                  <c:v>187500</c:v>
                </c:pt>
                <c:pt idx="75">
                  <c:v>131500</c:v>
                </c:pt>
                <c:pt idx="76">
                  <c:v>145500</c:v>
                </c:pt>
                <c:pt idx="77">
                  <c:v>93000</c:v>
                </c:pt>
                <c:pt idx="78">
                  <c:v>187500</c:v>
                </c:pt>
                <c:pt idx="79">
                  <c:v>187500</c:v>
                </c:pt>
                <c:pt idx="80">
                  <c:v>149000</c:v>
                </c:pt>
                <c:pt idx="81">
                  <c:v>187500</c:v>
                </c:pt>
                <c:pt idx="82">
                  <c:v>103500</c:v>
                </c:pt>
                <c:pt idx="83">
                  <c:v>75500</c:v>
                </c:pt>
                <c:pt idx="84">
                  <c:v>156000</c:v>
                </c:pt>
                <c:pt idx="85">
                  <c:v>187500</c:v>
                </c:pt>
                <c:pt idx="86">
                  <c:v>187500</c:v>
                </c:pt>
                <c:pt idx="87">
                  <c:v>173500</c:v>
                </c:pt>
                <c:pt idx="88">
                  <c:v>187500</c:v>
                </c:pt>
                <c:pt idx="89">
                  <c:v>187500</c:v>
                </c:pt>
                <c:pt idx="90">
                  <c:v>187500</c:v>
                </c:pt>
                <c:pt idx="91">
                  <c:v>121000</c:v>
                </c:pt>
                <c:pt idx="92">
                  <c:v>187500</c:v>
                </c:pt>
                <c:pt idx="93">
                  <c:v>75500</c:v>
                </c:pt>
                <c:pt idx="94">
                  <c:v>89500</c:v>
                </c:pt>
                <c:pt idx="95">
                  <c:v>187500</c:v>
                </c:pt>
                <c:pt idx="96">
                  <c:v>187500</c:v>
                </c:pt>
                <c:pt idx="97">
                  <c:v>187500</c:v>
                </c:pt>
                <c:pt idx="98">
                  <c:v>103500</c:v>
                </c:pt>
                <c:pt idx="99">
                  <c:v>114000</c:v>
                </c:pt>
                <c:pt idx="100">
                  <c:v>138500</c:v>
                </c:pt>
                <c:pt idx="101">
                  <c:v>187500</c:v>
                </c:pt>
                <c:pt idx="102">
                  <c:v>82500</c:v>
                </c:pt>
                <c:pt idx="103">
                  <c:v>187500</c:v>
                </c:pt>
                <c:pt idx="104">
                  <c:v>159500</c:v>
                </c:pt>
                <c:pt idx="105">
                  <c:v>100000</c:v>
                </c:pt>
                <c:pt idx="106">
                  <c:v>145500</c:v>
                </c:pt>
                <c:pt idx="107">
                  <c:v>110500</c:v>
                </c:pt>
                <c:pt idx="108">
                  <c:v>187500</c:v>
                </c:pt>
                <c:pt idx="109">
                  <c:v>187500</c:v>
                </c:pt>
                <c:pt idx="110">
                  <c:v>187500</c:v>
                </c:pt>
                <c:pt idx="111">
                  <c:v>170000</c:v>
                </c:pt>
                <c:pt idx="112">
                  <c:v>177000</c:v>
                </c:pt>
                <c:pt idx="113">
                  <c:v>65000</c:v>
                </c:pt>
                <c:pt idx="114">
                  <c:v>156000</c:v>
                </c:pt>
                <c:pt idx="115">
                  <c:v>96500</c:v>
                </c:pt>
                <c:pt idx="116">
                  <c:v>149000</c:v>
                </c:pt>
                <c:pt idx="117">
                  <c:v>187500</c:v>
                </c:pt>
                <c:pt idx="118">
                  <c:v>54500</c:v>
                </c:pt>
                <c:pt idx="119">
                  <c:v>187500</c:v>
                </c:pt>
                <c:pt idx="120">
                  <c:v>180500</c:v>
                </c:pt>
                <c:pt idx="121">
                  <c:v>187500</c:v>
                </c:pt>
                <c:pt idx="122">
                  <c:v>187500</c:v>
                </c:pt>
                <c:pt idx="123">
                  <c:v>187500</c:v>
                </c:pt>
                <c:pt idx="124">
                  <c:v>177000</c:v>
                </c:pt>
                <c:pt idx="125">
                  <c:v>96500</c:v>
                </c:pt>
                <c:pt idx="126">
                  <c:v>117500</c:v>
                </c:pt>
                <c:pt idx="127">
                  <c:v>79000</c:v>
                </c:pt>
                <c:pt idx="128">
                  <c:v>187500</c:v>
                </c:pt>
                <c:pt idx="129">
                  <c:v>187500</c:v>
                </c:pt>
                <c:pt idx="130">
                  <c:v>187500</c:v>
                </c:pt>
                <c:pt idx="131">
                  <c:v>187500</c:v>
                </c:pt>
                <c:pt idx="132">
                  <c:v>82500</c:v>
                </c:pt>
                <c:pt idx="133">
                  <c:v>187500</c:v>
                </c:pt>
                <c:pt idx="134">
                  <c:v>180500</c:v>
                </c:pt>
                <c:pt idx="135">
                  <c:v>89500</c:v>
                </c:pt>
                <c:pt idx="136">
                  <c:v>187500</c:v>
                </c:pt>
                <c:pt idx="137">
                  <c:v>177000</c:v>
                </c:pt>
                <c:pt idx="138">
                  <c:v>86000</c:v>
                </c:pt>
                <c:pt idx="139">
                  <c:v>187500</c:v>
                </c:pt>
                <c:pt idx="140">
                  <c:v>180500</c:v>
                </c:pt>
                <c:pt idx="141">
                  <c:v>187500</c:v>
                </c:pt>
                <c:pt idx="142">
                  <c:v>187500</c:v>
                </c:pt>
                <c:pt idx="143">
                  <c:v>103500</c:v>
                </c:pt>
                <c:pt idx="144">
                  <c:v>68500</c:v>
                </c:pt>
                <c:pt idx="145">
                  <c:v>107000</c:v>
                </c:pt>
                <c:pt idx="146">
                  <c:v>187500</c:v>
                </c:pt>
                <c:pt idx="147">
                  <c:v>131500</c:v>
                </c:pt>
                <c:pt idx="148">
                  <c:v>187500</c:v>
                </c:pt>
                <c:pt idx="149">
                  <c:v>103500</c:v>
                </c:pt>
                <c:pt idx="150">
                  <c:v>187500</c:v>
                </c:pt>
                <c:pt idx="151">
                  <c:v>121000</c:v>
                </c:pt>
                <c:pt idx="152">
                  <c:v>138500</c:v>
                </c:pt>
                <c:pt idx="153">
                  <c:v>187500</c:v>
                </c:pt>
                <c:pt idx="154">
                  <c:v>163000</c:v>
                </c:pt>
                <c:pt idx="155">
                  <c:v>187500</c:v>
                </c:pt>
                <c:pt idx="156">
                  <c:v>187500</c:v>
                </c:pt>
                <c:pt idx="157">
                  <c:v>187500</c:v>
                </c:pt>
                <c:pt idx="158">
                  <c:v>93000</c:v>
                </c:pt>
                <c:pt idx="159">
                  <c:v>54500</c:v>
                </c:pt>
                <c:pt idx="160">
                  <c:v>187500</c:v>
                </c:pt>
                <c:pt idx="161">
                  <c:v>103500</c:v>
                </c:pt>
                <c:pt idx="162">
                  <c:v>187500</c:v>
                </c:pt>
                <c:pt idx="163">
                  <c:v>75500</c:v>
                </c:pt>
                <c:pt idx="164">
                  <c:v>187500</c:v>
                </c:pt>
                <c:pt idx="165">
                  <c:v>187500</c:v>
                </c:pt>
                <c:pt idx="166">
                  <c:v>163000</c:v>
                </c:pt>
                <c:pt idx="167">
                  <c:v>187500</c:v>
                </c:pt>
                <c:pt idx="168">
                  <c:v>138500</c:v>
                </c:pt>
                <c:pt idx="169">
                  <c:v>152500</c:v>
                </c:pt>
                <c:pt idx="170">
                  <c:v>187500</c:v>
                </c:pt>
                <c:pt idx="171">
                  <c:v>187500</c:v>
                </c:pt>
                <c:pt idx="172">
                  <c:v>103500</c:v>
                </c:pt>
                <c:pt idx="173">
                  <c:v>187500</c:v>
                </c:pt>
                <c:pt idx="174">
                  <c:v>82500</c:v>
                </c:pt>
                <c:pt idx="175">
                  <c:v>187500</c:v>
                </c:pt>
                <c:pt idx="176">
                  <c:v>187500</c:v>
                </c:pt>
                <c:pt idx="177">
                  <c:v>187500</c:v>
                </c:pt>
                <c:pt idx="178">
                  <c:v>187500</c:v>
                </c:pt>
                <c:pt idx="179">
                  <c:v>187500</c:v>
                </c:pt>
                <c:pt idx="180">
                  <c:v>187500</c:v>
                </c:pt>
                <c:pt idx="181">
                  <c:v>79000</c:v>
                </c:pt>
                <c:pt idx="182">
                  <c:v>187500</c:v>
                </c:pt>
                <c:pt idx="183">
                  <c:v>110500</c:v>
                </c:pt>
                <c:pt idx="184">
                  <c:v>187500</c:v>
                </c:pt>
                <c:pt idx="185">
                  <c:v>93000</c:v>
                </c:pt>
                <c:pt idx="186">
                  <c:v>145500</c:v>
                </c:pt>
                <c:pt idx="187">
                  <c:v>68500</c:v>
                </c:pt>
                <c:pt idx="188">
                  <c:v>187500</c:v>
                </c:pt>
                <c:pt idx="189">
                  <c:v>187500</c:v>
                </c:pt>
                <c:pt idx="190">
                  <c:v>187500</c:v>
                </c:pt>
                <c:pt idx="191">
                  <c:v>187500</c:v>
                </c:pt>
                <c:pt idx="192">
                  <c:v>124500</c:v>
                </c:pt>
                <c:pt idx="193">
                  <c:v>187500</c:v>
                </c:pt>
                <c:pt idx="194">
                  <c:v>156000</c:v>
                </c:pt>
                <c:pt idx="195">
                  <c:v>180500</c:v>
                </c:pt>
                <c:pt idx="196">
                  <c:v>93000</c:v>
                </c:pt>
                <c:pt idx="197">
                  <c:v>114000</c:v>
                </c:pt>
                <c:pt idx="198">
                  <c:v>114000</c:v>
                </c:pt>
                <c:pt idx="199">
                  <c:v>187500</c:v>
                </c:pt>
              </c:numCache>
            </c:numRef>
          </c:yVal>
          <c:smooth val="0"/>
          <c:extLst>
            <c:ext xmlns:c16="http://schemas.microsoft.com/office/drawing/2014/chart" uri="{C3380CC4-5D6E-409C-BE32-E72D297353CC}">
              <c16:uniqueId val="{00000000-285F-4A13-8822-AFD18CA6629B}"/>
            </c:ext>
          </c:extLst>
        </c:ser>
        <c:dLbls>
          <c:showLegendKey val="0"/>
          <c:showVal val="0"/>
          <c:showCatName val="0"/>
          <c:showSerName val="0"/>
          <c:showPercent val="0"/>
          <c:showBubbleSize val="0"/>
        </c:dLbls>
        <c:axId val="2015545616"/>
        <c:axId val="2015546096"/>
      </c:scatterChart>
      <c:valAx>
        <c:axId val="201554561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546096"/>
        <c:crosses val="autoZero"/>
        <c:crossBetween val="midCat"/>
      </c:valAx>
      <c:valAx>
        <c:axId val="20155460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54561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a:t>Lower and</a:t>
            </a:r>
            <a:r>
              <a:rPr lang="pl-PL" baseline="0"/>
              <a:t> upper bound for order quantity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'Basic Simulation'!$AA$115</c:f>
              <c:strCache>
                <c:ptCount val="1"/>
                <c:pt idx="0">
                  <c:v>Lower bound</c:v>
                </c:pt>
              </c:strCache>
            </c:strRef>
          </c:tx>
          <c:spPr>
            <a:solidFill>
              <a:schemeClr val="accent1"/>
            </a:solidFill>
            <a:ln>
              <a:noFill/>
            </a:ln>
            <a:effectLst/>
          </c:spPr>
          <c:invertIfNegative val="0"/>
          <c:cat>
            <c:numRef>
              <c:f>'Basic Simulation'!$AB$111:$AK$111</c:f>
              <c:numCache>
                <c:formatCode>General</c:formatCode>
                <c:ptCount val="10"/>
                <c:pt idx="0">
                  <c:v>80</c:v>
                </c:pt>
                <c:pt idx="1">
                  <c:v>90</c:v>
                </c:pt>
                <c:pt idx="2">
                  <c:v>100</c:v>
                </c:pt>
                <c:pt idx="3">
                  <c:v>110</c:v>
                </c:pt>
                <c:pt idx="4">
                  <c:v>120</c:v>
                </c:pt>
                <c:pt idx="5">
                  <c:v>130</c:v>
                </c:pt>
                <c:pt idx="6">
                  <c:v>140</c:v>
                </c:pt>
                <c:pt idx="7">
                  <c:v>150</c:v>
                </c:pt>
                <c:pt idx="8">
                  <c:v>160</c:v>
                </c:pt>
                <c:pt idx="9">
                  <c:v>170</c:v>
                </c:pt>
              </c:numCache>
            </c:numRef>
          </c:cat>
          <c:val>
            <c:numRef>
              <c:f>'Basic Simulation'!$AB$115:$AK$115</c:f>
              <c:numCache>
                <c:formatCode>General</c:formatCode>
                <c:ptCount val="10"/>
                <c:pt idx="0">
                  <c:v>120000</c:v>
                </c:pt>
                <c:pt idx="1">
                  <c:v>134770.92270354694</c:v>
                </c:pt>
                <c:pt idx="2">
                  <c:v>145931.81485192542</c:v>
                </c:pt>
                <c:pt idx="3">
                  <c:v>150484.69322333983</c:v>
                </c:pt>
                <c:pt idx="4">
                  <c:v>149102.11537709303</c:v>
                </c:pt>
                <c:pt idx="5">
                  <c:v>143124.757540897</c:v>
                </c:pt>
                <c:pt idx="6">
                  <c:v>134226.17696854644</c:v>
                </c:pt>
                <c:pt idx="7">
                  <c:v>117818.75780144379</c:v>
                </c:pt>
                <c:pt idx="8">
                  <c:v>100253.96146249575</c:v>
                </c:pt>
                <c:pt idx="9">
                  <c:v>79916.508603361784</c:v>
                </c:pt>
              </c:numCache>
            </c:numRef>
          </c:val>
          <c:extLst>
            <c:ext xmlns:c16="http://schemas.microsoft.com/office/drawing/2014/chart" uri="{C3380CC4-5D6E-409C-BE32-E72D297353CC}">
              <c16:uniqueId val="{00000000-7DF6-476C-AA70-BC8D6F4A2287}"/>
            </c:ext>
          </c:extLst>
        </c:ser>
        <c:ser>
          <c:idx val="1"/>
          <c:order val="1"/>
          <c:tx>
            <c:strRef>
              <c:f>'Basic Simulation'!$AA$116</c:f>
              <c:strCache>
                <c:ptCount val="1"/>
                <c:pt idx="0">
                  <c:v>Upper bound</c:v>
                </c:pt>
              </c:strCache>
            </c:strRef>
          </c:tx>
          <c:spPr>
            <a:solidFill>
              <a:schemeClr val="accent2"/>
            </a:solidFill>
            <a:ln>
              <a:noFill/>
            </a:ln>
            <a:effectLst/>
          </c:spPr>
          <c:invertIfNegative val="0"/>
          <c:cat>
            <c:numRef>
              <c:f>'Basic Simulation'!$AB$111:$AK$111</c:f>
              <c:numCache>
                <c:formatCode>General</c:formatCode>
                <c:ptCount val="10"/>
                <c:pt idx="0">
                  <c:v>80</c:v>
                </c:pt>
                <c:pt idx="1">
                  <c:v>90</c:v>
                </c:pt>
                <c:pt idx="2">
                  <c:v>100</c:v>
                </c:pt>
                <c:pt idx="3">
                  <c:v>110</c:v>
                </c:pt>
                <c:pt idx="4">
                  <c:v>120</c:v>
                </c:pt>
                <c:pt idx="5">
                  <c:v>130</c:v>
                </c:pt>
                <c:pt idx="6">
                  <c:v>140</c:v>
                </c:pt>
                <c:pt idx="7">
                  <c:v>150</c:v>
                </c:pt>
                <c:pt idx="8">
                  <c:v>160</c:v>
                </c:pt>
                <c:pt idx="9">
                  <c:v>170</c:v>
                </c:pt>
              </c:numCache>
            </c:numRef>
          </c:cat>
          <c:val>
            <c:numRef>
              <c:f>'Basic Simulation'!$AB$116:$AK$116</c:f>
              <c:numCache>
                <c:formatCode>General</c:formatCode>
                <c:ptCount val="10"/>
                <c:pt idx="0">
                  <c:v>120000</c:v>
                </c:pt>
                <c:pt idx="1">
                  <c:v>134936.47729645309</c:v>
                </c:pt>
                <c:pt idx="2">
                  <c:v>147264.18514807458</c:v>
                </c:pt>
                <c:pt idx="3">
                  <c:v>153244.65677666015</c:v>
                </c:pt>
                <c:pt idx="4">
                  <c:v>153658.88462290697</c:v>
                </c:pt>
                <c:pt idx="5">
                  <c:v>150282.94245910301</c:v>
                </c:pt>
                <c:pt idx="6">
                  <c:v>142822.27303145357</c:v>
                </c:pt>
                <c:pt idx="7">
                  <c:v>127047.2921985562</c:v>
                </c:pt>
                <c:pt idx="8">
                  <c:v>110123.18853750425</c:v>
                </c:pt>
                <c:pt idx="9">
                  <c:v>90283.541396638204</c:v>
                </c:pt>
              </c:numCache>
            </c:numRef>
          </c:val>
          <c:extLst>
            <c:ext xmlns:c16="http://schemas.microsoft.com/office/drawing/2014/chart" uri="{C3380CC4-5D6E-409C-BE32-E72D297353CC}">
              <c16:uniqueId val="{00000001-7DF6-476C-AA70-BC8D6F4A2287}"/>
            </c:ext>
          </c:extLst>
        </c:ser>
        <c:dLbls>
          <c:showLegendKey val="0"/>
          <c:showVal val="0"/>
          <c:showCatName val="0"/>
          <c:showSerName val="0"/>
          <c:showPercent val="0"/>
          <c:showBubbleSize val="0"/>
        </c:dLbls>
        <c:gapWidth val="219"/>
        <c:overlap val="-27"/>
        <c:axId val="212666896"/>
        <c:axId val="212669296"/>
      </c:barChart>
      <c:catAx>
        <c:axId val="212666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669296"/>
        <c:crosses val="autoZero"/>
        <c:auto val="1"/>
        <c:lblAlgn val="ctr"/>
        <c:lblOffset val="100"/>
        <c:noMultiLvlLbl val="0"/>
      </c:catAx>
      <c:valAx>
        <c:axId val="212669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6668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a:t>Lower</a:t>
            </a:r>
            <a:r>
              <a:rPr lang="pl-PL" baseline="0"/>
              <a:t> and upper bound for order quantity</a:t>
            </a:r>
          </a:p>
        </c:rich>
      </c:tx>
      <c:layout>
        <c:manualLayout>
          <c:xMode val="edge"/>
          <c:yMode val="edge"/>
          <c:x val="0.2621831016370102"/>
          <c:y val="1.99362041467304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'Mod. Simul.'!$AB$115</c:f>
              <c:strCache>
                <c:ptCount val="1"/>
                <c:pt idx="0">
                  <c:v>Lower bound</c:v>
                </c:pt>
              </c:strCache>
            </c:strRef>
          </c:tx>
          <c:spPr>
            <a:solidFill>
              <a:schemeClr val="accent1"/>
            </a:solidFill>
            <a:ln>
              <a:noFill/>
            </a:ln>
            <a:effectLst/>
          </c:spPr>
          <c:invertIfNegative val="0"/>
          <c:cat>
            <c:numRef>
              <c:f>'Mod. Simul.'!$AC$111:$AL$111</c:f>
              <c:numCache>
                <c:formatCode>General</c:formatCode>
                <c:ptCount val="10"/>
                <c:pt idx="0">
                  <c:v>80</c:v>
                </c:pt>
                <c:pt idx="1">
                  <c:v>90</c:v>
                </c:pt>
                <c:pt idx="2">
                  <c:v>100</c:v>
                </c:pt>
                <c:pt idx="3">
                  <c:v>110</c:v>
                </c:pt>
                <c:pt idx="4">
                  <c:v>120</c:v>
                </c:pt>
                <c:pt idx="5">
                  <c:v>130</c:v>
                </c:pt>
                <c:pt idx="6">
                  <c:v>140</c:v>
                </c:pt>
                <c:pt idx="7">
                  <c:v>150</c:v>
                </c:pt>
                <c:pt idx="8">
                  <c:v>160</c:v>
                </c:pt>
                <c:pt idx="9">
                  <c:v>170</c:v>
                </c:pt>
              </c:numCache>
            </c:numRef>
          </c:cat>
          <c:val>
            <c:numRef>
              <c:f>'Mod. Simul.'!$AC$115:$AL$115</c:f>
              <c:numCache>
                <c:formatCode>General</c:formatCode>
                <c:ptCount val="10"/>
                <c:pt idx="0">
                  <c:v>55684.490038319447</c:v>
                </c:pt>
                <c:pt idx="1">
                  <c:v>84811.065120841391</c:v>
                </c:pt>
                <c:pt idx="2">
                  <c:v>111219.62933716277</c:v>
                </c:pt>
                <c:pt idx="3">
                  <c:v>127223.53663127868</c:v>
                </c:pt>
                <c:pt idx="4">
                  <c:v>135012.98433134289</c:v>
                </c:pt>
                <c:pt idx="5">
                  <c:v>134700.17833878845</c:v>
                </c:pt>
                <c:pt idx="6">
                  <c:v>130037.86637072614</c:v>
                </c:pt>
                <c:pt idx="7">
                  <c:v>117398.73955022127</c:v>
                </c:pt>
                <c:pt idx="8">
                  <c:v>99937.722347633884</c:v>
                </c:pt>
                <c:pt idx="9">
                  <c:v>80464.411804903881</c:v>
                </c:pt>
              </c:numCache>
            </c:numRef>
          </c:val>
          <c:extLst>
            <c:ext xmlns:c16="http://schemas.microsoft.com/office/drawing/2014/chart" uri="{C3380CC4-5D6E-409C-BE32-E72D297353CC}">
              <c16:uniqueId val="{00000000-502D-4BE2-8DA8-46B1B792E4AB}"/>
            </c:ext>
          </c:extLst>
        </c:ser>
        <c:ser>
          <c:idx val="1"/>
          <c:order val="1"/>
          <c:tx>
            <c:strRef>
              <c:f>'Mod. Simul.'!$AB$116</c:f>
              <c:strCache>
                <c:ptCount val="1"/>
                <c:pt idx="0">
                  <c:v>Upper bound</c:v>
                </c:pt>
              </c:strCache>
            </c:strRef>
          </c:tx>
          <c:spPr>
            <a:solidFill>
              <a:schemeClr val="accent2"/>
            </a:solidFill>
            <a:ln>
              <a:noFill/>
            </a:ln>
            <a:effectLst/>
          </c:spPr>
          <c:invertIfNegative val="0"/>
          <c:cat>
            <c:numRef>
              <c:f>'Mod. Simul.'!$AC$111:$AL$111</c:f>
              <c:numCache>
                <c:formatCode>General</c:formatCode>
                <c:ptCount val="10"/>
                <c:pt idx="0">
                  <c:v>80</c:v>
                </c:pt>
                <c:pt idx="1">
                  <c:v>90</c:v>
                </c:pt>
                <c:pt idx="2">
                  <c:v>100</c:v>
                </c:pt>
                <c:pt idx="3">
                  <c:v>110</c:v>
                </c:pt>
                <c:pt idx="4">
                  <c:v>120</c:v>
                </c:pt>
                <c:pt idx="5">
                  <c:v>130</c:v>
                </c:pt>
                <c:pt idx="6">
                  <c:v>140</c:v>
                </c:pt>
                <c:pt idx="7">
                  <c:v>150</c:v>
                </c:pt>
                <c:pt idx="8">
                  <c:v>160</c:v>
                </c:pt>
                <c:pt idx="9">
                  <c:v>170</c:v>
                </c:pt>
              </c:numCache>
            </c:numRef>
          </c:cat>
          <c:val>
            <c:numRef>
              <c:f>'Mod. Simul.'!$AC$116:$AL$116</c:f>
              <c:numCache>
                <c:formatCode>General</c:formatCode>
                <c:ptCount val="10"/>
                <c:pt idx="0">
                  <c:v>59764.95996168055</c:v>
                </c:pt>
                <c:pt idx="1">
                  <c:v>89871.784879158615</c:v>
                </c:pt>
                <c:pt idx="2">
                  <c:v>114915.57066283724</c:v>
                </c:pt>
                <c:pt idx="3">
                  <c:v>130025.06336872133</c:v>
                </c:pt>
                <c:pt idx="4">
                  <c:v>138919.01566865711</c:v>
                </c:pt>
                <c:pt idx="5">
                  <c:v>140955.27166121156</c:v>
                </c:pt>
                <c:pt idx="6">
                  <c:v>137031.68362927384</c:v>
                </c:pt>
                <c:pt idx="7">
                  <c:v>127436.36044977873</c:v>
                </c:pt>
                <c:pt idx="8">
                  <c:v>110286.12765236612</c:v>
                </c:pt>
                <c:pt idx="9">
                  <c:v>89841.388195096108</c:v>
                </c:pt>
              </c:numCache>
            </c:numRef>
          </c:val>
          <c:extLst>
            <c:ext xmlns:c16="http://schemas.microsoft.com/office/drawing/2014/chart" uri="{C3380CC4-5D6E-409C-BE32-E72D297353CC}">
              <c16:uniqueId val="{00000001-502D-4BE2-8DA8-46B1B792E4AB}"/>
            </c:ext>
          </c:extLst>
        </c:ser>
        <c:dLbls>
          <c:showLegendKey val="0"/>
          <c:showVal val="0"/>
          <c:showCatName val="0"/>
          <c:showSerName val="0"/>
          <c:showPercent val="0"/>
          <c:showBubbleSize val="0"/>
        </c:dLbls>
        <c:gapWidth val="219"/>
        <c:overlap val="-27"/>
        <c:axId val="1731843888"/>
        <c:axId val="1731843408"/>
      </c:barChart>
      <c:catAx>
        <c:axId val="1731843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843408"/>
        <c:crosses val="autoZero"/>
        <c:auto val="1"/>
        <c:lblAlgn val="ctr"/>
        <c:lblOffset val="100"/>
        <c:noMultiLvlLbl val="0"/>
      </c:catAx>
      <c:valAx>
        <c:axId val="1731843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843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a:t>Std</a:t>
            </a:r>
            <a:r>
              <a:rPr lang="pl-PL" baseline="0"/>
              <a:t> Deviation and confidence interval behaviour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'Basic Simulation'!$AA$113</c:f>
              <c:strCache>
                <c:ptCount val="1"/>
                <c:pt idx="0">
                  <c:v>Std dev.</c:v>
                </c:pt>
              </c:strCache>
            </c:strRef>
          </c:tx>
          <c:spPr>
            <a:ln w="28575" cap="rnd">
              <a:solidFill>
                <a:schemeClr val="accent1"/>
              </a:solidFill>
              <a:round/>
            </a:ln>
            <a:effectLst/>
          </c:spPr>
          <c:marker>
            <c:symbol val="none"/>
          </c:marker>
          <c:cat>
            <c:numRef>
              <c:f>'Basic Simulation'!$AB$111:$AK$111</c:f>
              <c:numCache>
                <c:formatCode>General</c:formatCode>
                <c:ptCount val="10"/>
                <c:pt idx="0">
                  <c:v>80</c:v>
                </c:pt>
                <c:pt idx="1">
                  <c:v>90</c:v>
                </c:pt>
                <c:pt idx="2">
                  <c:v>100</c:v>
                </c:pt>
                <c:pt idx="3">
                  <c:v>110</c:v>
                </c:pt>
                <c:pt idx="4">
                  <c:v>120</c:v>
                </c:pt>
                <c:pt idx="5">
                  <c:v>130</c:v>
                </c:pt>
                <c:pt idx="6">
                  <c:v>140</c:v>
                </c:pt>
                <c:pt idx="7">
                  <c:v>150</c:v>
                </c:pt>
                <c:pt idx="8">
                  <c:v>160</c:v>
                </c:pt>
                <c:pt idx="9">
                  <c:v>170</c:v>
                </c:pt>
              </c:numCache>
            </c:numRef>
          </c:cat>
          <c:val>
            <c:numRef>
              <c:f>'Basic Simulation'!$AB$113:$AK$113</c:f>
              <c:numCache>
                <c:formatCode>General</c:formatCode>
                <c:ptCount val="10"/>
                <c:pt idx="0">
                  <c:v>0</c:v>
                </c:pt>
                <c:pt idx="1">
                  <c:v>82.77729645307825</c:v>
                </c:pt>
                <c:pt idx="2">
                  <c:v>666.18514807458109</c:v>
                </c:pt>
                <c:pt idx="3">
                  <c:v>1379.9817766601636</c:v>
                </c:pt>
                <c:pt idx="4">
                  <c:v>2278.3846229069818</c:v>
                </c:pt>
                <c:pt idx="5">
                  <c:v>3579.0924591030157</c:v>
                </c:pt>
                <c:pt idx="6">
                  <c:v>4298.0480314535598</c:v>
                </c:pt>
                <c:pt idx="7">
                  <c:v>4614.2671985562029</c:v>
                </c:pt>
                <c:pt idx="8">
                  <c:v>4934.6135375042504</c:v>
                </c:pt>
                <c:pt idx="9">
                  <c:v>5183.5163966382106</c:v>
                </c:pt>
              </c:numCache>
            </c:numRef>
          </c:val>
          <c:smooth val="0"/>
          <c:extLst>
            <c:ext xmlns:c16="http://schemas.microsoft.com/office/drawing/2014/chart" uri="{C3380CC4-5D6E-409C-BE32-E72D297353CC}">
              <c16:uniqueId val="{00000000-77F6-4AD5-870C-DD21ABFE56C7}"/>
            </c:ext>
          </c:extLst>
        </c:ser>
        <c:ser>
          <c:idx val="1"/>
          <c:order val="1"/>
          <c:tx>
            <c:strRef>
              <c:f>'Basic Simulation'!$AA$114</c:f>
              <c:strCache>
                <c:ptCount val="1"/>
                <c:pt idx="0">
                  <c:v>Conf. interval</c:v>
                </c:pt>
              </c:strCache>
            </c:strRef>
          </c:tx>
          <c:spPr>
            <a:ln w="28575" cap="rnd">
              <a:solidFill>
                <a:schemeClr val="accent2"/>
              </a:solidFill>
              <a:round/>
            </a:ln>
            <a:effectLst/>
          </c:spPr>
          <c:marker>
            <c:symbol val="none"/>
          </c:marker>
          <c:cat>
            <c:numRef>
              <c:f>'Basic Simulation'!$AB$111:$AK$111</c:f>
              <c:numCache>
                <c:formatCode>General</c:formatCode>
                <c:ptCount val="10"/>
                <c:pt idx="0">
                  <c:v>80</c:v>
                </c:pt>
                <c:pt idx="1">
                  <c:v>90</c:v>
                </c:pt>
                <c:pt idx="2">
                  <c:v>100</c:v>
                </c:pt>
                <c:pt idx="3">
                  <c:v>110</c:v>
                </c:pt>
                <c:pt idx="4">
                  <c:v>120</c:v>
                </c:pt>
                <c:pt idx="5">
                  <c:v>130</c:v>
                </c:pt>
                <c:pt idx="6">
                  <c:v>140</c:v>
                </c:pt>
                <c:pt idx="7">
                  <c:v>150</c:v>
                </c:pt>
                <c:pt idx="8">
                  <c:v>160</c:v>
                </c:pt>
                <c:pt idx="9">
                  <c:v>170</c:v>
                </c:pt>
              </c:numCache>
            </c:numRef>
          </c:cat>
          <c:val>
            <c:numRef>
              <c:f>'Basic Simulation'!$AB$114:$AK$114</c:f>
              <c:numCache>
                <c:formatCode>General</c:formatCode>
                <c:ptCount val="10"/>
                <c:pt idx="0">
                  <c:v>0</c:v>
                </c:pt>
                <c:pt idx="1">
                  <c:v>16.424811482869202</c:v>
                </c:pt>
                <c:pt idx="2">
                  <c:v>132.18558637046908</c:v>
                </c:pt>
                <c:pt idx="3">
                  <c:v>273.8183234129437</c:v>
                </c:pt>
                <c:pt idx="4">
                  <c:v>452.08093910058585</c:v>
                </c:pt>
                <c:pt idx="5">
                  <c:v>710.16959286473173</c:v>
                </c:pt>
                <c:pt idx="6">
                  <c:v>852.8259762742781</c:v>
                </c:pt>
                <c:pt idx="7">
                  <c:v>915.57071945243831</c:v>
                </c:pt>
                <c:pt idx="8">
                  <c:v>979.13438306437467</c:v>
                </c:pt>
                <c:pt idx="9">
                  <c:v>1028.5221103035676</c:v>
                </c:pt>
              </c:numCache>
            </c:numRef>
          </c:val>
          <c:smooth val="0"/>
          <c:extLst>
            <c:ext xmlns:c16="http://schemas.microsoft.com/office/drawing/2014/chart" uri="{C3380CC4-5D6E-409C-BE32-E72D297353CC}">
              <c16:uniqueId val="{00000001-77F6-4AD5-870C-DD21ABFE56C7}"/>
            </c:ext>
          </c:extLst>
        </c:ser>
        <c:dLbls>
          <c:showLegendKey val="0"/>
          <c:showVal val="0"/>
          <c:showCatName val="0"/>
          <c:showSerName val="0"/>
          <c:showPercent val="0"/>
          <c:showBubbleSize val="0"/>
        </c:dLbls>
        <c:smooth val="0"/>
        <c:axId val="191666576"/>
        <c:axId val="191668496"/>
      </c:lineChart>
      <c:catAx>
        <c:axId val="191666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68496"/>
        <c:crosses val="autoZero"/>
        <c:auto val="1"/>
        <c:lblAlgn val="ctr"/>
        <c:lblOffset val="100"/>
        <c:noMultiLvlLbl val="0"/>
      </c:catAx>
      <c:valAx>
        <c:axId val="191668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6665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pl-PL" sz="1400" b="0" i="0" u="none" strike="noStrike" kern="1200" spc="0" baseline="0">
                <a:solidFill>
                  <a:sysClr val="windowText" lastClr="000000">
                    <a:lumMod val="65000"/>
                    <a:lumOff val="35000"/>
                  </a:sysClr>
                </a:solidFill>
              </a:rPr>
              <a:t>Std Deviation and confidence interval behaviour</a:t>
            </a:r>
            <a:endParaRPr lang="en-US"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lineChart>
        <c:grouping val="standard"/>
        <c:varyColors val="0"/>
        <c:ser>
          <c:idx val="0"/>
          <c:order val="0"/>
          <c:tx>
            <c:strRef>
              <c:f>'Mod. Simul.'!$AB$113</c:f>
              <c:strCache>
                <c:ptCount val="1"/>
                <c:pt idx="0">
                  <c:v>Std dev.</c:v>
                </c:pt>
              </c:strCache>
            </c:strRef>
          </c:tx>
          <c:spPr>
            <a:ln w="28575" cap="rnd">
              <a:solidFill>
                <a:schemeClr val="accent1"/>
              </a:solidFill>
              <a:round/>
            </a:ln>
            <a:effectLst/>
          </c:spPr>
          <c:marker>
            <c:symbol val="none"/>
          </c:marker>
          <c:cat>
            <c:numRef>
              <c:f>'Mod. Simul.'!$AC$111:$AL$111</c:f>
              <c:numCache>
                <c:formatCode>General</c:formatCode>
                <c:ptCount val="10"/>
                <c:pt idx="0">
                  <c:v>80</c:v>
                </c:pt>
                <c:pt idx="1">
                  <c:v>90</c:v>
                </c:pt>
                <c:pt idx="2">
                  <c:v>100</c:v>
                </c:pt>
                <c:pt idx="3">
                  <c:v>110</c:v>
                </c:pt>
                <c:pt idx="4">
                  <c:v>120</c:v>
                </c:pt>
                <c:pt idx="5">
                  <c:v>130</c:v>
                </c:pt>
                <c:pt idx="6">
                  <c:v>140</c:v>
                </c:pt>
                <c:pt idx="7">
                  <c:v>150</c:v>
                </c:pt>
                <c:pt idx="8">
                  <c:v>160</c:v>
                </c:pt>
                <c:pt idx="9">
                  <c:v>170</c:v>
                </c:pt>
              </c:numCache>
            </c:numRef>
          </c:cat>
          <c:val>
            <c:numRef>
              <c:f>'Mod. Simul.'!$AC$113:$AL$113</c:f>
              <c:numCache>
                <c:formatCode>General</c:formatCode>
                <c:ptCount val="10"/>
                <c:pt idx="0">
                  <c:v>2040.2349616805509</c:v>
                </c:pt>
                <c:pt idx="1">
                  <c:v>2530.3598791586051</c:v>
                </c:pt>
                <c:pt idx="2">
                  <c:v>1847.9706628372296</c:v>
                </c:pt>
                <c:pt idx="3">
                  <c:v>1400.7633687213254</c:v>
                </c:pt>
                <c:pt idx="4">
                  <c:v>1953.0156686571161</c:v>
                </c:pt>
                <c:pt idx="5">
                  <c:v>3127.5466612115561</c:v>
                </c:pt>
                <c:pt idx="6">
                  <c:v>3496.9086292738475</c:v>
                </c:pt>
                <c:pt idx="7">
                  <c:v>5018.8104497787235</c:v>
                </c:pt>
                <c:pt idx="8">
                  <c:v>5174.202652366117</c:v>
                </c:pt>
                <c:pt idx="9">
                  <c:v>4688.488195096108</c:v>
                </c:pt>
              </c:numCache>
            </c:numRef>
          </c:val>
          <c:smooth val="0"/>
          <c:extLst>
            <c:ext xmlns:c16="http://schemas.microsoft.com/office/drawing/2014/chart" uri="{C3380CC4-5D6E-409C-BE32-E72D297353CC}">
              <c16:uniqueId val="{00000000-53F5-47AE-B15F-8F70AA8F7856}"/>
            </c:ext>
          </c:extLst>
        </c:ser>
        <c:ser>
          <c:idx val="1"/>
          <c:order val="1"/>
          <c:tx>
            <c:strRef>
              <c:f>'Mod. Simul.'!$AB$114</c:f>
              <c:strCache>
                <c:ptCount val="1"/>
                <c:pt idx="0">
                  <c:v>Conf. interval</c:v>
                </c:pt>
              </c:strCache>
            </c:strRef>
          </c:tx>
          <c:spPr>
            <a:ln w="28575" cap="rnd">
              <a:solidFill>
                <a:schemeClr val="accent2"/>
              </a:solidFill>
              <a:round/>
            </a:ln>
            <a:effectLst/>
          </c:spPr>
          <c:marker>
            <c:symbol val="none"/>
          </c:marker>
          <c:cat>
            <c:numRef>
              <c:f>'Mod. Simul.'!$AC$111:$AL$111</c:f>
              <c:numCache>
                <c:formatCode>General</c:formatCode>
                <c:ptCount val="10"/>
                <c:pt idx="0">
                  <c:v>80</c:v>
                </c:pt>
                <c:pt idx="1">
                  <c:v>90</c:v>
                </c:pt>
                <c:pt idx="2">
                  <c:v>100</c:v>
                </c:pt>
                <c:pt idx="3">
                  <c:v>110</c:v>
                </c:pt>
                <c:pt idx="4">
                  <c:v>120</c:v>
                </c:pt>
                <c:pt idx="5">
                  <c:v>130</c:v>
                </c:pt>
                <c:pt idx="6">
                  <c:v>140</c:v>
                </c:pt>
                <c:pt idx="7">
                  <c:v>150</c:v>
                </c:pt>
                <c:pt idx="8">
                  <c:v>160</c:v>
                </c:pt>
                <c:pt idx="9">
                  <c:v>170</c:v>
                </c:pt>
              </c:numCache>
            </c:numRef>
          </c:cat>
          <c:val>
            <c:numRef>
              <c:f>'Mod. Simul.'!$AC$114:$AL$114</c:f>
              <c:numCache>
                <c:formatCode>General</c:formatCode>
                <c:ptCount val="10"/>
                <c:pt idx="0">
                  <c:v>404.82687961858119</c:v>
                </c:pt>
                <c:pt idx="1">
                  <c:v>502.07829658406609</c:v>
                </c:pt>
                <c:pt idx="2">
                  <c:v>366.6774715236017</c:v>
                </c:pt>
                <c:pt idx="3">
                  <c:v>277.94184213781477</c:v>
                </c:pt>
                <c:pt idx="4">
                  <c:v>387.52067964633295</c:v>
                </c:pt>
                <c:pt idx="5">
                  <c:v>620.57311020534689</c:v>
                </c:pt>
                <c:pt idx="6">
                  <c:v>693.86253803539876</c:v>
                </c:pt>
                <c:pt idx="7">
                  <c:v>995.84087712499911</c:v>
                </c:pt>
                <c:pt idx="8">
                  <c:v>1026.6740613768247</c:v>
                </c:pt>
                <c:pt idx="9">
                  <c:v>930.29777540224995</c:v>
                </c:pt>
              </c:numCache>
            </c:numRef>
          </c:val>
          <c:smooth val="0"/>
          <c:extLst>
            <c:ext xmlns:c16="http://schemas.microsoft.com/office/drawing/2014/chart" uri="{C3380CC4-5D6E-409C-BE32-E72D297353CC}">
              <c16:uniqueId val="{00000001-53F5-47AE-B15F-8F70AA8F7856}"/>
            </c:ext>
          </c:extLst>
        </c:ser>
        <c:dLbls>
          <c:showLegendKey val="0"/>
          <c:showVal val="0"/>
          <c:showCatName val="0"/>
          <c:showSerName val="0"/>
          <c:showPercent val="0"/>
          <c:showBubbleSize val="0"/>
        </c:dLbls>
        <c:smooth val="0"/>
        <c:axId val="199208816"/>
        <c:axId val="199201616"/>
      </c:lineChart>
      <c:catAx>
        <c:axId val="199208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01616"/>
        <c:crosses val="autoZero"/>
        <c:auto val="1"/>
        <c:lblAlgn val="ctr"/>
        <c:lblOffset val="100"/>
        <c:noMultiLvlLbl val="0"/>
      </c:catAx>
      <c:valAx>
        <c:axId val="199201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08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'Demand Increase'!$AB$112</c:f>
              <c:strCache>
                <c:ptCount val="1"/>
                <c:pt idx="0">
                  <c:v>Average profit</c:v>
                </c:pt>
              </c:strCache>
            </c:strRef>
          </c:tx>
          <c:spPr>
            <a:ln w="28575" cap="rnd">
              <a:solidFill>
                <a:schemeClr val="accent1"/>
              </a:solidFill>
              <a:round/>
            </a:ln>
            <a:effectLst/>
          </c:spPr>
          <c:marker>
            <c:symbol val="none"/>
          </c:marker>
          <c:cat>
            <c:numRef>
              <c:f>'Demand Increase'!$AC$111:$AL$111</c:f>
              <c:numCache>
                <c:formatCode>General</c:formatCode>
                <c:ptCount val="10"/>
                <c:pt idx="0">
                  <c:v>80</c:v>
                </c:pt>
                <c:pt idx="1">
                  <c:v>90</c:v>
                </c:pt>
                <c:pt idx="2">
                  <c:v>100</c:v>
                </c:pt>
                <c:pt idx="3">
                  <c:v>110</c:v>
                </c:pt>
                <c:pt idx="4">
                  <c:v>120</c:v>
                </c:pt>
                <c:pt idx="5">
                  <c:v>130</c:v>
                </c:pt>
                <c:pt idx="6">
                  <c:v>140</c:v>
                </c:pt>
                <c:pt idx="7">
                  <c:v>150</c:v>
                </c:pt>
                <c:pt idx="8">
                  <c:v>160</c:v>
                </c:pt>
                <c:pt idx="9">
                  <c:v>170</c:v>
                </c:pt>
              </c:numCache>
            </c:numRef>
          </c:cat>
          <c:val>
            <c:numRef>
              <c:f>'Demand Increase'!$AC$112:$AL$112</c:f>
              <c:numCache>
                <c:formatCode>General</c:formatCode>
                <c:ptCount val="10"/>
                <c:pt idx="0">
                  <c:v>-98091.074999999997</c:v>
                </c:pt>
                <c:pt idx="1">
                  <c:v>-68049.675000000003</c:v>
                </c:pt>
                <c:pt idx="2">
                  <c:v>-38134.800000000003</c:v>
                </c:pt>
                <c:pt idx="3">
                  <c:v>-7400.55</c:v>
                </c:pt>
                <c:pt idx="4">
                  <c:v>21722.775000000001</c:v>
                </c:pt>
                <c:pt idx="5">
                  <c:v>52067.625</c:v>
                </c:pt>
                <c:pt idx="6">
                  <c:v>82181.175000000003</c:v>
                </c:pt>
                <c:pt idx="7">
                  <c:v>111753.675</c:v>
                </c:pt>
                <c:pt idx="8">
                  <c:v>141548.32500000001</c:v>
                </c:pt>
                <c:pt idx="9">
                  <c:v>171945.75</c:v>
                </c:pt>
              </c:numCache>
            </c:numRef>
          </c:val>
          <c:smooth val="0"/>
          <c:extLst>
            <c:ext xmlns:c16="http://schemas.microsoft.com/office/drawing/2014/chart" uri="{C3380CC4-5D6E-409C-BE32-E72D297353CC}">
              <c16:uniqueId val="{00000000-AC05-47B2-8A9E-63C708719649}"/>
            </c:ext>
          </c:extLst>
        </c:ser>
        <c:dLbls>
          <c:showLegendKey val="0"/>
          <c:showVal val="0"/>
          <c:showCatName val="0"/>
          <c:showSerName val="0"/>
          <c:showPercent val="0"/>
          <c:showBubbleSize val="0"/>
        </c:dLbls>
        <c:smooth val="0"/>
        <c:axId val="1583872672"/>
        <c:axId val="1583874112"/>
      </c:lineChart>
      <c:catAx>
        <c:axId val="1583872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874112"/>
        <c:crosses val="autoZero"/>
        <c:auto val="1"/>
        <c:lblAlgn val="ctr"/>
        <c:lblOffset val="100"/>
        <c:noMultiLvlLbl val="0"/>
      </c:catAx>
      <c:valAx>
        <c:axId val="1583874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872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'Demand Increase'!$V$4</c:f>
              <c:strCache>
                <c:ptCount val="1"/>
                <c:pt idx="0">
                  <c:v>LOST PROFIT</c:v>
                </c:pt>
              </c:strCache>
            </c:strRef>
          </c:tx>
          <c:spPr>
            <a:ln w="28575" cap="rnd">
              <a:noFill/>
              <a:round/>
            </a:ln>
            <a:effectLst/>
          </c:spPr>
          <c:marker>
            <c:symbol val="circle"/>
            <c:size val="5"/>
            <c:spPr>
              <a:solidFill>
                <a:schemeClr val="accent1"/>
              </a:solidFill>
              <a:ln w="9525">
                <a:solidFill>
                  <a:schemeClr val="accent1"/>
                </a:solidFill>
              </a:ln>
              <a:effectLst/>
            </c:spPr>
          </c:marker>
          <c:xVal>
            <c:numRef>
              <c:f>'Demand Increase'!$R$5:$R$204</c:f>
              <c:numCache>
                <c:formatCode>0.00</c:formatCode>
                <c:ptCount val="200"/>
                <c:pt idx="0">
                  <c:v>242</c:v>
                </c:pt>
                <c:pt idx="1">
                  <c:v>270</c:v>
                </c:pt>
                <c:pt idx="2">
                  <c:v>286</c:v>
                </c:pt>
                <c:pt idx="3">
                  <c:v>267</c:v>
                </c:pt>
                <c:pt idx="4">
                  <c:v>193</c:v>
                </c:pt>
                <c:pt idx="5">
                  <c:v>202</c:v>
                </c:pt>
                <c:pt idx="6">
                  <c:v>181</c:v>
                </c:pt>
                <c:pt idx="7">
                  <c:v>188</c:v>
                </c:pt>
                <c:pt idx="8">
                  <c:v>250</c:v>
                </c:pt>
                <c:pt idx="9">
                  <c:v>189</c:v>
                </c:pt>
                <c:pt idx="10">
                  <c:v>173</c:v>
                </c:pt>
                <c:pt idx="11">
                  <c:v>266</c:v>
                </c:pt>
                <c:pt idx="12">
                  <c:v>286</c:v>
                </c:pt>
                <c:pt idx="13">
                  <c:v>234</c:v>
                </c:pt>
                <c:pt idx="14">
                  <c:v>192</c:v>
                </c:pt>
                <c:pt idx="15">
                  <c:v>250</c:v>
                </c:pt>
                <c:pt idx="16">
                  <c:v>194</c:v>
                </c:pt>
                <c:pt idx="17">
                  <c:v>185</c:v>
                </c:pt>
                <c:pt idx="18">
                  <c:v>267</c:v>
                </c:pt>
                <c:pt idx="19">
                  <c:v>248</c:v>
                </c:pt>
                <c:pt idx="20">
                  <c:v>184</c:v>
                </c:pt>
                <c:pt idx="21">
                  <c:v>273</c:v>
                </c:pt>
                <c:pt idx="22">
                  <c:v>285</c:v>
                </c:pt>
                <c:pt idx="23">
                  <c:v>177</c:v>
                </c:pt>
                <c:pt idx="24">
                  <c:v>175</c:v>
                </c:pt>
                <c:pt idx="25">
                  <c:v>178</c:v>
                </c:pt>
                <c:pt idx="26">
                  <c:v>200</c:v>
                </c:pt>
                <c:pt idx="27">
                  <c:v>285</c:v>
                </c:pt>
                <c:pt idx="28">
                  <c:v>271</c:v>
                </c:pt>
                <c:pt idx="29">
                  <c:v>214</c:v>
                </c:pt>
                <c:pt idx="30">
                  <c:v>251</c:v>
                </c:pt>
                <c:pt idx="31">
                  <c:v>185</c:v>
                </c:pt>
                <c:pt idx="32">
                  <c:v>173</c:v>
                </c:pt>
                <c:pt idx="33">
                  <c:v>223</c:v>
                </c:pt>
                <c:pt idx="34">
                  <c:v>262</c:v>
                </c:pt>
                <c:pt idx="35">
                  <c:v>227</c:v>
                </c:pt>
                <c:pt idx="36">
                  <c:v>283</c:v>
                </c:pt>
                <c:pt idx="37">
                  <c:v>211</c:v>
                </c:pt>
                <c:pt idx="38">
                  <c:v>210</c:v>
                </c:pt>
                <c:pt idx="39">
                  <c:v>222</c:v>
                </c:pt>
                <c:pt idx="40">
                  <c:v>289</c:v>
                </c:pt>
                <c:pt idx="41">
                  <c:v>260</c:v>
                </c:pt>
                <c:pt idx="42">
                  <c:v>182</c:v>
                </c:pt>
                <c:pt idx="43">
                  <c:v>197</c:v>
                </c:pt>
                <c:pt idx="44">
                  <c:v>256</c:v>
                </c:pt>
                <c:pt idx="45">
                  <c:v>221</c:v>
                </c:pt>
                <c:pt idx="46">
                  <c:v>253</c:v>
                </c:pt>
                <c:pt idx="47">
                  <c:v>244</c:v>
                </c:pt>
                <c:pt idx="48">
                  <c:v>181</c:v>
                </c:pt>
                <c:pt idx="49">
                  <c:v>183</c:v>
                </c:pt>
                <c:pt idx="50">
                  <c:v>292</c:v>
                </c:pt>
                <c:pt idx="51">
                  <c:v>199</c:v>
                </c:pt>
                <c:pt idx="52">
                  <c:v>188</c:v>
                </c:pt>
                <c:pt idx="53">
                  <c:v>210</c:v>
                </c:pt>
                <c:pt idx="54">
                  <c:v>212</c:v>
                </c:pt>
                <c:pt idx="55">
                  <c:v>260</c:v>
                </c:pt>
                <c:pt idx="56">
                  <c:v>286</c:v>
                </c:pt>
                <c:pt idx="57">
                  <c:v>284</c:v>
                </c:pt>
                <c:pt idx="58">
                  <c:v>211</c:v>
                </c:pt>
                <c:pt idx="59">
                  <c:v>238</c:v>
                </c:pt>
                <c:pt idx="60">
                  <c:v>273</c:v>
                </c:pt>
                <c:pt idx="61">
                  <c:v>255</c:v>
                </c:pt>
                <c:pt idx="62">
                  <c:v>185</c:v>
                </c:pt>
                <c:pt idx="63">
                  <c:v>215</c:v>
                </c:pt>
                <c:pt idx="64">
                  <c:v>211</c:v>
                </c:pt>
                <c:pt idx="65">
                  <c:v>237</c:v>
                </c:pt>
                <c:pt idx="66">
                  <c:v>249</c:v>
                </c:pt>
                <c:pt idx="67">
                  <c:v>283</c:v>
                </c:pt>
                <c:pt idx="68">
                  <c:v>209</c:v>
                </c:pt>
                <c:pt idx="69">
                  <c:v>190</c:v>
                </c:pt>
                <c:pt idx="70">
                  <c:v>248</c:v>
                </c:pt>
                <c:pt idx="71">
                  <c:v>192</c:v>
                </c:pt>
                <c:pt idx="72">
                  <c:v>270</c:v>
                </c:pt>
                <c:pt idx="73">
                  <c:v>273</c:v>
                </c:pt>
                <c:pt idx="74">
                  <c:v>273</c:v>
                </c:pt>
                <c:pt idx="75">
                  <c:v>251</c:v>
                </c:pt>
                <c:pt idx="76">
                  <c:v>231</c:v>
                </c:pt>
                <c:pt idx="77">
                  <c:v>192</c:v>
                </c:pt>
                <c:pt idx="78">
                  <c:v>210</c:v>
                </c:pt>
                <c:pt idx="79">
                  <c:v>181</c:v>
                </c:pt>
                <c:pt idx="80">
                  <c:v>204</c:v>
                </c:pt>
                <c:pt idx="81">
                  <c:v>183</c:v>
                </c:pt>
                <c:pt idx="82">
                  <c:v>184</c:v>
                </c:pt>
                <c:pt idx="83">
                  <c:v>192</c:v>
                </c:pt>
                <c:pt idx="84">
                  <c:v>208</c:v>
                </c:pt>
                <c:pt idx="85">
                  <c:v>183</c:v>
                </c:pt>
                <c:pt idx="86">
                  <c:v>232</c:v>
                </c:pt>
                <c:pt idx="87">
                  <c:v>182</c:v>
                </c:pt>
                <c:pt idx="88">
                  <c:v>214</c:v>
                </c:pt>
                <c:pt idx="89">
                  <c:v>186</c:v>
                </c:pt>
                <c:pt idx="90">
                  <c:v>187</c:v>
                </c:pt>
                <c:pt idx="91">
                  <c:v>172</c:v>
                </c:pt>
                <c:pt idx="92">
                  <c:v>243</c:v>
                </c:pt>
                <c:pt idx="93">
                  <c:v>257</c:v>
                </c:pt>
                <c:pt idx="94">
                  <c:v>205</c:v>
                </c:pt>
                <c:pt idx="95">
                  <c:v>185</c:v>
                </c:pt>
                <c:pt idx="96">
                  <c:v>253</c:v>
                </c:pt>
                <c:pt idx="97">
                  <c:v>185</c:v>
                </c:pt>
                <c:pt idx="98">
                  <c:v>180</c:v>
                </c:pt>
                <c:pt idx="99">
                  <c:v>209</c:v>
                </c:pt>
                <c:pt idx="100">
                  <c:v>182</c:v>
                </c:pt>
                <c:pt idx="101">
                  <c:v>231</c:v>
                </c:pt>
                <c:pt idx="102">
                  <c:v>283</c:v>
                </c:pt>
                <c:pt idx="103">
                  <c:v>210</c:v>
                </c:pt>
                <c:pt idx="104">
                  <c:v>222</c:v>
                </c:pt>
                <c:pt idx="105">
                  <c:v>184</c:v>
                </c:pt>
                <c:pt idx="106">
                  <c:v>296</c:v>
                </c:pt>
                <c:pt idx="107">
                  <c:v>177</c:v>
                </c:pt>
                <c:pt idx="108">
                  <c:v>170</c:v>
                </c:pt>
                <c:pt idx="109">
                  <c:v>183</c:v>
                </c:pt>
                <c:pt idx="110">
                  <c:v>178</c:v>
                </c:pt>
                <c:pt idx="111">
                  <c:v>256</c:v>
                </c:pt>
                <c:pt idx="112">
                  <c:v>274</c:v>
                </c:pt>
                <c:pt idx="113">
                  <c:v>190</c:v>
                </c:pt>
                <c:pt idx="114">
                  <c:v>254</c:v>
                </c:pt>
                <c:pt idx="115">
                  <c:v>195</c:v>
                </c:pt>
                <c:pt idx="116">
                  <c:v>182</c:v>
                </c:pt>
                <c:pt idx="117">
                  <c:v>246</c:v>
                </c:pt>
                <c:pt idx="118">
                  <c:v>223</c:v>
                </c:pt>
                <c:pt idx="119">
                  <c:v>177</c:v>
                </c:pt>
                <c:pt idx="120">
                  <c:v>190</c:v>
                </c:pt>
                <c:pt idx="121">
                  <c:v>244</c:v>
                </c:pt>
                <c:pt idx="122">
                  <c:v>253</c:v>
                </c:pt>
                <c:pt idx="123">
                  <c:v>189</c:v>
                </c:pt>
                <c:pt idx="124">
                  <c:v>227</c:v>
                </c:pt>
                <c:pt idx="125">
                  <c:v>180</c:v>
                </c:pt>
                <c:pt idx="126">
                  <c:v>179</c:v>
                </c:pt>
                <c:pt idx="127">
                  <c:v>195</c:v>
                </c:pt>
                <c:pt idx="128">
                  <c:v>288</c:v>
                </c:pt>
                <c:pt idx="129">
                  <c:v>269</c:v>
                </c:pt>
                <c:pt idx="130">
                  <c:v>269</c:v>
                </c:pt>
                <c:pt idx="131">
                  <c:v>183</c:v>
                </c:pt>
                <c:pt idx="132">
                  <c:v>185</c:v>
                </c:pt>
                <c:pt idx="133">
                  <c:v>239</c:v>
                </c:pt>
                <c:pt idx="134">
                  <c:v>183</c:v>
                </c:pt>
                <c:pt idx="135">
                  <c:v>220</c:v>
                </c:pt>
                <c:pt idx="136">
                  <c:v>178</c:v>
                </c:pt>
                <c:pt idx="137">
                  <c:v>176</c:v>
                </c:pt>
                <c:pt idx="138">
                  <c:v>210</c:v>
                </c:pt>
                <c:pt idx="139">
                  <c:v>274</c:v>
                </c:pt>
                <c:pt idx="140">
                  <c:v>299</c:v>
                </c:pt>
                <c:pt idx="141">
                  <c:v>185</c:v>
                </c:pt>
                <c:pt idx="142">
                  <c:v>278</c:v>
                </c:pt>
                <c:pt idx="143">
                  <c:v>243</c:v>
                </c:pt>
                <c:pt idx="144">
                  <c:v>264</c:v>
                </c:pt>
                <c:pt idx="145">
                  <c:v>252</c:v>
                </c:pt>
                <c:pt idx="146">
                  <c:v>255</c:v>
                </c:pt>
                <c:pt idx="147">
                  <c:v>195</c:v>
                </c:pt>
                <c:pt idx="148">
                  <c:v>222</c:v>
                </c:pt>
                <c:pt idx="149">
                  <c:v>294</c:v>
                </c:pt>
                <c:pt idx="150">
                  <c:v>266</c:v>
                </c:pt>
                <c:pt idx="151">
                  <c:v>290</c:v>
                </c:pt>
                <c:pt idx="152">
                  <c:v>204</c:v>
                </c:pt>
                <c:pt idx="153">
                  <c:v>178</c:v>
                </c:pt>
                <c:pt idx="154">
                  <c:v>252</c:v>
                </c:pt>
                <c:pt idx="155">
                  <c:v>190</c:v>
                </c:pt>
                <c:pt idx="156">
                  <c:v>237</c:v>
                </c:pt>
                <c:pt idx="157">
                  <c:v>268</c:v>
                </c:pt>
                <c:pt idx="158">
                  <c:v>218</c:v>
                </c:pt>
                <c:pt idx="159">
                  <c:v>172</c:v>
                </c:pt>
                <c:pt idx="160">
                  <c:v>189</c:v>
                </c:pt>
                <c:pt idx="161">
                  <c:v>228</c:v>
                </c:pt>
                <c:pt idx="162">
                  <c:v>180</c:v>
                </c:pt>
                <c:pt idx="163">
                  <c:v>185</c:v>
                </c:pt>
                <c:pt idx="164">
                  <c:v>204</c:v>
                </c:pt>
                <c:pt idx="165">
                  <c:v>263</c:v>
                </c:pt>
                <c:pt idx="166">
                  <c:v>288</c:v>
                </c:pt>
                <c:pt idx="167">
                  <c:v>282</c:v>
                </c:pt>
                <c:pt idx="168">
                  <c:v>184</c:v>
                </c:pt>
                <c:pt idx="169">
                  <c:v>218</c:v>
                </c:pt>
                <c:pt idx="170">
                  <c:v>243</c:v>
                </c:pt>
                <c:pt idx="171">
                  <c:v>288</c:v>
                </c:pt>
                <c:pt idx="172">
                  <c:v>249</c:v>
                </c:pt>
                <c:pt idx="173">
                  <c:v>177</c:v>
                </c:pt>
                <c:pt idx="174">
                  <c:v>297</c:v>
                </c:pt>
                <c:pt idx="175">
                  <c:v>228</c:v>
                </c:pt>
                <c:pt idx="176">
                  <c:v>210</c:v>
                </c:pt>
                <c:pt idx="177">
                  <c:v>258</c:v>
                </c:pt>
                <c:pt idx="178">
                  <c:v>179</c:v>
                </c:pt>
                <c:pt idx="179">
                  <c:v>207</c:v>
                </c:pt>
                <c:pt idx="180">
                  <c:v>239</c:v>
                </c:pt>
                <c:pt idx="181">
                  <c:v>292</c:v>
                </c:pt>
                <c:pt idx="182">
                  <c:v>180</c:v>
                </c:pt>
                <c:pt idx="183">
                  <c:v>286</c:v>
                </c:pt>
                <c:pt idx="184">
                  <c:v>215</c:v>
                </c:pt>
                <c:pt idx="185">
                  <c:v>184</c:v>
                </c:pt>
                <c:pt idx="186">
                  <c:v>186</c:v>
                </c:pt>
                <c:pt idx="187">
                  <c:v>260</c:v>
                </c:pt>
                <c:pt idx="188">
                  <c:v>185</c:v>
                </c:pt>
                <c:pt idx="189">
                  <c:v>266</c:v>
                </c:pt>
                <c:pt idx="190">
                  <c:v>186</c:v>
                </c:pt>
                <c:pt idx="191">
                  <c:v>189</c:v>
                </c:pt>
                <c:pt idx="192">
                  <c:v>204</c:v>
                </c:pt>
                <c:pt idx="193">
                  <c:v>182</c:v>
                </c:pt>
                <c:pt idx="194">
                  <c:v>184</c:v>
                </c:pt>
                <c:pt idx="195">
                  <c:v>249</c:v>
                </c:pt>
                <c:pt idx="196">
                  <c:v>292</c:v>
                </c:pt>
                <c:pt idx="197">
                  <c:v>189</c:v>
                </c:pt>
                <c:pt idx="198">
                  <c:v>237</c:v>
                </c:pt>
                <c:pt idx="199">
                  <c:v>220</c:v>
                </c:pt>
              </c:numCache>
            </c:numRef>
          </c:xVal>
          <c:yVal>
            <c:numRef>
              <c:f>'Demand Increase'!$V$5:$V$204</c:f>
              <c:numCache>
                <c:formatCode>0</c:formatCode>
                <c:ptCount val="200"/>
                <c:pt idx="0">
                  <c:v>175500</c:v>
                </c:pt>
                <c:pt idx="1">
                  <c:v>217500</c:v>
                </c:pt>
                <c:pt idx="2">
                  <c:v>241500</c:v>
                </c:pt>
                <c:pt idx="3">
                  <c:v>213000</c:v>
                </c:pt>
                <c:pt idx="4">
                  <c:v>102000</c:v>
                </c:pt>
                <c:pt idx="5">
                  <c:v>115500</c:v>
                </c:pt>
                <c:pt idx="6">
                  <c:v>84000</c:v>
                </c:pt>
                <c:pt idx="7">
                  <c:v>94500</c:v>
                </c:pt>
                <c:pt idx="8">
                  <c:v>187500</c:v>
                </c:pt>
                <c:pt idx="9">
                  <c:v>96000</c:v>
                </c:pt>
                <c:pt idx="10">
                  <c:v>72000</c:v>
                </c:pt>
                <c:pt idx="11">
                  <c:v>211500</c:v>
                </c:pt>
                <c:pt idx="12">
                  <c:v>241500</c:v>
                </c:pt>
                <c:pt idx="13">
                  <c:v>163500</c:v>
                </c:pt>
                <c:pt idx="14">
                  <c:v>100500</c:v>
                </c:pt>
                <c:pt idx="15">
                  <c:v>187500</c:v>
                </c:pt>
                <c:pt idx="16">
                  <c:v>103500</c:v>
                </c:pt>
                <c:pt idx="17">
                  <c:v>90000</c:v>
                </c:pt>
                <c:pt idx="18">
                  <c:v>213000</c:v>
                </c:pt>
                <c:pt idx="19">
                  <c:v>184500</c:v>
                </c:pt>
                <c:pt idx="20">
                  <c:v>88500</c:v>
                </c:pt>
                <c:pt idx="21">
                  <c:v>222000</c:v>
                </c:pt>
                <c:pt idx="22">
                  <c:v>240000</c:v>
                </c:pt>
                <c:pt idx="23">
                  <c:v>78000</c:v>
                </c:pt>
                <c:pt idx="24">
                  <c:v>75000</c:v>
                </c:pt>
                <c:pt idx="25">
                  <c:v>79500</c:v>
                </c:pt>
                <c:pt idx="26">
                  <c:v>112500</c:v>
                </c:pt>
                <c:pt idx="27">
                  <c:v>240000</c:v>
                </c:pt>
                <c:pt idx="28">
                  <c:v>219000</c:v>
                </c:pt>
                <c:pt idx="29">
                  <c:v>133500</c:v>
                </c:pt>
                <c:pt idx="30">
                  <c:v>189000</c:v>
                </c:pt>
                <c:pt idx="31">
                  <c:v>90000</c:v>
                </c:pt>
                <c:pt idx="32">
                  <c:v>72000</c:v>
                </c:pt>
                <c:pt idx="33">
                  <c:v>147000</c:v>
                </c:pt>
                <c:pt idx="34">
                  <c:v>205500</c:v>
                </c:pt>
                <c:pt idx="35">
                  <c:v>153000</c:v>
                </c:pt>
                <c:pt idx="36">
                  <c:v>237000</c:v>
                </c:pt>
                <c:pt idx="37">
                  <c:v>129000</c:v>
                </c:pt>
                <c:pt idx="38">
                  <c:v>127500</c:v>
                </c:pt>
                <c:pt idx="39">
                  <c:v>145500</c:v>
                </c:pt>
                <c:pt idx="40">
                  <c:v>246000</c:v>
                </c:pt>
                <c:pt idx="41">
                  <c:v>202500</c:v>
                </c:pt>
                <c:pt idx="42">
                  <c:v>85500</c:v>
                </c:pt>
                <c:pt idx="43">
                  <c:v>108000</c:v>
                </c:pt>
                <c:pt idx="44">
                  <c:v>196500</c:v>
                </c:pt>
                <c:pt idx="45">
                  <c:v>144000</c:v>
                </c:pt>
                <c:pt idx="46">
                  <c:v>192000</c:v>
                </c:pt>
                <c:pt idx="47">
                  <c:v>178500</c:v>
                </c:pt>
                <c:pt idx="48">
                  <c:v>84000</c:v>
                </c:pt>
                <c:pt idx="49">
                  <c:v>87000</c:v>
                </c:pt>
                <c:pt idx="50">
                  <c:v>250500</c:v>
                </c:pt>
                <c:pt idx="51">
                  <c:v>111000</c:v>
                </c:pt>
                <c:pt idx="52">
                  <c:v>94500</c:v>
                </c:pt>
                <c:pt idx="53">
                  <c:v>127500</c:v>
                </c:pt>
                <c:pt idx="54">
                  <c:v>130500</c:v>
                </c:pt>
                <c:pt idx="55">
                  <c:v>202500</c:v>
                </c:pt>
                <c:pt idx="56">
                  <c:v>241500</c:v>
                </c:pt>
                <c:pt idx="57">
                  <c:v>238500</c:v>
                </c:pt>
                <c:pt idx="58">
                  <c:v>129000</c:v>
                </c:pt>
                <c:pt idx="59">
                  <c:v>169500</c:v>
                </c:pt>
                <c:pt idx="60">
                  <c:v>222000</c:v>
                </c:pt>
                <c:pt idx="61">
                  <c:v>195000</c:v>
                </c:pt>
                <c:pt idx="62">
                  <c:v>90000</c:v>
                </c:pt>
                <c:pt idx="63">
                  <c:v>135000</c:v>
                </c:pt>
                <c:pt idx="64">
                  <c:v>129000</c:v>
                </c:pt>
                <c:pt idx="65">
                  <c:v>168000</c:v>
                </c:pt>
                <c:pt idx="66">
                  <c:v>186000</c:v>
                </c:pt>
                <c:pt idx="67">
                  <c:v>237000</c:v>
                </c:pt>
                <c:pt idx="68">
                  <c:v>126000</c:v>
                </c:pt>
                <c:pt idx="69">
                  <c:v>97500</c:v>
                </c:pt>
                <c:pt idx="70">
                  <c:v>184500</c:v>
                </c:pt>
                <c:pt idx="71">
                  <c:v>100500</c:v>
                </c:pt>
                <c:pt idx="72">
                  <c:v>217500</c:v>
                </c:pt>
                <c:pt idx="73">
                  <c:v>222000</c:v>
                </c:pt>
                <c:pt idx="74">
                  <c:v>222000</c:v>
                </c:pt>
                <c:pt idx="75">
                  <c:v>189000</c:v>
                </c:pt>
                <c:pt idx="76">
                  <c:v>159000</c:v>
                </c:pt>
                <c:pt idx="77">
                  <c:v>100500</c:v>
                </c:pt>
                <c:pt idx="78">
                  <c:v>127500</c:v>
                </c:pt>
                <c:pt idx="79">
                  <c:v>84000</c:v>
                </c:pt>
                <c:pt idx="80">
                  <c:v>118500</c:v>
                </c:pt>
                <c:pt idx="81">
                  <c:v>87000</c:v>
                </c:pt>
                <c:pt idx="82">
                  <c:v>88500</c:v>
                </c:pt>
                <c:pt idx="83">
                  <c:v>100500</c:v>
                </c:pt>
                <c:pt idx="84">
                  <c:v>124500</c:v>
                </c:pt>
                <c:pt idx="85">
                  <c:v>87000</c:v>
                </c:pt>
                <c:pt idx="86">
                  <c:v>160500</c:v>
                </c:pt>
                <c:pt idx="87">
                  <c:v>85500</c:v>
                </c:pt>
                <c:pt idx="88">
                  <c:v>133500</c:v>
                </c:pt>
                <c:pt idx="89">
                  <c:v>91500</c:v>
                </c:pt>
                <c:pt idx="90">
                  <c:v>93000</c:v>
                </c:pt>
                <c:pt idx="91">
                  <c:v>70500</c:v>
                </c:pt>
                <c:pt idx="92">
                  <c:v>177000</c:v>
                </c:pt>
                <c:pt idx="93">
                  <c:v>198000</c:v>
                </c:pt>
                <c:pt idx="94">
                  <c:v>120000</c:v>
                </c:pt>
                <c:pt idx="95">
                  <c:v>90000</c:v>
                </c:pt>
                <c:pt idx="96">
                  <c:v>192000</c:v>
                </c:pt>
                <c:pt idx="97">
                  <c:v>90000</c:v>
                </c:pt>
                <c:pt idx="98">
                  <c:v>82500</c:v>
                </c:pt>
                <c:pt idx="99">
                  <c:v>126000</c:v>
                </c:pt>
                <c:pt idx="100">
                  <c:v>85500</c:v>
                </c:pt>
                <c:pt idx="101">
                  <c:v>159000</c:v>
                </c:pt>
                <c:pt idx="102">
                  <c:v>237000</c:v>
                </c:pt>
                <c:pt idx="103">
                  <c:v>127500</c:v>
                </c:pt>
                <c:pt idx="104">
                  <c:v>145500</c:v>
                </c:pt>
                <c:pt idx="105">
                  <c:v>88500</c:v>
                </c:pt>
                <c:pt idx="106">
                  <c:v>256500</c:v>
                </c:pt>
                <c:pt idx="107">
                  <c:v>78000</c:v>
                </c:pt>
                <c:pt idx="108">
                  <c:v>67500</c:v>
                </c:pt>
                <c:pt idx="109">
                  <c:v>87000</c:v>
                </c:pt>
                <c:pt idx="110">
                  <c:v>79500</c:v>
                </c:pt>
                <c:pt idx="111">
                  <c:v>196500</c:v>
                </c:pt>
                <c:pt idx="112">
                  <c:v>223500</c:v>
                </c:pt>
                <c:pt idx="113">
                  <c:v>97500</c:v>
                </c:pt>
                <c:pt idx="114">
                  <c:v>193500</c:v>
                </c:pt>
                <c:pt idx="115">
                  <c:v>105000</c:v>
                </c:pt>
                <c:pt idx="116">
                  <c:v>85500</c:v>
                </c:pt>
                <c:pt idx="117">
                  <c:v>181500</c:v>
                </c:pt>
                <c:pt idx="118">
                  <c:v>147000</c:v>
                </c:pt>
                <c:pt idx="119">
                  <c:v>78000</c:v>
                </c:pt>
                <c:pt idx="120">
                  <c:v>97500</c:v>
                </c:pt>
                <c:pt idx="121">
                  <c:v>178500</c:v>
                </c:pt>
                <c:pt idx="122">
                  <c:v>192000</c:v>
                </c:pt>
                <c:pt idx="123">
                  <c:v>96000</c:v>
                </c:pt>
                <c:pt idx="124">
                  <c:v>153000</c:v>
                </c:pt>
                <c:pt idx="125">
                  <c:v>82500</c:v>
                </c:pt>
                <c:pt idx="126">
                  <c:v>81000</c:v>
                </c:pt>
                <c:pt idx="127">
                  <c:v>105000</c:v>
                </c:pt>
                <c:pt idx="128">
                  <c:v>244500</c:v>
                </c:pt>
                <c:pt idx="129">
                  <c:v>216000</c:v>
                </c:pt>
                <c:pt idx="130">
                  <c:v>216000</c:v>
                </c:pt>
                <c:pt idx="131">
                  <c:v>87000</c:v>
                </c:pt>
                <c:pt idx="132">
                  <c:v>90000</c:v>
                </c:pt>
                <c:pt idx="133">
                  <c:v>171000</c:v>
                </c:pt>
                <c:pt idx="134">
                  <c:v>87000</c:v>
                </c:pt>
                <c:pt idx="135">
                  <c:v>142500</c:v>
                </c:pt>
                <c:pt idx="136">
                  <c:v>79500</c:v>
                </c:pt>
                <c:pt idx="137">
                  <c:v>76500</c:v>
                </c:pt>
                <c:pt idx="138">
                  <c:v>127500</c:v>
                </c:pt>
                <c:pt idx="139">
                  <c:v>223500</c:v>
                </c:pt>
                <c:pt idx="140">
                  <c:v>261000</c:v>
                </c:pt>
                <c:pt idx="141">
                  <c:v>90000</c:v>
                </c:pt>
                <c:pt idx="142">
                  <c:v>229500</c:v>
                </c:pt>
                <c:pt idx="143">
                  <c:v>177000</c:v>
                </c:pt>
                <c:pt idx="144">
                  <c:v>208500</c:v>
                </c:pt>
                <c:pt idx="145">
                  <c:v>190500</c:v>
                </c:pt>
                <c:pt idx="146">
                  <c:v>195000</c:v>
                </c:pt>
                <c:pt idx="147">
                  <c:v>105000</c:v>
                </c:pt>
                <c:pt idx="148">
                  <c:v>145500</c:v>
                </c:pt>
                <c:pt idx="149">
                  <c:v>253500</c:v>
                </c:pt>
                <c:pt idx="150">
                  <c:v>211500</c:v>
                </c:pt>
                <c:pt idx="151">
                  <c:v>247500</c:v>
                </c:pt>
                <c:pt idx="152">
                  <c:v>118500</c:v>
                </c:pt>
                <c:pt idx="153">
                  <c:v>79500</c:v>
                </c:pt>
                <c:pt idx="154">
                  <c:v>190500</c:v>
                </c:pt>
                <c:pt idx="155">
                  <c:v>97500</c:v>
                </c:pt>
                <c:pt idx="156">
                  <c:v>168000</c:v>
                </c:pt>
                <c:pt idx="157">
                  <c:v>214500</c:v>
                </c:pt>
                <c:pt idx="158">
                  <c:v>139500</c:v>
                </c:pt>
                <c:pt idx="159">
                  <c:v>70500</c:v>
                </c:pt>
                <c:pt idx="160">
                  <c:v>96000</c:v>
                </c:pt>
                <c:pt idx="161">
                  <c:v>154500</c:v>
                </c:pt>
                <c:pt idx="162">
                  <c:v>82500</c:v>
                </c:pt>
                <c:pt idx="163">
                  <c:v>90000</c:v>
                </c:pt>
                <c:pt idx="164">
                  <c:v>118500</c:v>
                </c:pt>
                <c:pt idx="165">
                  <c:v>207000</c:v>
                </c:pt>
                <c:pt idx="166">
                  <c:v>244500</c:v>
                </c:pt>
                <c:pt idx="167">
                  <c:v>235500</c:v>
                </c:pt>
                <c:pt idx="168">
                  <c:v>88500</c:v>
                </c:pt>
                <c:pt idx="169">
                  <c:v>139500</c:v>
                </c:pt>
                <c:pt idx="170">
                  <c:v>177000</c:v>
                </c:pt>
                <c:pt idx="171">
                  <c:v>244500</c:v>
                </c:pt>
                <c:pt idx="172">
                  <c:v>186000</c:v>
                </c:pt>
                <c:pt idx="173">
                  <c:v>78000</c:v>
                </c:pt>
                <c:pt idx="174">
                  <c:v>258000</c:v>
                </c:pt>
                <c:pt idx="175">
                  <c:v>154500</c:v>
                </c:pt>
                <c:pt idx="176">
                  <c:v>127500</c:v>
                </c:pt>
                <c:pt idx="177">
                  <c:v>199500</c:v>
                </c:pt>
                <c:pt idx="178">
                  <c:v>81000</c:v>
                </c:pt>
                <c:pt idx="179">
                  <c:v>123000</c:v>
                </c:pt>
                <c:pt idx="180">
                  <c:v>171000</c:v>
                </c:pt>
                <c:pt idx="181">
                  <c:v>250500</c:v>
                </c:pt>
                <c:pt idx="182">
                  <c:v>82500</c:v>
                </c:pt>
                <c:pt idx="183">
                  <c:v>241500</c:v>
                </c:pt>
                <c:pt idx="184">
                  <c:v>135000</c:v>
                </c:pt>
                <c:pt idx="185">
                  <c:v>88500</c:v>
                </c:pt>
                <c:pt idx="186">
                  <c:v>91500</c:v>
                </c:pt>
                <c:pt idx="187">
                  <c:v>202500</c:v>
                </c:pt>
                <c:pt idx="188">
                  <c:v>90000</c:v>
                </c:pt>
                <c:pt idx="189">
                  <c:v>211500</c:v>
                </c:pt>
                <c:pt idx="190">
                  <c:v>91500</c:v>
                </c:pt>
                <c:pt idx="191">
                  <c:v>96000</c:v>
                </c:pt>
                <c:pt idx="192">
                  <c:v>118500</c:v>
                </c:pt>
                <c:pt idx="193">
                  <c:v>85500</c:v>
                </c:pt>
                <c:pt idx="194">
                  <c:v>88500</c:v>
                </c:pt>
                <c:pt idx="195">
                  <c:v>186000</c:v>
                </c:pt>
                <c:pt idx="196">
                  <c:v>250500</c:v>
                </c:pt>
                <c:pt idx="197">
                  <c:v>96000</c:v>
                </c:pt>
                <c:pt idx="198">
                  <c:v>168000</c:v>
                </c:pt>
                <c:pt idx="199">
                  <c:v>142500</c:v>
                </c:pt>
              </c:numCache>
            </c:numRef>
          </c:yVal>
          <c:smooth val="0"/>
          <c:extLst>
            <c:ext xmlns:c16="http://schemas.microsoft.com/office/drawing/2014/chart" uri="{C3380CC4-5D6E-409C-BE32-E72D297353CC}">
              <c16:uniqueId val="{00000000-68A4-417F-9400-22C0BDB7AF6E}"/>
            </c:ext>
          </c:extLst>
        </c:ser>
        <c:dLbls>
          <c:showLegendKey val="0"/>
          <c:showVal val="0"/>
          <c:showCatName val="0"/>
          <c:showSerName val="0"/>
          <c:showPercent val="0"/>
          <c:showBubbleSize val="0"/>
        </c:dLbls>
        <c:axId val="2015545616"/>
        <c:axId val="2015546096"/>
      </c:scatterChart>
      <c:valAx>
        <c:axId val="201554561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546096"/>
        <c:crosses val="autoZero"/>
        <c:crossBetween val="midCat"/>
      </c:valAx>
      <c:valAx>
        <c:axId val="20155460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54561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l-PL"/>
              <a:t>Lower</a:t>
            </a:r>
            <a:r>
              <a:rPr lang="pl-PL" baseline="0"/>
              <a:t> and upper bound for order quantity</a:t>
            </a:r>
          </a:p>
        </c:rich>
      </c:tx>
      <c:layout>
        <c:manualLayout>
          <c:xMode val="edge"/>
          <c:yMode val="edge"/>
          <c:x val="0.2621831016370102"/>
          <c:y val="1.99362041467304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'Demand Increase'!$AB$111</c:f>
              <c:strCache>
                <c:ptCount val="1"/>
                <c:pt idx="0">
                  <c:v>Order</c:v>
                </c:pt>
              </c:strCache>
            </c:strRef>
          </c:tx>
          <c:spPr>
            <a:solidFill>
              <a:schemeClr val="accent1"/>
            </a:solidFill>
            <a:ln>
              <a:noFill/>
            </a:ln>
            <a:effectLst/>
          </c:spPr>
          <c:invertIfNegative val="0"/>
          <c:val>
            <c:numRef>
              <c:f>'Demand Increase'!$AC$111:$AL$111</c:f>
              <c:numCache>
                <c:formatCode>General</c:formatCode>
                <c:ptCount val="10"/>
                <c:pt idx="0">
                  <c:v>80</c:v>
                </c:pt>
                <c:pt idx="1">
                  <c:v>90</c:v>
                </c:pt>
                <c:pt idx="2">
                  <c:v>100</c:v>
                </c:pt>
                <c:pt idx="3">
                  <c:v>110</c:v>
                </c:pt>
                <c:pt idx="4">
                  <c:v>120</c:v>
                </c:pt>
                <c:pt idx="5">
                  <c:v>130</c:v>
                </c:pt>
                <c:pt idx="6">
                  <c:v>140</c:v>
                </c:pt>
                <c:pt idx="7">
                  <c:v>150</c:v>
                </c:pt>
                <c:pt idx="8">
                  <c:v>160</c:v>
                </c:pt>
                <c:pt idx="9">
                  <c:v>170</c:v>
                </c:pt>
              </c:numCache>
            </c:numRef>
          </c:val>
          <c:extLst>
            <c:ext xmlns:c16="http://schemas.microsoft.com/office/drawing/2014/chart" uri="{C3380CC4-5D6E-409C-BE32-E72D297353CC}">
              <c16:uniqueId val="{00000000-559E-4EBD-AD72-39A8405DA93A}"/>
            </c:ext>
          </c:extLst>
        </c:ser>
        <c:ser>
          <c:idx val="1"/>
          <c:order val="1"/>
          <c:tx>
            <c:strRef>
              <c:f>'Demand Increase'!$AB$115</c:f>
              <c:strCache>
                <c:ptCount val="1"/>
                <c:pt idx="0">
                  <c:v>Lower bound</c:v>
                </c:pt>
              </c:strCache>
            </c:strRef>
          </c:tx>
          <c:spPr>
            <a:solidFill>
              <a:schemeClr val="accent2"/>
            </a:solidFill>
            <a:ln>
              <a:noFill/>
            </a:ln>
            <a:effectLst/>
          </c:spPr>
          <c:invertIfNegative val="0"/>
          <c:val>
            <c:numRef>
              <c:f>'Demand Increase'!$AC$115:$AL$115</c:f>
              <c:numCache>
                <c:formatCode>General</c:formatCode>
                <c:ptCount val="10"/>
                <c:pt idx="0">
                  <c:v>-102300.20829113013</c:v>
                </c:pt>
                <c:pt idx="1">
                  <c:v>-72391.307665123066</c:v>
                </c:pt>
                <c:pt idx="2">
                  <c:v>-41974.30036995819</c:v>
                </c:pt>
                <c:pt idx="3">
                  <c:v>-10882.718149691693</c:v>
                </c:pt>
                <c:pt idx="4">
                  <c:v>17646.187933843492</c:v>
                </c:pt>
                <c:pt idx="5">
                  <c:v>47900.102657937401</c:v>
                </c:pt>
                <c:pt idx="6">
                  <c:v>77794.284859142295</c:v>
                </c:pt>
                <c:pt idx="7">
                  <c:v>108207.177448798</c:v>
                </c:pt>
                <c:pt idx="8">
                  <c:v>137778.19585840311</c:v>
                </c:pt>
                <c:pt idx="9">
                  <c:v>168211.09118666509</c:v>
                </c:pt>
              </c:numCache>
            </c:numRef>
          </c:val>
          <c:extLst>
            <c:ext xmlns:c16="http://schemas.microsoft.com/office/drawing/2014/chart" uri="{C3380CC4-5D6E-409C-BE32-E72D297353CC}">
              <c16:uniqueId val="{00000001-559E-4EBD-AD72-39A8405DA93A}"/>
            </c:ext>
          </c:extLst>
        </c:ser>
        <c:ser>
          <c:idx val="2"/>
          <c:order val="2"/>
          <c:tx>
            <c:strRef>
              <c:f>'Demand Increase'!$AB$116</c:f>
              <c:strCache>
                <c:ptCount val="1"/>
                <c:pt idx="0">
                  <c:v>Upper bound</c:v>
                </c:pt>
              </c:strCache>
            </c:strRef>
          </c:tx>
          <c:spPr>
            <a:solidFill>
              <a:schemeClr val="accent3"/>
            </a:solidFill>
            <a:ln>
              <a:noFill/>
            </a:ln>
            <a:effectLst/>
          </c:spPr>
          <c:invertIfNegative val="0"/>
          <c:val>
            <c:numRef>
              <c:f>'Demand Increase'!$AC$116:$AL$116</c:f>
              <c:numCache>
                <c:formatCode>General</c:formatCode>
                <c:ptCount val="10"/>
                <c:pt idx="0">
                  <c:v>-93881.941708869868</c:v>
                </c:pt>
                <c:pt idx="1">
                  <c:v>-63708.04233487694</c:v>
                </c:pt>
                <c:pt idx="2">
                  <c:v>-34295.299630041816</c:v>
                </c:pt>
                <c:pt idx="3">
                  <c:v>-3918.3818503083066</c:v>
                </c:pt>
                <c:pt idx="4">
                  <c:v>25799.362066156511</c:v>
                </c:pt>
                <c:pt idx="5">
                  <c:v>56235.147342062599</c:v>
                </c:pt>
                <c:pt idx="6">
                  <c:v>86568.065140857711</c:v>
                </c:pt>
                <c:pt idx="7">
                  <c:v>115300.17255120201</c:v>
                </c:pt>
                <c:pt idx="8">
                  <c:v>145318.45414159691</c:v>
                </c:pt>
                <c:pt idx="9">
                  <c:v>175680.40881333491</c:v>
                </c:pt>
              </c:numCache>
            </c:numRef>
          </c:val>
          <c:extLst>
            <c:ext xmlns:c16="http://schemas.microsoft.com/office/drawing/2014/chart" uri="{C3380CC4-5D6E-409C-BE32-E72D297353CC}">
              <c16:uniqueId val="{00000002-559E-4EBD-AD72-39A8405DA93A}"/>
            </c:ext>
          </c:extLst>
        </c:ser>
        <c:dLbls>
          <c:showLegendKey val="0"/>
          <c:showVal val="0"/>
          <c:showCatName val="0"/>
          <c:showSerName val="0"/>
          <c:showPercent val="0"/>
          <c:showBubbleSize val="0"/>
        </c:dLbls>
        <c:gapWidth val="219"/>
        <c:overlap val="-27"/>
        <c:axId val="1731843888"/>
        <c:axId val="1731843408"/>
      </c:barChart>
      <c:catAx>
        <c:axId val="1731843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843408"/>
        <c:crosses val="autoZero"/>
        <c:auto val="1"/>
        <c:lblAlgn val="ctr"/>
        <c:lblOffset val="100"/>
        <c:noMultiLvlLbl val="0"/>
      </c:catAx>
      <c:valAx>
        <c:axId val="1731843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843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pl-PL" sz="1400" b="0" i="0" u="none" strike="noStrike" kern="1200" spc="0" baseline="0">
                <a:solidFill>
                  <a:sysClr val="windowText" lastClr="000000">
                    <a:lumMod val="65000"/>
                    <a:lumOff val="35000"/>
                  </a:sysClr>
                </a:solidFill>
              </a:rPr>
              <a:t>Std Deviation and confidence interval behaviour</a:t>
            </a:r>
            <a:endParaRPr lang="en-US"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lineChart>
        <c:grouping val="standard"/>
        <c:varyColors val="0"/>
        <c:ser>
          <c:idx val="0"/>
          <c:order val="0"/>
          <c:tx>
            <c:strRef>
              <c:f>'Demand Increase'!$AB$111</c:f>
              <c:strCache>
                <c:ptCount val="1"/>
                <c:pt idx="0">
                  <c:v>Order</c:v>
                </c:pt>
              </c:strCache>
            </c:strRef>
          </c:tx>
          <c:spPr>
            <a:ln w="28575" cap="rnd">
              <a:solidFill>
                <a:schemeClr val="accent1"/>
              </a:solidFill>
              <a:round/>
            </a:ln>
            <a:effectLst/>
          </c:spPr>
          <c:marker>
            <c:symbol val="none"/>
          </c:marker>
          <c:val>
            <c:numRef>
              <c:f>'Demand Increase'!$AC$111:$AL$111</c:f>
              <c:numCache>
                <c:formatCode>General</c:formatCode>
                <c:ptCount val="10"/>
                <c:pt idx="0">
                  <c:v>80</c:v>
                </c:pt>
                <c:pt idx="1">
                  <c:v>90</c:v>
                </c:pt>
                <c:pt idx="2">
                  <c:v>100</c:v>
                </c:pt>
                <c:pt idx="3">
                  <c:v>110</c:v>
                </c:pt>
                <c:pt idx="4">
                  <c:v>120</c:v>
                </c:pt>
                <c:pt idx="5">
                  <c:v>130</c:v>
                </c:pt>
                <c:pt idx="6">
                  <c:v>140</c:v>
                </c:pt>
                <c:pt idx="7">
                  <c:v>150</c:v>
                </c:pt>
                <c:pt idx="8">
                  <c:v>160</c:v>
                </c:pt>
                <c:pt idx="9">
                  <c:v>170</c:v>
                </c:pt>
              </c:numCache>
            </c:numRef>
          </c:val>
          <c:smooth val="0"/>
          <c:extLst>
            <c:ext xmlns:c16="http://schemas.microsoft.com/office/drawing/2014/chart" uri="{C3380CC4-5D6E-409C-BE32-E72D297353CC}">
              <c16:uniqueId val="{00000000-4BA3-485D-888C-B9DA64229131}"/>
            </c:ext>
          </c:extLst>
        </c:ser>
        <c:ser>
          <c:idx val="1"/>
          <c:order val="1"/>
          <c:tx>
            <c:strRef>
              <c:f>'Demand Increase'!$AB$113</c:f>
              <c:strCache>
                <c:ptCount val="1"/>
                <c:pt idx="0">
                  <c:v>Std dev.</c:v>
                </c:pt>
              </c:strCache>
            </c:strRef>
          </c:tx>
          <c:spPr>
            <a:ln w="28575" cap="rnd">
              <a:solidFill>
                <a:schemeClr val="accent2"/>
              </a:solidFill>
              <a:round/>
            </a:ln>
            <a:effectLst/>
          </c:spPr>
          <c:marker>
            <c:symbol val="none"/>
          </c:marker>
          <c:val>
            <c:numRef>
              <c:f>'Demand Increase'!$AC$113:$AL$113</c:f>
              <c:numCache>
                <c:formatCode>General</c:formatCode>
                <c:ptCount val="10"/>
                <c:pt idx="0">
                  <c:v>4209.1332911301342</c:v>
                </c:pt>
                <c:pt idx="1">
                  <c:v>4341.6326651230656</c:v>
                </c:pt>
                <c:pt idx="2">
                  <c:v>3839.5003699581894</c:v>
                </c:pt>
                <c:pt idx="3">
                  <c:v>3482.1681496916935</c:v>
                </c:pt>
                <c:pt idx="4">
                  <c:v>4076.5870661565104</c:v>
                </c:pt>
                <c:pt idx="5">
                  <c:v>4167.5223420625962</c:v>
                </c:pt>
                <c:pt idx="6">
                  <c:v>4386.8901408577076</c:v>
                </c:pt>
                <c:pt idx="7">
                  <c:v>3546.497551202006</c:v>
                </c:pt>
                <c:pt idx="8">
                  <c:v>3770.1291415969008</c:v>
                </c:pt>
                <c:pt idx="9">
                  <c:v>3734.658813334921</c:v>
                </c:pt>
              </c:numCache>
            </c:numRef>
          </c:val>
          <c:smooth val="0"/>
          <c:extLst>
            <c:ext xmlns:c16="http://schemas.microsoft.com/office/drawing/2014/chart" uri="{C3380CC4-5D6E-409C-BE32-E72D297353CC}">
              <c16:uniqueId val="{00000001-4BA3-485D-888C-B9DA64229131}"/>
            </c:ext>
          </c:extLst>
        </c:ser>
        <c:ser>
          <c:idx val="2"/>
          <c:order val="2"/>
          <c:tx>
            <c:strRef>
              <c:f>'Demand Increase'!$AB$114</c:f>
              <c:strCache>
                <c:ptCount val="1"/>
                <c:pt idx="0">
                  <c:v>Conf. interval</c:v>
                </c:pt>
              </c:strCache>
            </c:strRef>
          </c:tx>
          <c:spPr>
            <a:ln w="28575" cap="rnd">
              <a:solidFill>
                <a:schemeClr val="accent3"/>
              </a:solidFill>
              <a:round/>
            </a:ln>
            <a:effectLst/>
          </c:spPr>
          <c:marker>
            <c:symbol val="none"/>
          </c:marker>
          <c:val>
            <c:numRef>
              <c:f>'Demand Increase'!$AC$114:$AL$114</c:f>
              <c:numCache>
                <c:formatCode>General</c:formatCode>
                <c:ptCount val="10"/>
                <c:pt idx="0">
                  <c:v>835.1833627747136</c:v>
                </c:pt>
                <c:pt idx="1">
                  <c:v>861.47411316984983</c:v>
                </c:pt>
                <c:pt idx="2">
                  <c:v>761.84017196933576</c:v>
                </c:pt>
                <c:pt idx="3">
                  <c:v>690.93770708925649</c:v>
                </c:pt>
                <c:pt idx="4">
                  <c:v>808.88331612856848</c:v>
                </c:pt>
                <c:pt idx="5">
                  <c:v>826.92684772357279</c:v>
                </c:pt>
                <c:pt idx="6">
                  <c:v>870.4541782237186</c:v>
                </c:pt>
                <c:pt idx="7">
                  <c:v>703.70205598547352</c:v>
                </c:pt>
                <c:pt idx="8">
                  <c:v>748.07541524265162</c:v>
                </c:pt>
                <c:pt idx="9">
                  <c:v>741.03733258107616</c:v>
                </c:pt>
              </c:numCache>
            </c:numRef>
          </c:val>
          <c:smooth val="0"/>
          <c:extLst>
            <c:ext xmlns:c16="http://schemas.microsoft.com/office/drawing/2014/chart" uri="{C3380CC4-5D6E-409C-BE32-E72D297353CC}">
              <c16:uniqueId val="{00000002-4BA3-485D-888C-B9DA64229131}"/>
            </c:ext>
          </c:extLst>
        </c:ser>
        <c:dLbls>
          <c:showLegendKey val="0"/>
          <c:showVal val="0"/>
          <c:showCatName val="0"/>
          <c:showSerName val="0"/>
          <c:showPercent val="0"/>
          <c:showBubbleSize val="0"/>
        </c:dLbls>
        <c:smooth val="0"/>
        <c:axId val="199208816"/>
        <c:axId val="199201616"/>
      </c:lineChart>
      <c:catAx>
        <c:axId val="199208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01616"/>
        <c:crosses val="autoZero"/>
        <c:auto val="1"/>
        <c:lblAlgn val="ctr"/>
        <c:lblOffset val="100"/>
        <c:noMultiLvlLbl val="0"/>
      </c:catAx>
      <c:valAx>
        <c:axId val="199201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08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chart" Target="../charts/chart6.xml"/><Relationship Id="rId7" Type="http://schemas.openxmlformats.org/officeDocument/2006/relationships/chart" Target="../charts/chart10.xml"/><Relationship Id="rId12" Type="http://schemas.openxmlformats.org/officeDocument/2006/relationships/chart" Target="../charts/chart15.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11" Type="http://schemas.openxmlformats.org/officeDocument/2006/relationships/chart" Target="../charts/chart14.xml"/><Relationship Id="rId5" Type="http://schemas.openxmlformats.org/officeDocument/2006/relationships/chart" Target="../charts/chart8.xml"/><Relationship Id="rId10" Type="http://schemas.openxmlformats.org/officeDocument/2006/relationships/chart" Target="../charts/chart13.xml"/><Relationship Id="rId4" Type="http://schemas.openxmlformats.org/officeDocument/2006/relationships/chart" Target="../charts/chart7.xml"/><Relationship Id="rId9"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25</xdr:col>
      <xdr:colOff>1203403</xdr:colOff>
      <xdr:row>120</xdr:row>
      <xdr:rowOff>13010</xdr:rowOff>
    </xdr:from>
    <xdr:to>
      <xdr:col>31</xdr:col>
      <xdr:colOff>413525</xdr:colOff>
      <xdr:row>134</xdr:row>
      <xdr:rowOff>24162</xdr:rowOff>
    </xdr:to>
    <xdr:graphicFrame macro="">
      <xdr:nvGraphicFramePr>
        <xdr:cNvPr id="3" name="Chart 2">
          <a:extLst>
            <a:ext uri="{FF2B5EF4-FFF2-40B4-BE49-F238E27FC236}">
              <a16:creationId xmlns:a16="http://schemas.microsoft.com/office/drawing/2014/main" id="{4E1E0BAE-D732-B0FC-1319-6024EE60F0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26</xdr:col>
      <xdr:colOff>1203403</xdr:colOff>
      <xdr:row>120</xdr:row>
      <xdr:rowOff>13010</xdr:rowOff>
    </xdr:from>
    <xdr:to>
      <xdr:col>32</xdr:col>
      <xdr:colOff>413525</xdr:colOff>
      <xdr:row>134</xdr:row>
      <xdr:rowOff>24162</xdr:rowOff>
    </xdr:to>
    <xdr:graphicFrame macro="">
      <xdr:nvGraphicFramePr>
        <xdr:cNvPr id="2" name="Chart 1">
          <a:extLst>
            <a:ext uri="{FF2B5EF4-FFF2-40B4-BE49-F238E27FC236}">
              <a16:creationId xmlns:a16="http://schemas.microsoft.com/office/drawing/2014/main" id="{59E838BF-2B86-45A9-858C-01FF34C03E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26</xdr:col>
      <xdr:colOff>1203403</xdr:colOff>
      <xdr:row>120</xdr:row>
      <xdr:rowOff>13010</xdr:rowOff>
    </xdr:from>
    <xdr:to>
      <xdr:col>32</xdr:col>
      <xdr:colOff>413525</xdr:colOff>
      <xdr:row>134</xdr:row>
      <xdr:rowOff>24162</xdr:rowOff>
    </xdr:to>
    <xdr:graphicFrame macro="">
      <xdr:nvGraphicFramePr>
        <xdr:cNvPr id="2" name="Chart 1">
          <a:extLst>
            <a:ext uri="{FF2B5EF4-FFF2-40B4-BE49-F238E27FC236}">
              <a16:creationId xmlns:a16="http://schemas.microsoft.com/office/drawing/2014/main" id="{18C191C3-84DD-4AE3-888E-4F3EA29940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594360</xdr:colOff>
      <xdr:row>24</xdr:row>
      <xdr:rowOff>106680</xdr:rowOff>
    </xdr:from>
    <xdr:to>
      <xdr:col>8</xdr:col>
      <xdr:colOff>571500</xdr:colOff>
      <xdr:row>40</xdr:row>
      <xdr:rowOff>91440</xdr:rowOff>
    </xdr:to>
    <xdr:graphicFrame macro="">
      <xdr:nvGraphicFramePr>
        <xdr:cNvPr id="2" name="Chart 1">
          <a:extLst>
            <a:ext uri="{FF2B5EF4-FFF2-40B4-BE49-F238E27FC236}">
              <a16:creationId xmlns:a16="http://schemas.microsoft.com/office/drawing/2014/main" id="{804703DF-33C8-42A4-AA18-96AAFD298F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182880</xdr:colOff>
      <xdr:row>24</xdr:row>
      <xdr:rowOff>83820</xdr:rowOff>
    </xdr:from>
    <xdr:to>
      <xdr:col>19</xdr:col>
      <xdr:colOff>640080</xdr:colOff>
      <xdr:row>40</xdr:row>
      <xdr:rowOff>91440</xdr:rowOff>
    </xdr:to>
    <xdr:graphicFrame macro="">
      <xdr:nvGraphicFramePr>
        <xdr:cNvPr id="3" name="Chart 2">
          <a:extLst>
            <a:ext uri="{FF2B5EF4-FFF2-40B4-BE49-F238E27FC236}">
              <a16:creationId xmlns:a16="http://schemas.microsoft.com/office/drawing/2014/main" id="{5B58D058-CA43-4050-A612-EB5FB645B3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601980</xdr:colOff>
      <xdr:row>40</xdr:row>
      <xdr:rowOff>160020</xdr:rowOff>
    </xdr:from>
    <xdr:to>
      <xdr:col>8</xdr:col>
      <xdr:colOff>548640</xdr:colOff>
      <xdr:row>56</xdr:row>
      <xdr:rowOff>160020</xdr:rowOff>
    </xdr:to>
    <xdr:graphicFrame macro="">
      <xdr:nvGraphicFramePr>
        <xdr:cNvPr id="4" name="Chart 3">
          <a:extLst>
            <a:ext uri="{FF2B5EF4-FFF2-40B4-BE49-F238E27FC236}">
              <a16:creationId xmlns:a16="http://schemas.microsoft.com/office/drawing/2014/main" id="{1E95E752-1DB5-46C6-B5F4-3A72BBFCF8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175260</xdr:colOff>
      <xdr:row>40</xdr:row>
      <xdr:rowOff>152400</xdr:rowOff>
    </xdr:from>
    <xdr:to>
      <xdr:col>20</xdr:col>
      <xdr:colOff>0</xdr:colOff>
      <xdr:row>56</xdr:row>
      <xdr:rowOff>144780</xdr:rowOff>
    </xdr:to>
    <xdr:graphicFrame macro="">
      <xdr:nvGraphicFramePr>
        <xdr:cNvPr id="5" name="Chart 4">
          <a:extLst>
            <a:ext uri="{FF2B5EF4-FFF2-40B4-BE49-F238E27FC236}">
              <a16:creationId xmlns:a16="http://schemas.microsoft.com/office/drawing/2014/main" id="{72A5634B-79BB-47B3-A8F1-9B6886ED08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58</xdr:row>
      <xdr:rowOff>0</xdr:rowOff>
    </xdr:from>
    <xdr:to>
      <xdr:col>8</xdr:col>
      <xdr:colOff>510540</xdr:colOff>
      <xdr:row>74</xdr:row>
      <xdr:rowOff>15240</xdr:rowOff>
    </xdr:to>
    <xdr:graphicFrame macro="">
      <xdr:nvGraphicFramePr>
        <xdr:cNvPr id="6" name="Chart 5">
          <a:extLst>
            <a:ext uri="{FF2B5EF4-FFF2-40B4-BE49-F238E27FC236}">
              <a16:creationId xmlns:a16="http://schemas.microsoft.com/office/drawing/2014/main" id="{3EE31BEA-D8A1-45DD-B9F9-1C905DA4D4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0</xdr:colOff>
      <xdr:row>58</xdr:row>
      <xdr:rowOff>0</xdr:rowOff>
    </xdr:from>
    <xdr:to>
      <xdr:col>19</xdr:col>
      <xdr:colOff>647700</xdr:colOff>
      <xdr:row>74</xdr:row>
      <xdr:rowOff>15240</xdr:rowOff>
    </xdr:to>
    <xdr:graphicFrame macro="">
      <xdr:nvGraphicFramePr>
        <xdr:cNvPr id="8" name="Chart 7">
          <a:extLst>
            <a:ext uri="{FF2B5EF4-FFF2-40B4-BE49-F238E27FC236}">
              <a16:creationId xmlns:a16="http://schemas.microsoft.com/office/drawing/2014/main" id="{0A4A527A-C3A9-4A2B-A78B-1F24F81A6A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0</xdr:colOff>
      <xdr:row>75</xdr:row>
      <xdr:rowOff>0</xdr:rowOff>
    </xdr:from>
    <xdr:to>
      <xdr:col>8</xdr:col>
      <xdr:colOff>510540</xdr:colOff>
      <xdr:row>90</xdr:row>
      <xdr:rowOff>7620</xdr:rowOff>
    </xdr:to>
    <xdr:graphicFrame macro="">
      <xdr:nvGraphicFramePr>
        <xdr:cNvPr id="9" name="Chart 8">
          <a:extLst>
            <a:ext uri="{FF2B5EF4-FFF2-40B4-BE49-F238E27FC236}">
              <a16:creationId xmlns:a16="http://schemas.microsoft.com/office/drawing/2014/main" id="{C63FFCF0-529E-43A5-A145-4E59BE891E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0</xdr:colOff>
      <xdr:row>75</xdr:row>
      <xdr:rowOff>0</xdr:rowOff>
    </xdr:from>
    <xdr:to>
      <xdr:col>19</xdr:col>
      <xdr:colOff>640080</xdr:colOff>
      <xdr:row>89</xdr:row>
      <xdr:rowOff>175260</xdr:rowOff>
    </xdr:to>
    <xdr:graphicFrame macro="">
      <xdr:nvGraphicFramePr>
        <xdr:cNvPr id="10" name="Chart 9">
          <a:extLst>
            <a:ext uri="{FF2B5EF4-FFF2-40B4-BE49-F238E27FC236}">
              <a16:creationId xmlns:a16="http://schemas.microsoft.com/office/drawing/2014/main" id="{42C8B8DA-4BB2-4BF6-833E-E3AAD8ECE0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358140</xdr:colOff>
      <xdr:row>93</xdr:row>
      <xdr:rowOff>68580</xdr:rowOff>
    </xdr:from>
    <xdr:to>
      <xdr:col>9</xdr:col>
      <xdr:colOff>373380</xdr:colOff>
      <xdr:row>112</xdr:row>
      <xdr:rowOff>114300</xdr:rowOff>
    </xdr:to>
    <xdr:graphicFrame macro="">
      <xdr:nvGraphicFramePr>
        <xdr:cNvPr id="7" name="Chart 6">
          <a:extLst>
            <a:ext uri="{FF2B5EF4-FFF2-40B4-BE49-F238E27FC236}">
              <a16:creationId xmlns:a16="http://schemas.microsoft.com/office/drawing/2014/main" id="{BE5636A4-F67F-41EF-A9BF-5645A9415B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640080</xdr:colOff>
      <xdr:row>93</xdr:row>
      <xdr:rowOff>106680</xdr:rowOff>
    </xdr:from>
    <xdr:to>
      <xdr:col>20</xdr:col>
      <xdr:colOff>281940</xdr:colOff>
      <xdr:row>112</xdr:row>
      <xdr:rowOff>114300</xdr:rowOff>
    </xdr:to>
    <xdr:graphicFrame macro="">
      <xdr:nvGraphicFramePr>
        <xdr:cNvPr id="11" name="Chart 10">
          <a:extLst>
            <a:ext uri="{FF2B5EF4-FFF2-40B4-BE49-F238E27FC236}">
              <a16:creationId xmlns:a16="http://schemas.microsoft.com/office/drawing/2014/main" id="{ACC5011A-4E4F-4DD0-A45A-8CDEE321B8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327660</xdr:colOff>
      <xdr:row>113</xdr:row>
      <xdr:rowOff>38100</xdr:rowOff>
    </xdr:from>
    <xdr:to>
      <xdr:col>9</xdr:col>
      <xdr:colOff>381000</xdr:colOff>
      <xdr:row>129</xdr:row>
      <xdr:rowOff>129540</xdr:rowOff>
    </xdr:to>
    <xdr:graphicFrame macro="">
      <xdr:nvGraphicFramePr>
        <xdr:cNvPr id="12" name="Chart 11">
          <a:extLst>
            <a:ext uri="{FF2B5EF4-FFF2-40B4-BE49-F238E27FC236}">
              <a16:creationId xmlns:a16="http://schemas.microsoft.com/office/drawing/2014/main" id="{B0C3DD0E-6F0C-4587-9F9B-5D2D1524B2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617220</xdr:colOff>
      <xdr:row>113</xdr:row>
      <xdr:rowOff>30480</xdr:rowOff>
    </xdr:from>
    <xdr:to>
      <xdr:col>20</xdr:col>
      <xdr:colOff>167640</xdr:colOff>
      <xdr:row>129</xdr:row>
      <xdr:rowOff>121920</xdr:rowOff>
    </xdr:to>
    <xdr:graphicFrame macro="">
      <xdr:nvGraphicFramePr>
        <xdr:cNvPr id="13" name="Chart 12">
          <a:extLst>
            <a:ext uri="{FF2B5EF4-FFF2-40B4-BE49-F238E27FC236}">
              <a16:creationId xmlns:a16="http://schemas.microsoft.com/office/drawing/2014/main" id="{159E1922-4644-4D27-84AF-54D9B4B6F4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217"/>
  <sheetViews>
    <sheetView tabSelected="1" zoomScale="82" zoomScaleNormal="82" workbookViewId="0">
      <selection activeCell="J12" sqref="J12"/>
    </sheetView>
  </sheetViews>
  <sheetFormatPr defaultRowHeight="15.6" x14ac:dyDescent="0.3"/>
  <cols>
    <col min="1" max="1" width="16.69921875" customWidth="1"/>
    <col min="2" max="2" width="12.69921875" customWidth="1"/>
    <col min="3" max="3" width="15.5" customWidth="1"/>
    <col min="4" max="4" width="12.796875" customWidth="1"/>
    <col min="5" max="5" width="10" customWidth="1"/>
    <col min="11" max="11" width="12" style="7" customWidth="1"/>
    <col min="12" max="13" width="14.5" style="7" customWidth="1"/>
    <col min="14" max="14" width="14.09765625" style="7" customWidth="1"/>
    <col min="15" max="15" width="12.5" style="7" customWidth="1"/>
    <col min="16" max="16" width="11.69921875" style="7" customWidth="1"/>
    <col min="17" max="17" width="14.69921875" style="7" customWidth="1"/>
    <col min="18" max="18" width="12.5" style="7" customWidth="1"/>
    <col min="19" max="19" width="11.796875" style="7" customWidth="1"/>
    <col min="20" max="20" width="11.296875" style="7" customWidth="1"/>
    <col min="21" max="21" width="14.59765625" style="7" customWidth="1"/>
    <col min="22" max="22" width="20.09765625" style="7" customWidth="1"/>
    <col min="23" max="23" width="29.69921875" style="7" customWidth="1"/>
    <col min="24" max="24" width="13.59765625" style="7" customWidth="1"/>
    <col min="25" max="25" width="2.59765625" style="7" customWidth="1"/>
    <col min="26" max="26" width="15.796875" style="7" customWidth="1"/>
    <col min="27" max="27" width="17.19921875" style="7" customWidth="1"/>
    <col min="28" max="28" width="10.296875" style="7" customWidth="1"/>
    <col min="29" max="37" width="9" style="7" customWidth="1"/>
  </cols>
  <sheetData>
    <row r="1" spans="1:37" ht="23.4" thickBot="1" x14ac:dyDescent="0.45">
      <c r="A1" s="5" t="s">
        <v>36</v>
      </c>
      <c r="B1" s="5"/>
      <c r="C1" s="5"/>
      <c r="D1" s="5"/>
      <c r="E1" s="5"/>
      <c r="F1" s="6"/>
      <c r="G1" s="6"/>
      <c r="H1" s="6"/>
      <c r="I1" s="8"/>
      <c r="K1" s="34" t="s">
        <v>21</v>
      </c>
      <c r="L1" s="57" t="s">
        <v>22</v>
      </c>
      <c r="M1" s="58">
        <v>125</v>
      </c>
      <c r="N1" s="59" t="s">
        <v>48</v>
      </c>
    </row>
    <row r="2" spans="1:37" ht="16.2" thickBot="1" x14ac:dyDescent="0.35">
      <c r="A2" s="27"/>
      <c r="B2" s="27"/>
      <c r="C2" s="27"/>
      <c r="D2" s="27"/>
      <c r="E2" s="27"/>
      <c r="F2" s="27"/>
      <c r="G2" s="27"/>
      <c r="H2" s="27"/>
      <c r="I2" s="28"/>
      <c r="L2" s="60" t="s">
        <v>39</v>
      </c>
      <c r="M2" s="35">
        <f>M1*B13</f>
        <v>500000</v>
      </c>
      <c r="N2" s="36"/>
      <c r="O2" s="9"/>
      <c r="Q2" s="9"/>
      <c r="U2"/>
      <c r="V2"/>
      <c r="W2"/>
      <c r="X2"/>
      <c r="Y2"/>
      <c r="Z2"/>
    </row>
    <row r="3" spans="1:37" ht="16.2" thickBot="1" x14ac:dyDescent="0.35">
      <c r="A3" s="27"/>
      <c r="B3" s="27"/>
      <c r="C3" s="27"/>
      <c r="D3" s="29" t="s">
        <v>46</v>
      </c>
      <c r="E3" s="27"/>
      <c r="F3" s="27"/>
      <c r="G3" s="27"/>
      <c r="H3" s="27"/>
      <c r="I3" s="28"/>
      <c r="U3"/>
      <c r="V3"/>
      <c r="W3"/>
      <c r="X3"/>
      <c r="Y3"/>
      <c r="Z3"/>
      <c r="AA3" s="22"/>
    </row>
    <row r="4" spans="1:37" ht="63" thickBot="1" x14ac:dyDescent="0.35">
      <c r="A4" s="52" t="s">
        <v>4</v>
      </c>
      <c r="B4" s="30" t="s">
        <v>0</v>
      </c>
      <c r="C4" s="52" t="s">
        <v>5</v>
      </c>
      <c r="D4" s="52" t="s">
        <v>6</v>
      </c>
      <c r="E4" s="53" t="s">
        <v>7</v>
      </c>
      <c r="F4" s="27"/>
      <c r="G4" s="27"/>
      <c r="H4" s="27"/>
      <c r="I4" s="28"/>
      <c r="K4" s="12" t="s">
        <v>31</v>
      </c>
      <c r="L4" s="37" t="s">
        <v>23</v>
      </c>
      <c r="M4" s="37" t="s">
        <v>40</v>
      </c>
      <c r="N4" s="37" t="s">
        <v>32</v>
      </c>
      <c r="O4" s="37" t="s">
        <v>33</v>
      </c>
      <c r="P4" s="37" t="s">
        <v>37</v>
      </c>
      <c r="Q4" s="37" t="s">
        <v>41</v>
      </c>
      <c r="R4" s="37" t="s">
        <v>42</v>
      </c>
      <c r="S4" s="37" t="s">
        <v>44</v>
      </c>
      <c r="T4" s="37" t="s">
        <v>43</v>
      </c>
      <c r="U4" s="37" t="s">
        <v>45</v>
      </c>
      <c r="V4" s="37" t="s">
        <v>38</v>
      </c>
      <c r="AA4" s="55" t="s">
        <v>24</v>
      </c>
      <c r="AB4" s="83" t="s">
        <v>25</v>
      </c>
      <c r="AC4" s="84"/>
      <c r="AD4" s="84"/>
      <c r="AE4" s="84"/>
      <c r="AF4" s="84"/>
      <c r="AG4" s="84"/>
      <c r="AH4" s="84"/>
      <c r="AI4" s="84"/>
      <c r="AJ4" s="84"/>
      <c r="AK4" s="85"/>
    </row>
    <row r="5" spans="1:37" ht="21.6" thickBot="1" x14ac:dyDescent="0.45">
      <c r="A5" s="31">
        <v>140</v>
      </c>
      <c r="B5" s="31">
        <v>0.3</v>
      </c>
      <c r="C5" s="31">
        <v>0</v>
      </c>
      <c r="D5" s="31">
        <v>0.3</v>
      </c>
      <c r="E5" s="31">
        <f>A5</f>
        <v>140</v>
      </c>
      <c r="F5" s="27"/>
      <c r="G5" s="27"/>
      <c r="H5" s="27"/>
      <c r="I5" s="28"/>
      <c r="K5" s="38">
        <v>1</v>
      </c>
      <c r="L5" s="39">
        <f ca="1">RAND()</f>
        <v>0.35160060548738648</v>
      </c>
      <c r="M5" s="39">
        <f ca="1">VLOOKUP(L5,$C$5:$E$9,3,TRUE)</f>
        <v>160</v>
      </c>
      <c r="N5" s="39">
        <f ca="1">RAND()</f>
        <v>0.51192137270253635</v>
      </c>
      <c r="O5" s="39">
        <f ca="1">RAND()</f>
        <v>0.57299768973557108</v>
      </c>
      <c r="P5" s="67">
        <f ca="1">$E$11+($E$12-$E$11)/2*(N5+O5)</f>
        <v>0.30849190624381073</v>
      </c>
      <c r="Q5" s="56">
        <f ca="1">M5-(M5*P5)</f>
        <v>110.64129500099028</v>
      </c>
      <c r="R5" s="56">
        <f ca="1">ROUNDUP(Q5,0)</f>
        <v>111</v>
      </c>
      <c r="S5" s="56">
        <f ca="1">MIN(R5,$M$1)</f>
        <v>111</v>
      </c>
      <c r="T5" s="39">
        <f ca="1">S5*$B$14</f>
        <v>610500</v>
      </c>
      <c r="U5" s="61">
        <f ca="1">($M$1-S5)*$B$15</f>
        <v>28000</v>
      </c>
      <c r="V5" s="62">
        <f ca="1">U5+T5-$M$2</f>
        <v>138500</v>
      </c>
      <c r="AA5" s="66">
        <f ca="1">C21</f>
        <v>154075</v>
      </c>
      <c r="AB5" s="10">
        <v>80</v>
      </c>
      <c r="AC5" s="13">
        <v>90</v>
      </c>
      <c r="AD5" s="13">
        <v>100</v>
      </c>
      <c r="AE5" s="13">
        <v>110</v>
      </c>
      <c r="AF5" s="13">
        <v>120</v>
      </c>
      <c r="AG5" s="13">
        <v>130</v>
      </c>
      <c r="AH5" s="13">
        <v>140</v>
      </c>
      <c r="AI5" s="13">
        <v>150</v>
      </c>
      <c r="AJ5" s="13">
        <v>160</v>
      </c>
      <c r="AK5" s="13">
        <v>170</v>
      </c>
    </row>
    <row r="6" spans="1:37" ht="16.2" thickBot="1" x14ac:dyDescent="0.35">
      <c r="A6" s="31">
        <v>160</v>
      </c>
      <c r="B6" s="31">
        <v>0.2</v>
      </c>
      <c r="C6" s="31">
        <v>0.3</v>
      </c>
      <c r="D6" s="31">
        <v>0.5</v>
      </c>
      <c r="E6" s="31">
        <f t="shared" ref="E6:E9" si="0">A6</f>
        <v>160</v>
      </c>
      <c r="F6" s="27"/>
      <c r="G6" s="27"/>
      <c r="H6" s="27"/>
      <c r="I6" s="28"/>
      <c r="K6" s="40">
        <v>2</v>
      </c>
      <c r="L6" s="39">
        <f t="shared" ref="L6:L69" ca="1" si="1">RAND()</f>
        <v>0.66628752388344337</v>
      </c>
      <c r="M6" s="39">
        <f t="shared" ref="M6:M69" ca="1" si="2">VLOOKUP(L6,$C$5:$E$9,3,TRUE)</f>
        <v>200</v>
      </c>
      <c r="N6" s="39">
        <f t="shared" ref="N6:O69" ca="1" si="3">RAND()</f>
        <v>0.20691402134586234</v>
      </c>
      <c r="O6" s="39">
        <f t="shared" ca="1" si="3"/>
        <v>0.25388743309413375</v>
      </c>
      <c r="P6" s="67">
        <f t="shared" ref="P6:P69" ca="1" si="4">$E$11+($E$12-$E$11)/2*(N6+O6)</f>
        <v>0.24608014544399961</v>
      </c>
      <c r="Q6" s="56">
        <f t="shared" ref="Q6:Q69" ca="1" si="5">M6-(M6*P6)</f>
        <v>150.78397091120007</v>
      </c>
      <c r="R6" s="56">
        <f t="shared" ref="R6:R69" ca="1" si="6">ROUNDUP(Q6,0)</f>
        <v>151</v>
      </c>
      <c r="S6" s="56">
        <f t="shared" ref="S6:S69" ca="1" si="7">MIN(R6,$M$1)</f>
        <v>125</v>
      </c>
      <c r="T6" s="39">
        <f t="shared" ref="T6:T69" ca="1" si="8">S6*$B$14</f>
        <v>687500</v>
      </c>
      <c r="U6" s="61">
        <f t="shared" ref="U6:U69" ca="1" si="9">($M$1-S6)*$B$15</f>
        <v>0</v>
      </c>
      <c r="V6" s="62">
        <f t="shared" ref="V6:V69" ca="1" si="10">U6+T6-$M$2</f>
        <v>187500</v>
      </c>
      <c r="AA6" s="11">
        <v>1</v>
      </c>
      <c r="AB6">
        <f t="dataTable" ref="AB6:AK105" dt2D="1" dtr="1" r1="M1" r2="X8" ca="1"/>
        <v>120000</v>
      </c>
      <c r="AC6">
        <v>134930</v>
      </c>
      <c r="AD6">
        <v>146815</v>
      </c>
      <c r="AE6">
        <v>152767.5</v>
      </c>
      <c r="AF6">
        <v>147537.5</v>
      </c>
      <c r="AG6">
        <v>148450</v>
      </c>
      <c r="AH6">
        <v>141890</v>
      </c>
      <c r="AI6">
        <v>116552.5</v>
      </c>
      <c r="AJ6">
        <v>103990</v>
      </c>
      <c r="AK6">
        <v>84742.5</v>
      </c>
    </row>
    <row r="7" spans="1:37" ht="16.2" thickBot="1" x14ac:dyDescent="0.35">
      <c r="A7" s="31">
        <v>180</v>
      </c>
      <c r="B7" s="31">
        <v>0.15</v>
      </c>
      <c r="C7" s="31">
        <v>0.5</v>
      </c>
      <c r="D7" s="31">
        <v>0.65</v>
      </c>
      <c r="E7" s="31">
        <f t="shared" si="0"/>
        <v>180</v>
      </c>
      <c r="F7" s="27"/>
      <c r="G7" s="27"/>
      <c r="H7" s="27"/>
      <c r="I7" s="28"/>
      <c r="K7" s="40">
        <v>3</v>
      </c>
      <c r="L7" s="39">
        <f t="shared" ca="1" si="1"/>
        <v>0.89060743483023352</v>
      </c>
      <c r="M7" s="39">
        <f t="shared" ca="1" si="2"/>
        <v>200</v>
      </c>
      <c r="N7" s="39">
        <f t="shared" ca="1" si="3"/>
        <v>0.61246862201848906</v>
      </c>
      <c r="O7" s="39">
        <f t="shared" ca="1" si="3"/>
        <v>0.95854542347649685</v>
      </c>
      <c r="P7" s="67">
        <f t="shared" ca="1" si="4"/>
        <v>0.35710140454949862</v>
      </c>
      <c r="Q7" s="56">
        <f t="shared" ca="1" si="5"/>
        <v>128.57971909010027</v>
      </c>
      <c r="R7" s="56">
        <f t="shared" ca="1" si="6"/>
        <v>129</v>
      </c>
      <c r="S7" s="56">
        <f t="shared" ca="1" si="7"/>
        <v>125</v>
      </c>
      <c r="T7" s="39">
        <f t="shared" ca="1" si="8"/>
        <v>687500</v>
      </c>
      <c r="U7" s="61">
        <f t="shared" ca="1" si="9"/>
        <v>0</v>
      </c>
      <c r="V7" s="62">
        <f t="shared" ca="1" si="10"/>
        <v>187500</v>
      </c>
      <c r="W7" s="14"/>
      <c r="AA7" s="11">
        <v>2</v>
      </c>
      <c r="AB7">
        <v>120000</v>
      </c>
      <c r="AC7">
        <v>134912.5</v>
      </c>
      <c r="AD7">
        <v>145870</v>
      </c>
      <c r="AE7">
        <v>149442.5</v>
      </c>
      <c r="AF7">
        <v>152367.5</v>
      </c>
      <c r="AG7">
        <v>147680</v>
      </c>
      <c r="AH7">
        <v>143780</v>
      </c>
      <c r="AI7">
        <v>122887.5</v>
      </c>
      <c r="AJ7">
        <v>109467.5</v>
      </c>
      <c r="AK7">
        <v>84217.5</v>
      </c>
    </row>
    <row r="8" spans="1:37" ht="16.2" thickBot="1" x14ac:dyDescent="0.35">
      <c r="A8" s="31">
        <v>200</v>
      </c>
      <c r="B8" s="31">
        <v>0.25</v>
      </c>
      <c r="C8" s="31">
        <v>0.65</v>
      </c>
      <c r="D8" s="31">
        <v>0.9</v>
      </c>
      <c r="E8" s="31">
        <f t="shared" si="0"/>
        <v>200</v>
      </c>
      <c r="F8" s="27"/>
      <c r="G8" s="27"/>
      <c r="H8" s="27"/>
      <c r="I8" s="28"/>
      <c r="K8" s="40">
        <v>4</v>
      </c>
      <c r="L8" s="39">
        <f t="shared" ca="1" si="1"/>
        <v>6.5438641737178282E-2</v>
      </c>
      <c r="M8" s="39">
        <f t="shared" ca="1" si="2"/>
        <v>140</v>
      </c>
      <c r="N8" s="39">
        <f t="shared" ca="1" si="3"/>
        <v>0.79744418894191871</v>
      </c>
      <c r="O8" s="39">
        <f t="shared" ca="1" si="3"/>
        <v>0.18464231217634464</v>
      </c>
      <c r="P8" s="67">
        <f t="shared" ca="1" si="4"/>
        <v>0.29820865011182635</v>
      </c>
      <c r="Q8" s="56">
        <f t="shared" ca="1" si="5"/>
        <v>98.250788984344311</v>
      </c>
      <c r="R8" s="56">
        <f t="shared" ca="1" si="6"/>
        <v>99</v>
      </c>
      <c r="S8" s="56">
        <f t="shared" ca="1" si="7"/>
        <v>99</v>
      </c>
      <c r="T8" s="39">
        <f t="shared" ca="1" si="8"/>
        <v>544500</v>
      </c>
      <c r="U8" s="61">
        <f t="shared" ca="1" si="9"/>
        <v>52000</v>
      </c>
      <c r="V8" s="62">
        <f t="shared" ca="1" si="10"/>
        <v>96500</v>
      </c>
      <c r="W8" s="14"/>
      <c r="AA8" s="11">
        <v>3</v>
      </c>
      <c r="AB8">
        <v>120000</v>
      </c>
      <c r="AC8">
        <v>134825</v>
      </c>
      <c r="AD8">
        <v>146692.5</v>
      </c>
      <c r="AE8">
        <v>148987.5</v>
      </c>
      <c r="AF8">
        <v>159315</v>
      </c>
      <c r="AG8">
        <v>147872.5</v>
      </c>
      <c r="AH8">
        <v>145425</v>
      </c>
      <c r="AI8">
        <v>122940</v>
      </c>
      <c r="AJ8">
        <v>114787.5</v>
      </c>
      <c r="AK8">
        <v>87332.5</v>
      </c>
    </row>
    <row r="9" spans="1:37" ht="16.2" thickBot="1" x14ac:dyDescent="0.35">
      <c r="A9" s="31">
        <v>220</v>
      </c>
      <c r="B9" s="31">
        <v>0.1</v>
      </c>
      <c r="C9" s="31">
        <v>0.9</v>
      </c>
      <c r="D9" s="31">
        <v>1</v>
      </c>
      <c r="E9" s="31">
        <f t="shared" si="0"/>
        <v>220</v>
      </c>
      <c r="F9" s="27"/>
      <c r="G9" s="27"/>
      <c r="H9" s="27"/>
      <c r="I9" s="28"/>
      <c r="K9" s="40">
        <v>5</v>
      </c>
      <c r="L9" s="39">
        <f t="shared" ca="1" si="1"/>
        <v>0.65734926352988332</v>
      </c>
      <c r="M9" s="39">
        <f t="shared" ca="1" si="2"/>
        <v>200</v>
      </c>
      <c r="N9" s="39">
        <f t="shared" ca="1" si="3"/>
        <v>0.71512770356558475</v>
      </c>
      <c r="O9" s="39">
        <f t="shared" ca="1" si="3"/>
        <v>0.81593897242222213</v>
      </c>
      <c r="P9" s="67">
        <f t="shared" ca="1" si="4"/>
        <v>0.35310666759878073</v>
      </c>
      <c r="Q9" s="56">
        <f t="shared" ca="1" si="5"/>
        <v>129.37866648024385</v>
      </c>
      <c r="R9" s="56">
        <f t="shared" ca="1" si="6"/>
        <v>130</v>
      </c>
      <c r="S9" s="56">
        <f t="shared" ca="1" si="7"/>
        <v>125</v>
      </c>
      <c r="T9" s="39">
        <f t="shared" ca="1" si="8"/>
        <v>687500</v>
      </c>
      <c r="U9" s="61">
        <f t="shared" ca="1" si="9"/>
        <v>0</v>
      </c>
      <c r="V9" s="62">
        <f t="shared" ca="1" si="10"/>
        <v>187500</v>
      </c>
      <c r="W9" s="14"/>
      <c r="AA9" s="11">
        <v>4</v>
      </c>
      <c r="AB9">
        <v>120000</v>
      </c>
      <c r="AC9">
        <v>134877.5</v>
      </c>
      <c r="AD9">
        <v>146272.5</v>
      </c>
      <c r="AE9">
        <v>151857.5</v>
      </c>
      <c r="AF9">
        <v>150880</v>
      </c>
      <c r="AG9">
        <v>150060</v>
      </c>
      <c r="AH9">
        <v>134295</v>
      </c>
      <c r="AI9">
        <v>117847.5</v>
      </c>
      <c r="AJ9">
        <v>104357.5</v>
      </c>
      <c r="AK9">
        <v>77865</v>
      </c>
    </row>
    <row r="10" spans="1:37" x14ac:dyDescent="0.3">
      <c r="A10" s="27"/>
      <c r="B10" s="27"/>
      <c r="C10" s="27"/>
      <c r="D10" s="27"/>
      <c r="E10" s="27"/>
      <c r="F10" s="27"/>
      <c r="G10" s="27"/>
      <c r="H10" s="27"/>
      <c r="I10" s="28"/>
      <c r="K10" s="40">
        <v>6</v>
      </c>
      <c r="L10" s="39">
        <f t="shared" ca="1" si="1"/>
        <v>0.62307679740950528</v>
      </c>
      <c r="M10" s="39">
        <f t="shared" ca="1" si="2"/>
        <v>180</v>
      </c>
      <c r="N10" s="39">
        <f t="shared" ca="1" si="3"/>
        <v>0.87499571812014876</v>
      </c>
      <c r="O10" s="39">
        <f t="shared" ca="1" si="3"/>
        <v>0.22526536734282165</v>
      </c>
      <c r="P10" s="67">
        <f t="shared" ca="1" si="4"/>
        <v>0.31002610854629709</v>
      </c>
      <c r="Q10" s="56">
        <f t="shared" ca="1" si="5"/>
        <v>124.19530046166653</v>
      </c>
      <c r="R10" s="56">
        <f t="shared" ca="1" si="6"/>
        <v>125</v>
      </c>
      <c r="S10" s="56">
        <f t="shared" ca="1" si="7"/>
        <v>125</v>
      </c>
      <c r="T10" s="39">
        <f t="shared" ca="1" si="8"/>
        <v>687500</v>
      </c>
      <c r="U10" s="61">
        <f t="shared" ca="1" si="9"/>
        <v>0</v>
      </c>
      <c r="V10" s="62">
        <f t="shared" ca="1" si="10"/>
        <v>187500</v>
      </c>
      <c r="W10" s="14"/>
      <c r="AA10" s="11">
        <v>5</v>
      </c>
      <c r="AB10">
        <v>120000</v>
      </c>
      <c r="AC10">
        <v>134842.5</v>
      </c>
      <c r="AD10">
        <v>146132.5</v>
      </c>
      <c r="AE10">
        <v>149845</v>
      </c>
      <c r="AF10">
        <v>150005</v>
      </c>
      <c r="AG10">
        <v>145597.5</v>
      </c>
      <c r="AH10">
        <v>141767.5</v>
      </c>
      <c r="AI10">
        <v>117147.5</v>
      </c>
      <c r="AJ10">
        <v>100945</v>
      </c>
      <c r="AK10">
        <v>75380</v>
      </c>
    </row>
    <row r="11" spans="1:37" x14ac:dyDescent="0.3">
      <c r="A11" s="54" t="s">
        <v>37</v>
      </c>
      <c r="B11" s="54" t="s">
        <v>47</v>
      </c>
      <c r="C11" s="29"/>
      <c r="D11" s="32" t="s">
        <v>2</v>
      </c>
      <c r="E11" s="33">
        <v>0.2</v>
      </c>
      <c r="F11" s="29" t="s">
        <v>8</v>
      </c>
      <c r="G11" s="27"/>
      <c r="H11" s="29"/>
      <c r="I11" s="29"/>
      <c r="K11" s="40">
        <v>7</v>
      </c>
      <c r="L11" s="39">
        <f t="shared" ca="1" si="1"/>
        <v>0.85779668537341935</v>
      </c>
      <c r="M11" s="39">
        <f t="shared" ca="1" si="2"/>
        <v>200</v>
      </c>
      <c r="N11" s="39">
        <f t="shared" ca="1" si="3"/>
        <v>7.9271921416310565E-2</v>
      </c>
      <c r="O11" s="39">
        <f t="shared" ca="1" si="3"/>
        <v>0.43438137734331539</v>
      </c>
      <c r="P11" s="67">
        <f t="shared" ca="1" si="4"/>
        <v>0.25136532987596261</v>
      </c>
      <c r="Q11" s="56">
        <f t="shared" ca="1" si="5"/>
        <v>149.72693402480746</v>
      </c>
      <c r="R11" s="56">
        <f t="shared" ca="1" si="6"/>
        <v>150</v>
      </c>
      <c r="S11" s="56">
        <f t="shared" ca="1" si="7"/>
        <v>125</v>
      </c>
      <c r="T11" s="39">
        <f t="shared" ca="1" si="8"/>
        <v>687500</v>
      </c>
      <c r="U11" s="61">
        <f t="shared" ca="1" si="9"/>
        <v>0</v>
      </c>
      <c r="V11" s="62">
        <f t="shared" ca="1" si="10"/>
        <v>187500</v>
      </c>
      <c r="W11" s="14"/>
      <c r="AA11" s="11">
        <v>6</v>
      </c>
      <c r="AB11">
        <v>120000</v>
      </c>
      <c r="AC11">
        <v>134755</v>
      </c>
      <c r="AD11">
        <v>147112.5</v>
      </c>
      <c r="AE11">
        <v>153100</v>
      </c>
      <c r="AF11">
        <v>150057.5</v>
      </c>
      <c r="AG11">
        <v>148695</v>
      </c>
      <c r="AH11">
        <v>143342.5</v>
      </c>
      <c r="AI11">
        <v>127840</v>
      </c>
      <c r="AJ11">
        <v>103097.5</v>
      </c>
      <c r="AK11">
        <v>86422.5</v>
      </c>
    </row>
    <row r="12" spans="1:37" x14ac:dyDescent="0.3">
      <c r="A12" s="29"/>
      <c r="B12" s="29"/>
      <c r="C12" s="29"/>
      <c r="D12" s="32" t="s">
        <v>3</v>
      </c>
      <c r="E12" s="33">
        <v>0.4</v>
      </c>
      <c r="F12" s="29"/>
      <c r="G12" s="29"/>
      <c r="H12" s="29"/>
      <c r="I12" s="29"/>
      <c r="K12" s="40">
        <v>8</v>
      </c>
      <c r="L12" s="39">
        <f t="shared" ca="1" si="1"/>
        <v>0.91943017281415307</v>
      </c>
      <c r="M12" s="39">
        <f t="shared" ca="1" si="2"/>
        <v>220</v>
      </c>
      <c r="N12" s="39">
        <f t="shared" ca="1" si="3"/>
        <v>0.89891610355417406</v>
      </c>
      <c r="O12" s="39">
        <f t="shared" ca="1" si="3"/>
        <v>0.55771660833635595</v>
      </c>
      <c r="P12" s="67">
        <f t="shared" ca="1" si="4"/>
        <v>0.34566327118905305</v>
      </c>
      <c r="Q12" s="56">
        <f t="shared" ca="1" si="5"/>
        <v>143.95408033840835</v>
      </c>
      <c r="R12" s="56">
        <f t="shared" ca="1" si="6"/>
        <v>144</v>
      </c>
      <c r="S12" s="56">
        <f t="shared" ca="1" si="7"/>
        <v>125</v>
      </c>
      <c r="T12" s="39">
        <f t="shared" ca="1" si="8"/>
        <v>687500</v>
      </c>
      <c r="U12" s="61">
        <f t="shared" ca="1" si="9"/>
        <v>0</v>
      </c>
      <c r="V12" s="62">
        <f t="shared" ca="1" si="10"/>
        <v>187500</v>
      </c>
      <c r="W12" s="14"/>
      <c r="AA12" s="11">
        <v>7</v>
      </c>
      <c r="AB12">
        <v>120000</v>
      </c>
      <c r="AC12">
        <v>134895</v>
      </c>
      <c r="AD12">
        <v>146430</v>
      </c>
      <c r="AE12">
        <v>151000</v>
      </c>
      <c r="AF12">
        <v>153645</v>
      </c>
      <c r="AG12">
        <v>145965</v>
      </c>
      <c r="AH12">
        <v>138967.5</v>
      </c>
      <c r="AI12">
        <v>120945</v>
      </c>
      <c r="AJ12">
        <v>106930</v>
      </c>
      <c r="AK12">
        <v>101175</v>
      </c>
    </row>
    <row r="13" spans="1:37" x14ac:dyDescent="0.3">
      <c r="A13" s="29" t="s">
        <v>9</v>
      </c>
      <c r="B13" s="29">
        <v>4000</v>
      </c>
      <c r="C13" s="29" t="s">
        <v>1</v>
      </c>
      <c r="D13" s="27"/>
      <c r="E13" s="27"/>
      <c r="F13" s="29"/>
      <c r="G13" s="29"/>
      <c r="H13" s="29"/>
      <c r="I13" s="29"/>
      <c r="K13" s="40">
        <v>9</v>
      </c>
      <c r="L13" s="39">
        <f t="shared" ca="1" si="1"/>
        <v>0.30169115783563194</v>
      </c>
      <c r="M13" s="39">
        <f t="shared" ca="1" si="2"/>
        <v>160</v>
      </c>
      <c r="N13" s="39">
        <f t="shared" ca="1" si="3"/>
        <v>0.74577081952569613</v>
      </c>
      <c r="O13" s="39">
        <f t="shared" ca="1" si="3"/>
        <v>0.94140209785779172</v>
      </c>
      <c r="P13" s="67">
        <f t="shared" ca="1" si="4"/>
        <v>0.36871729173834877</v>
      </c>
      <c r="Q13" s="56">
        <f t="shared" ca="1" si="5"/>
        <v>101.0052333218642</v>
      </c>
      <c r="R13" s="56">
        <f t="shared" ca="1" si="6"/>
        <v>102</v>
      </c>
      <c r="S13" s="56">
        <f t="shared" ca="1" si="7"/>
        <v>102</v>
      </c>
      <c r="T13" s="39">
        <f t="shared" ca="1" si="8"/>
        <v>561000</v>
      </c>
      <c r="U13" s="61">
        <f t="shared" ca="1" si="9"/>
        <v>46000</v>
      </c>
      <c r="V13" s="62">
        <f t="shared" ca="1" si="10"/>
        <v>107000</v>
      </c>
      <c r="W13" s="14"/>
      <c r="AA13" s="11">
        <v>8</v>
      </c>
      <c r="AB13">
        <v>120000</v>
      </c>
      <c r="AC13">
        <v>134632.5</v>
      </c>
      <c r="AD13">
        <v>146815</v>
      </c>
      <c r="AE13">
        <v>150300</v>
      </c>
      <c r="AF13">
        <v>155010</v>
      </c>
      <c r="AG13">
        <v>140732.5</v>
      </c>
      <c r="AH13">
        <v>143115</v>
      </c>
      <c r="AI13">
        <v>130080</v>
      </c>
      <c r="AJ13">
        <v>104497.5</v>
      </c>
      <c r="AK13">
        <v>83780</v>
      </c>
    </row>
    <row r="14" spans="1:37" x14ac:dyDescent="0.3">
      <c r="A14" s="29" t="s">
        <v>10</v>
      </c>
      <c r="B14" s="29">
        <v>5500</v>
      </c>
      <c r="C14" s="29" t="s">
        <v>1</v>
      </c>
      <c r="D14" s="27"/>
      <c r="E14" s="27"/>
      <c r="F14" s="27"/>
      <c r="G14" s="27"/>
      <c r="H14" s="27"/>
      <c r="I14" s="28"/>
      <c r="K14" s="40">
        <v>10</v>
      </c>
      <c r="L14" s="39">
        <f t="shared" ca="1" si="1"/>
        <v>0.57883062059597623</v>
      </c>
      <c r="M14" s="39">
        <f t="shared" ca="1" si="2"/>
        <v>180</v>
      </c>
      <c r="N14" s="39">
        <f t="shared" ca="1" si="3"/>
        <v>7.8177147037496342E-2</v>
      </c>
      <c r="O14" s="39">
        <f t="shared" ca="1" si="3"/>
        <v>0.14511447842899072</v>
      </c>
      <c r="P14" s="67">
        <f t="shared" ca="1" si="4"/>
        <v>0.22232916254664872</v>
      </c>
      <c r="Q14" s="56">
        <f t="shared" ca="1" si="5"/>
        <v>139.98075074160323</v>
      </c>
      <c r="R14" s="56">
        <f t="shared" ca="1" si="6"/>
        <v>140</v>
      </c>
      <c r="S14" s="56">
        <f t="shared" ca="1" si="7"/>
        <v>125</v>
      </c>
      <c r="T14" s="39">
        <f t="shared" ca="1" si="8"/>
        <v>687500</v>
      </c>
      <c r="U14" s="61">
        <f t="shared" ca="1" si="9"/>
        <v>0</v>
      </c>
      <c r="V14" s="62">
        <f t="shared" ca="1" si="10"/>
        <v>187500</v>
      </c>
      <c r="W14" s="14"/>
      <c r="AA14" s="11">
        <v>9</v>
      </c>
      <c r="AB14">
        <v>120000</v>
      </c>
      <c r="AC14">
        <v>134982.5</v>
      </c>
      <c r="AD14">
        <v>146062.5</v>
      </c>
      <c r="AE14">
        <v>151192.5</v>
      </c>
      <c r="AF14">
        <v>151492.5</v>
      </c>
      <c r="AG14">
        <v>147610</v>
      </c>
      <c r="AH14">
        <v>142415</v>
      </c>
      <c r="AI14">
        <v>123185</v>
      </c>
      <c r="AJ14">
        <v>114367.5</v>
      </c>
      <c r="AK14">
        <v>87367.5</v>
      </c>
    </row>
    <row r="15" spans="1:37" x14ac:dyDescent="0.3">
      <c r="A15" s="29" t="s">
        <v>11</v>
      </c>
      <c r="B15" s="29">
        <v>2000</v>
      </c>
      <c r="C15" s="29" t="s">
        <v>1</v>
      </c>
      <c r="D15" s="29" t="s">
        <v>34</v>
      </c>
      <c r="E15" s="29"/>
      <c r="F15" s="27"/>
      <c r="G15" s="27"/>
      <c r="H15" s="27"/>
      <c r="I15" s="28"/>
      <c r="K15" s="40">
        <v>11</v>
      </c>
      <c r="L15" s="39">
        <f t="shared" ca="1" si="1"/>
        <v>0.34849906066367198</v>
      </c>
      <c r="M15" s="39">
        <f t="shared" ca="1" si="2"/>
        <v>160</v>
      </c>
      <c r="N15" s="39">
        <f t="shared" ca="1" si="3"/>
        <v>7.2440763071579872E-2</v>
      </c>
      <c r="O15" s="39">
        <f t="shared" ca="1" si="3"/>
        <v>0.18367783039899166</v>
      </c>
      <c r="P15" s="67">
        <f t="shared" ca="1" si="4"/>
        <v>0.22561185934705716</v>
      </c>
      <c r="Q15" s="56">
        <f t="shared" ca="1" si="5"/>
        <v>123.90210250447086</v>
      </c>
      <c r="R15" s="56">
        <f t="shared" ca="1" si="6"/>
        <v>124</v>
      </c>
      <c r="S15" s="56">
        <f t="shared" ca="1" si="7"/>
        <v>124</v>
      </c>
      <c r="T15" s="39">
        <f t="shared" ca="1" si="8"/>
        <v>682000</v>
      </c>
      <c r="U15" s="61">
        <f t="shared" ca="1" si="9"/>
        <v>2000</v>
      </c>
      <c r="V15" s="62">
        <f t="shared" ca="1" si="10"/>
        <v>184000</v>
      </c>
      <c r="W15" s="14"/>
      <c r="AA15" s="11">
        <v>10</v>
      </c>
      <c r="AB15">
        <v>120000</v>
      </c>
      <c r="AC15">
        <v>134790</v>
      </c>
      <c r="AD15">
        <v>147427.5</v>
      </c>
      <c r="AE15">
        <v>151315</v>
      </c>
      <c r="AF15">
        <v>152787.5</v>
      </c>
      <c r="AG15">
        <v>144810</v>
      </c>
      <c r="AH15">
        <v>141470</v>
      </c>
      <c r="AI15">
        <v>121067.5</v>
      </c>
      <c r="AJ15">
        <v>100070</v>
      </c>
      <c r="AK15">
        <v>81557.5</v>
      </c>
    </row>
    <row r="16" spans="1:37" x14ac:dyDescent="0.3">
      <c r="A16" s="7"/>
      <c r="B16" s="7"/>
      <c r="C16" s="7"/>
      <c r="D16" s="7"/>
      <c r="E16" s="7"/>
      <c r="F16" s="7"/>
      <c r="G16" s="7"/>
      <c r="H16" s="7"/>
      <c r="K16" s="40">
        <v>12</v>
      </c>
      <c r="L16" s="39">
        <f t="shared" ca="1" si="1"/>
        <v>0.63352357987018215</v>
      </c>
      <c r="M16" s="39">
        <f t="shared" ca="1" si="2"/>
        <v>180</v>
      </c>
      <c r="N16" s="39">
        <f t="shared" ca="1" si="3"/>
        <v>0.11409220618204052</v>
      </c>
      <c r="O16" s="39">
        <f t="shared" ca="1" si="3"/>
        <v>0.93305744072257613</v>
      </c>
      <c r="P16" s="67">
        <f t="shared" ca="1" si="4"/>
        <v>0.30471496469046166</v>
      </c>
      <c r="Q16" s="56">
        <f t="shared" ca="1" si="5"/>
        <v>125.1513063557169</v>
      </c>
      <c r="R16" s="56">
        <f t="shared" ca="1" si="6"/>
        <v>126</v>
      </c>
      <c r="S16" s="56">
        <f t="shared" ca="1" si="7"/>
        <v>125</v>
      </c>
      <c r="T16" s="39">
        <f t="shared" ca="1" si="8"/>
        <v>687500</v>
      </c>
      <c r="U16" s="61">
        <f t="shared" ca="1" si="9"/>
        <v>0</v>
      </c>
      <c r="V16" s="62">
        <f t="shared" ca="1" si="10"/>
        <v>187500</v>
      </c>
      <c r="W16" s="14"/>
      <c r="AA16" s="11">
        <v>11</v>
      </c>
      <c r="AB16">
        <v>120000</v>
      </c>
      <c r="AC16">
        <v>134790</v>
      </c>
      <c r="AD16">
        <v>147620</v>
      </c>
      <c r="AE16">
        <v>153730</v>
      </c>
      <c r="AF16">
        <v>152997.5</v>
      </c>
      <c r="AG16">
        <v>144022.5</v>
      </c>
      <c r="AH16">
        <v>136990</v>
      </c>
      <c r="AI16">
        <v>115502.5</v>
      </c>
      <c r="AJ16">
        <v>111375</v>
      </c>
      <c r="AK16">
        <v>83937.5</v>
      </c>
    </row>
    <row r="17" spans="1:37" x14ac:dyDescent="0.3">
      <c r="A17" s="7"/>
      <c r="B17" s="7"/>
      <c r="C17" s="7"/>
      <c r="D17" s="1"/>
      <c r="E17" s="2"/>
      <c r="F17" s="7"/>
      <c r="G17" s="7"/>
      <c r="H17" s="7"/>
      <c r="K17" s="40">
        <v>13</v>
      </c>
      <c r="L17" s="39">
        <f t="shared" ca="1" si="1"/>
        <v>0.88611245029126962</v>
      </c>
      <c r="M17" s="39">
        <f t="shared" ca="1" si="2"/>
        <v>200</v>
      </c>
      <c r="N17" s="39">
        <f t="shared" ca="1" si="3"/>
        <v>0.59079977453988874</v>
      </c>
      <c r="O17" s="39">
        <f t="shared" ca="1" si="3"/>
        <v>0.68723906672261481</v>
      </c>
      <c r="P17" s="67">
        <f t="shared" ca="1" si="4"/>
        <v>0.32780388412625039</v>
      </c>
      <c r="Q17" s="56">
        <f t="shared" ca="1" si="5"/>
        <v>134.43922317474994</v>
      </c>
      <c r="R17" s="56">
        <f t="shared" ca="1" si="6"/>
        <v>135</v>
      </c>
      <c r="S17" s="56">
        <f t="shared" ca="1" si="7"/>
        <v>125</v>
      </c>
      <c r="T17" s="39">
        <f t="shared" ca="1" si="8"/>
        <v>687500</v>
      </c>
      <c r="U17" s="61">
        <f t="shared" ca="1" si="9"/>
        <v>0</v>
      </c>
      <c r="V17" s="62">
        <f t="shared" ca="1" si="10"/>
        <v>187500</v>
      </c>
      <c r="W17" s="14"/>
      <c r="AA17" s="11">
        <v>12</v>
      </c>
      <c r="AB17">
        <v>120000</v>
      </c>
      <c r="AC17">
        <v>134860</v>
      </c>
      <c r="AD17">
        <v>146395</v>
      </c>
      <c r="AE17">
        <v>151262.5</v>
      </c>
      <c r="AF17">
        <v>149812.5</v>
      </c>
      <c r="AG17">
        <v>154715</v>
      </c>
      <c r="AH17">
        <v>136010</v>
      </c>
      <c r="AI17">
        <v>115345</v>
      </c>
      <c r="AJ17">
        <v>107927.5</v>
      </c>
      <c r="AK17">
        <v>86667.5</v>
      </c>
    </row>
    <row r="18" spans="1:37" ht="21" x14ac:dyDescent="0.4">
      <c r="A18" s="48" t="s">
        <v>35</v>
      </c>
      <c r="B18" s="49"/>
      <c r="C18" s="49"/>
      <c r="D18" s="49"/>
      <c r="E18" s="50"/>
      <c r="F18" s="51">
        <f>M1</f>
        <v>125</v>
      </c>
      <c r="G18" s="7"/>
      <c r="H18" s="7"/>
      <c r="K18" s="40">
        <v>14</v>
      </c>
      <c r="L18" s="39">
        <f t="shared" ca="1" si="1"/>
        <v>0.34873454711484764</v>
      </c>
      <c r="M18" s="39">
        <f t="shared" ca="1" si="2"/>
        <v>160</v>
      </c>
      <c r="N18" s="39">
        <f t="shared" ca="1" si="3"/>
        <v>0.6827871050137253</v>
      </c>
      <c r="O18" s="39">
        <f t="shared" ca="1" si="3"/>
        <v>8.0193551754472736E-2</v>
      </c>
      <c r="P18" s="67">
        <f t="shared" ca="1" si="4"/>
        <v>0.2762980656768198</v>
      </c>
      <c r="Q18" s="56">
        <f t="shared" ca="1" si="5"/>
        <v>115.79230949170883</v>
      </c>
      <c r="R18" s="56">
        <f t="shared" ca="1" si="6"/>
        <v>116</v>
      </c>
      <c r="S18" s="56">
        <f t="shared" ca="1" si="7"/>
        <v>116</v>
      </c>
      <c r="T18" s="39">
        <f t="shared" ca="1" si="8"/>
        <v>638000</v>
      </c>
      <c r="U18" s="61">
        <f t="shared" ca="1" si="9"/>
        <v>18000</v>
      </c>
      <c r="V18" s="62">
        <f t="shared" ca="1" si="10"/>
        <v>156000</v>
      </c>
      <c r="W18" s="14"/>
      <c r="AA18" s="11">
        <v>13</v>
      </c>
      <c r="AB18">
        <v>120000</v>
      </c>
      <c r="AC18">
        <v>134807.5</v>
      </c>
      <c r="AD18">
        <v>147200</v>
      </c>
      <c r="AE18">
        <v>152452.5</v>
      </c>
      <c r="AF18">
        <v>148902.5</v>
      </c>
      <c r="AG18">
        <v>149220</v>
      </c>
      <c r="AH18">
        <v>140070</v>
      </c>
      <c r="AI18">
        <v>123990</v>
      </c>
      <c r="AJ18">
        <v>104235</v>
      </c>
      <c r="AK18">
        <v>90465</v>
      </c>
    </row>
    <row r="19" spans="1:37" x14ac:dyDescent="0.3">
      <c r="A19" s="43"/>
      <c r="B19" s="43"/>
      <c r="C19" s="43"/>
      <c r="D19" s="43"/>
      <c r="E19" s="7"/>
      <c r="F19" s="7"/>
      <c r="G19" s="7"/>
      <c r="H19" s="7"/>
      <c r="K19" s="40">
        <v>15</v>
      </c>
      <c r="L19" s="39">
        <f t="shared" ca="1" si="1"/>
        <v>0.80034026907764677</v>
      </c>
      <c r="M19" s="39">
        <f t="shared" ca="1" si="2"/>
        <v>200</v>
      </c>
      <c r="N19" s="39">
        <f t="shared" ca="1" si="3"/>
        <v>0.13855401608846929</v>
      </c>
      <c r="O19" s="39">
        <f t="shared" ca="1" si="3"/>
        <v>0.36743173405537477</v>
      </c>
      <c r="P19" s="67">
        <f t="shared" ca="1" si="4"/>
        <v>0.25059857501438443</v>
      </c>
      <c r="Q19" s="56">
        <f t="shared" ca="1" si="5"/>
        <v>149.88028499712311</v>
      </c>
      <c r="R19" s="56">
        <f t="shared" ca="1" si="6"/>
        <v>150</v>
      </c>
      <c r="S19" s="56">
        <f t="shared" ca="1" si="7"/>
        <v>125</v>
      </c>
      <c r="T19" s="39">
        <f t="shared" ca="1" si="8"/>
        <v>687500</v>
      </c>
      <c r="U19" s="61">
        <f t="shared" ca="1" si="9"/>
        <v>0</v>
      </c>
      <c r="V19" s="62">
        <f t="shared" ca="1" si="10"/>
        <v>187500</v>
      </c>
      <c r="W19" s="14"/>
      <c r="AA19" s="11">
        <v>14</v>
      </c>
      <c r="AB19">
        <v>120000</v>
      </c>
      <c r="AC19">
        <v>134965</v>
      </c>
      <c r="AD19">
        <v>145922.5</v>
      </c>
      <c r="AE19">
        <v>153415</v>
      </c>
      <c r="AF19">
        <v>152140</v>
      </c>
      <c r="AG19">
        <v>141695</v>
      </c>
      <c r="AH19">
        <v>144620</v>
      </c>
      <c r="AI19">
        <v>118355</v>
      </c>
      <c r="AJ19">
        <v>110955</v>
      </c>
      <c r="AK19">
        <v>87962.5</v>
      </c>
    </row>
    <row r="20" spans="1:37" x14ac:dyDescent="0.3">
      <c r="A20" s="81" t="s">
        <v>12</v>
      </c>
      <c r="B20" s="82"/>
      <c r="C20" s="44">
        <v>200</v>
      </c>
      <c r="E20" s="7"/>
      <c r="F20" s="7"/>
      <c r="G20" s="7"/>
      <c r="H20" s="7"/>
      <c r="K20" s="40">
        <v>16</v>
      </c>
      <c r="L20" s="39">
        <f t="shared" ca="1" si="1"/>
        <v>0.30601097295536239</v>
      </c>
      <c r="M20" s="39">
        <f t="shared" ca="1" si="2"/>
        <v>160</v>
      </c>
      <c r="N20" s="39">
        <f t="shared" ca="1" si="3"/>
        <v>0.15440372869922037</v>
      </c>
      <c r="O20" s="39">
        <f t="shared" ca="1" si="3"/>
        <v>0.2361255174546133</v>
      </c>
      <c r="P20" s="67">
        <f t="shared" ca="1" si="4"/>
        <v>0.23905292461538338</v>
      </c>
      <c r="Q20" s="56">
        <f t="shared" ca="1" si="5"/>
        <v>121.75153206153865</v>
      </c>
      <c r="R20" s="56">
        <f t="shared" ca="1" si="6"/>
        <v>122</v>
      </c>
      <c r="S20" s="56">
        <f t="shared" ca="1" si="7"/>
        <v>122</v>
      </c>
      <c r="T20" s="39">
        <f t="shared" ca="1" si="8"/>
        <v>671000</v>
      </c>
      <c r="U20" s="61">
        <f t="shared" ca="1" si="9"/>
        <v>6000</v>
      </c>
      <c r="V20" s="62">
        <f t="shared" ca="1" si="10"/>
        <v>177000</v>
      </c>
      <c r="W20" s="14"/>
      <c r="AA20" s="11">
        <v>15</v>
      </c>
      <c r="AB20">
        <v>120000</v>
      </c>
      <c r="AC20">
        <v>134912.5</v>
      </c>
      <c r="AD20">
        <v>146972.5</v>
      </c>
      <c r="AE20">
        <v>154027.5</v>
      </c>
      <c r="AF20">
        <v>152700</v>
      </c>
      <c r="AG20">
        <v>141590</v>
      </c>
      <c r="AH20">
        <v>142082.5</v>
      </c>
      <c r="AI20">
        <v>120000</v>
      </c>
      <c r="AJ20">
        <v>111095</v>
      </c>
      <c r="AK20">
        <v>78005</v>
      </c>
    </row>
    <row r="21" spans="1:37" x14ac:dyDescent="0.3">
      <c r="A21" s="81" t="s">
        <v>13</v>
      </c>
      <c r="B21" s="82"/>
      <c r="C21" s="63">
        <f ca="1">AVERAGE(V5:V204)</f>
        <v>154075</v>
      </c>
      <c r="E21" s="7"/>
      <c r="F21" s="7"/>
      <c r="G21" s="7"/>
      <c r="H21" s="7"/>
      <c r="I21" s="4"/>
      <c r="K21" s="40">
        <v>17</v>
      </c>
      <c r="L21" s="39">
        <f t="shared" ca="1" si="1"/>
        <v>0.11096143960682425</v>
      </c>
      <c r="M21" s="39">
        <f t="shared" ca="1" si="2"/>
        <v>140</v>
      </c>
      <c r="N21" s="39">
        <f t="shared" ca="1" si="3"/>
        <v>0.32083261062061219</v>
      </c>
      <c r="O21" s="39">
        <f t="shared" ca="1" si="3"/>
        <v>8.0170409242045659E-2</v>
      </c>
      <c r="P21" s="67">
        <f t="shared" ca="1" si="4"/>
        <v>0.24010030198626581</v>
      </c>
      <c r="Q21" s="56">
        <f t="shared" ca="1" si="5"/>
        <v>106.38595772192278</v>
      </c>
      <c r="R21" s="56">
        <f t="shared" ca="1" si="6"/>
        <v>107</v>
      </c>
      <c r="S21" s="56">
        <f t="shared" ca="1" si="7"/>
        <v>107</v>
      </c>
      <c r="T21" s="39">
        <f t="shared" ca="1" si="8"/>
        <v>588500</v>
      </c>
      <c r="U21" s="61">
        <f t="shared" ca="1" si="9"/>
        <v>36000</v>
      </c>
      <c r="V21" s="62">
        <f t="shared" ca="1" si="10"/>
        <v>124500</v>
      </c>
      <c r="W21" s="14"/>
      <c r="AA21" s="11">
        <v>16</v>
      </c>
      <c r="AB21">
        <v>120000</v>
      </c>
      <c r="AC21">
        <v>135000</v>
      </c>
      <c r="AD21">
        <v>146727.5</v>
      </c>
      <c r="AE21">
        <v>152015</v>
      </c>
      <c r="AF21">
        <v>155937.5</v>
      </c>
      <c r="AG21">
        <v>147067.5</v>
      </c>
      <c r="AH21">
        <v>140420</v>
      </c>
      <c r="AI21">
        <v>127297.5</v>
      </c>
      <c r="AJ21">
        <v>104830</v>
      </c>
      <c r="AK21">
        <v>83990</v>
      </c>
    </row>
    <row r="22" spans="1:37" x14ac:dyDescent="0.3">
      <c r="A22" s="81" t="s">
        <v>67</v>
      </c>
      <c r="B22" s="82"/>
      <c r="C22" s="65">
        <f ca="1">((COUNTIF(V5:V204,"&gt;100000"))/200)*100%</f>
        <v>0.82</v>
      </c>
      <c r="G22" s="3"/>
      <c r="H22" s="3"/>
      <c r="I22" s="3"/>
      <c r="K22" s="40">
        <v>18</v>
      </c>
      <c r="L22" s="39">
        <f t="shared" ca="1" si="1"/>
        <v>0.73634845766623025</v>
      </c>
      <c r="M22" s="39">
        <f t="shared" ca="1" si="2"/>
        <v>200</v>
      </c>
      <c r="N22" s="39">
        <f t="shared" ca="1" si="3"/>
        <v>0.82857897262358127</v>
      </c>
      <c r="O22" s="39">
        <f t="shared" ca="1" si="3"/>
        <v>0.49114725022068495</v>
      </c>
      <c r="P22" s="67">
        <f t="shared" ca="1" si="4"/>
        <v>0.33197262228442664</v>
      </c>
      <c r="Q22" s="56">
        <f t="shared" ca="1" si="5"/>
        <v>133.60547554311466</v>
      </c>
      <c r="R22" s="56">
        <f t="shared" ca="1" si="6"/>
        <v>134</v>
      </c>
      <c r="S22" s="56">
        <f t="shared" ca="1" si="7"/>
        <v>125</v>
      </c>
      <c r="T22" s="39">
        <f t="shared" ca="1" si="8"/>
        <v>687500</v>
      </c>
      <c r="U22" s="61">
        <f t="shared" ca="1" si="9"/>
        <v>0</v>
      </c>
      <c r="V22" s="62">
        <f t="shared" ca="1" si="10"/>
        <v>187500</v>
      </c>
      <c r="W22" s="14"/>
      <c r="AA22" s="11">
        <v>17</v>
      </c>
      <c r="AB22">
        <v>120000</v>
      </c>
      <c r="AC22">
        <v>134737.5</v>
      </c>
      <c r="AD22">
        <v>146920</v>
      </c>
      <c r="AE22">
        <v>150037.5</v>
      </c>
      <c r="AF22">
        <v>151352.5</v>
      </c>
      <c r="AG22">
        <v>149307.5</v>
      </c>
      <c r="AH22">
        <v>137935</v>
      </c>
      <c r="AI22">
        <v>124042.5</v>
      </c>
      <c r="AJ22">
        <v>105110</v>
      </c>
      <c r="AK22">
        <v>86247.5</v>
      </c>
    </row>
    <row r="23" spans="1:37" x14ac:dyDescent="0.3">
      <c r="A23" s="81" t="s">
        <v>15</v>
      </c>
      <c r="B23" s="82"/>
      <c r="C23" s="47">
        <f ca="1">_xlfn.STDEV.S(V5:V204)</f>
        <v>42056.756040417764</v>
      </c>
      <c r="G23" s="3"/>
      <c r="H23" s="3"/>
      <c r="I23" s="3"/>
      <c r="K23" s="40">
        <v>19</v>
      </c>
      <c r="L23" s="39">
        <f t="shared" ca="1" si="1"/>
        <v>0.74565859043426563</v>
      </c>
      <c r="M23" s="39">
        <f t="shared" ca="1" si="2"/>
        <v>200</v>
      </c>
      <c r="N23" s="39">
        <f t="shared" ca="1" si="3"/>
        <v>0.79702144899960392</v>
      </c>
      <c r="O23" s="39">
        <f t="shared" ca="1" si="3"/>
        <v>0.75950175644660101</v>
      </c>
      <c r="P23" s="67">
        <f t="shared" ca="1" si="4"/>
        <v>0.35565232054462048</v>
      </c>
      <c r="Q23" s="56">
        <f t="shared" ca="1" si="5"/>
        <v>128.86953589107588</v>
      </c>
      <c r="R23" s="56">
        <f t="shared" ca="1" si="6"/>
        <v>129</v>
      </c>
      <c r="S23" s="56">
        <f t="shared" ca="1" si="7"/>
        <v>125</v>
      </c>
      <c r="T23" s="39">
        <f t="shared" ca="1" si="8"/>
        <v>687500</v>
      </c>
      <c r="U23" s="61">
        <f t="shared" ca="1" si="9"/>
        <v>0</v>
      </c>
      <c r="V23" s="62">
        <f t="shared" ca="1" si="10"/>
        <v>187500</v>
      </c>
      <c r="W23" s="14"/>
      <c r="AA23" s="11">
        <v>18</v>
      </c>
      <c r="AB23">
        <v>120000</v>
      </c>
      <c r="AC23">
        <v>134737.5</v>
      </c>
      <c r="AD23">
        <v>147655</v>
      </c>
      <c r="AE23">
        <v>148357.5</v>
      </c>
      <c r="AF23">
        <v>147240</v>
      </c>
      <c r="AG23">
        <v>148362.5</v>
      </c>
      <c r="AH23">
        <v>139667.5</v>
      </c>
      <c r="AI23">
        <v>123745</v>
      </c>
      <c r="AJ23">
        <v>103465</v>
      </c>
      <c r="AK23">
        <v>88627.5</v>
      </c>
    </row>
    <row r="24" spans="1:37" x14ac:dyDescent="0.3">
      <c r="A24" s="81" t="s">
        <v>16</v>
      </c>
      <c r="B24" s="82"/>
      <c r="C24" s="64">
        <f ca="1">MIN(V5:V204)</f>
        <v>54500</v>
      </c>
      <c r="G24" s="3"/>
      <c r="H24" s="3"/>
      <c r="I24" s="3"/>
      <c r="K24" s="40">
        <v>20</v>
      </c>
      <c r="L24" s="39">
        <f t="shared" ca="1" si="1"/>
        <v>0.71431114065321411</v>
      </c>
      <c r="M24" s="39">
        <f t="shared" ca="1" si="2"/>
        <v>200</v>
      </c>
      <c r="N24" s="39">
        <f t="shared" ca="1" si="3"/>
        <v>0.44820115800334925</v>
      </c>
      <c r="O24" s="39">
        <f t="shared" ca="1" si="3"/>
        <v>0.7281798985257284</v>
      </c>
      <c r="P24" s="67">
        <f t="shared" ca="1" si="4"/>
        <v>0.31763810565290779</v>
      </c>
      <c r="Q24" s="56">
        <f t="shared" ca="1" si="5"/>
        <v>136.47237886941843</v>
      </c>
      <c r="R24" s="56">
        <f t="shared" ca="1" si="6"/>
        <v>137</v>
      </c>
      <c r="S24" s="56">
        <f t="shared" ca="1" si="7"/>
        <v>125</v>
      </c>
      <c r="T24" s="39">
        <f t="shared" ca="1" si="8"/>
        <v>687500</v>
      </c>
      <c r="U24" s="61">
        <f t="shared" ca="1" si="9"/>
        <v>0</v>
      </c>
      <c r="V24" s="62">
        <f t="shared" ca="1" si="10"/>
        <v>187500</v>
      </c>
      <c r="W24" s="14"/>
      <c r="AA24" s="11">
        <v>19</v>
      </c>
      <c r="AB24">
        <v>120000</v>
      </c>
      <c r="AC24">
        <v>134877.5</v>
      </c>
      <c r="AD24">
        <v>145642.5</v>
      </c>
      <c r="AE24">
        <v>152277.5</v>
      </c>
      <c r="AF24">
        <v>152472.5</v>
      </c>
      <c r="AG24">
        <v>155467.5</v>
      </c>
      <c r="AH24">
        <v>140472.5</v>
      </c>
      <c r="AI24">
        <v>124427.5</v>
      </c>
      <c r="AJ24">
        <v>111812.5</v>
      </c>
      <c r="AK24">
        <v>89835</v>
      </c>
    </row>
    <row r="25" spans="1:37" x14ac:dyDescent="0.3">
      <c r="A25" s="81" t="s">
        <v>17</v>
      </c>
      <c r="B25" s="82"/>
      <c r="C25" s="64">
        <f ca="1">MAX(V5:V204)</f>
        <v>187500</v>
      </c>
      <c r="G25" s="3"/>
      <c r="H25" s="3"/>
      <c r="I25" s="3"/>
      <c r="K25" s="40">
        <v>21</v>
      </c>
      <c r="L25" s="39">
        <f t="shared" ca="1" si="1"/>
        <v>0.7178389742898087</v>
      </c>
      <c r="M25" s="39">
        <f t="shared" ca="1" si="2"/>
        <v>200</v>
      </c>
      <c r="N25" s="39">
        <f t="shared" ca="1" si="3"/>
        <v>0.11262946484949943</v>
      </c>
      <c r="O25" s="39">
        <f t="shared" ca="1" si="3"/>
        <v>0.15512181543155246</v>
      </c>
      <c r="P25" s="67">
        <f t="shared" ca="1" si="4"/>
        <v>0.22677512802810521</v>
      </c>
      <c r="Q25" s="56">
        <f t="shared" ca="1" si="5"/>
        <v>154.64497439437895</v>
      </c>
      <c r="R25" s="56">
        <f t="shared" ca="1" si="6"/>
        <v>155</v>
      </c>
      <c r="S25" s="56">
        <f t="shared" ca="1" si="7"/>
        <v>125</v>
      </c>
      <c r="T25" s="39">
        <f t="shared" ca="1" si="8"/>
        <v>687500</v>
      </c>
      <c r="U25" s="61">
        <f t="shared" ca="1" si="9"/>
        <v>0</v>
      </c>
      <c r="V25" s="62">
        <f t="shared" ca="1" si="10"/>
        <v>187500</v>
      </c>
      <c r="W25" s="14"/>
      <c r="AA25" s="11">
        <v>20</v>
      </c>
      <c r="AB25">
        <v>120000</v>
      </c>
      <c r="AC25">
        <v>134982.5</v>
      </c>
      <c r="AD25">
        <v>147025</v>
      </c>
      <c r="AE25">
        <v>152557.5</v>
      </c>
      <c r="AF25">
        <v>147397.5</v>
      </c>
      <c r="AG25">
        <v>143865</v>
      </c>
      <c r="AH25">
        <v>139422.5</v>
      </c>
      <c r="AI25">
        <v>131112.5</v>
      </c>
      <c r="AJ25">
        <v>102450</v>
      </c>
      <c r="AK25">
        <v>86317.5</v>
      </c>
    </row>
    <row r="26" spans="1:37" x14ac:dyDescent="0.3">
      <c r="A26" s="81" t="s">
        <v>18</v>
      </c>
      <c r="B26" s="82"/>
      <c r="C26" s="47">
        <f ca="1">_xlfn.CONFIDENCE.T(0.05,C23,200)</f>
        <v>5864.3261180960044</v>
      </c>
      <c r="G26" s="3"/>
      <c r="H26" s="3"/>
      <c r="I26" s="3"/>
      <c r="K26" s="40">
        <v>22</v>
      </c>
      <c r="L26" s="39">
        <f t="shared" ca="1" si="1"/>
        <v>0.51789046180885312</v>
      </c>
      <c r="M26" s="39">
        <f t="shared" ca="1" si="2"/>
        <v>180</v>
      </c>
      <c r="N26" s="39">
        <f t="shared" ca="1" si="3"/>
        <v>0.38782768010236024</v>
      </c>
      <c r="O26" s="39">
        <f t="shared" ca="1" si="3"/>
        <v>0.2619632125959771</v>
      </c>
      <c r="P26" s="67">
        <f t="shared" ca="1" si="4"/>
        <v>0.26497908926983377</v>
      </c>
      <c r="Q26" s="56">
        <f t="shared" ca="1" si="5"/>
        <v>132.30376393142993</v>
      </c>
      <c r="R26" s="56">
        <f t="shared" ca="1" si="6"/>
        <v>133</v>
      </c>
      <c r="S26" s="56">
        <f t="shared" ca="1" si="7"/>
        <v>125</v>
      </c>
      <c r="T26" s="39">
        <f t="shared" ca="1" si="8"/>
        <v>687500</v>
      </c>
      <c r="U26" s="61">
        <f t="shared" ca="1" si="9"/>
        <v>0</v>
      </c>
      <c r="V26" s="62">
        <f t="shared" ca="1" si="10"/>
        <v>187500</v>
      </c>
      <c r="W26" s="14"/>
      <c r="AA26" s="11">
        <v>21</v>
      </c>
      <c r="AB26">
        <v>120000</v>
      </c>
      <c r="AC26">
        <v>134755</v>
      </c>
      <c r="AD26">
        <v>146080</v>
      </c>
      <c r="AE26">
        <v>150632.5</v>
      </c>
      <c r="AF26">
        <v>150897.5</v>
      </c>
      <c r="AG26">
        <v>149202.5</v>
      </c>
      <c r="AH26">
        <v>147070</v>
      </c>
      <c r="AI26">
        <v>115205</v>
      </c>
      <c r="AJ26">
        <v>106562.5</v>
      </c>
      <c r="AK26">
        <v>88295</v>
      </c>
    </row>
    <row r="27" spans="1:37" x14ac:dyDescent="0.3">
      <c r="A27" s="81" t="s">
        <v>19</v>
      </c>
      <c r="B27" s="82"/>
      <c r="C27" s="64">
        <f ca="1">C21-C26</f>
        <v>148210.67388190399</v>
      </c>
      <c r="K27" s="40">
        <v>23</v>
      </c>
      <c r="L27" s="39">
        <f t="shared" ca="1" si="1"/>
        <v>0.12056323491824694</v>
      </c>
      <c r="M27" s="39">
        <f t="shared" ca="1" si="2"/>
        <v>140</v>
      </c>
      <c r="N27" s="39">
        <f t="shared" ca="1" si="3"/>
        <v>0.26338544673248809</v>
      </c>
      <c r="O27" s="39">
        <f t="shared" ca="1" si="3"/>
        <v>0.61723593489620132</v>
      </c>
      <c r="P27" s="67">
        <f t="shared" ca="1" si="4"/>
        <v>0.28806213816286896</v>
      </c>
      <c r="Q27" s="56">
        <f t="shared" ca="1" si="5"/>
        <v>99.671300657198344</v>
      </c>
      <c r="R27" s="56">
        <f t="shared" ca="1" si="6"/>
        <v>100</v>
      </c>
      <c r="S27" s="56">
        <f t="shared" ca="1" si="7"/>
        <v>100</v>
      </c>
      <c r="T27" s="39">
        <f t="shared" ca="1" si="8"/>
        <v>550000</v>
      </c>
      <c r="U27" s="61">
        <f t="shared" ca="1" si="9"/>
        <v>50000</v>
      </c>
      <c r="V27" s="62">
        <f t="shared" ca="1" si="10"/>
        <v>100000</v>
      </c>
      <c r="W27" s="14"/>
      <c r="AA27" s="11">
        <v>22</v>
      </c>
      <c r="AB27">
        <v>120000</v>
      </c>
      <c r="AC27">
        <v>134860</v>
      </c>
      <c r="AD27">
        <v>147200</v>
      </c>
      <c r="AE27">
        <v>152347.5</v>
      </c>
      <c r="AF27">
        <v>153767.5</v>
      </c>
      <c r="AG27">
        <v>151810</v>
      </c>
      <c r="AH27">
        <v>132510</v>
      </c>
      <c r="AI27">
        <v>119387.5</v>
      </c>
      <c r="AJ27">
        <v>101400</v>
      </c>
      <c r="AK27">
        <v>81085</v>
      </c>
    </row>
    <row r="28" spans="1:37" x14ac:dyDescent="0.3">
      <c r="A28" s="45" t="s">
        <v>20</v>
      </c>
      <c r="B28" s="46"/>
      <c r="C28" s="64">
        <f ca="1">C21+C26</f>
        <v>159939.32611809601</v>
      </c>
      <c r="K28" s="40">
        <v>24</v>
      </c>
      <c r="L28" s="39">
        <f t="shared" ca="1" si="1"/>
        <v>0.1129770036668083</v>
      </c>
      <c r="M28" s="39">
        <f t="shared" ca="1" si="2"/>
        <v>140</v>
      </c>
      <c r="N28" s="39">
        <f t="shared" ca="1" si="3"/>
        <v>0.76926575659858054</v>
      </c>
      <c r="O28" s="39">
        <f t="shared" ca="1" si="3"/>
        <v>0.20489404789547294</v>
      </c>
      <c r="P28" s="67">
        <f t="shared" ca="1" si="4"/>
        <v>0.29741598044940537</v>
      </c>
      <c r="Q28" s="56">
        <f t="shared" ca="1" si="5"/>
        <v>98.361762737083239</v>
      </c>
      <c r="R28" s="56">
        <f t="shared" ca="1" si="6"/>
        <v>99</v>
      </c>
      <c r="S28" s="56">
        <f t="shared" ca="1" si="7"/>
        <v>99</v>
      </c>
      <c r="T28" s="39">
        <f t="shared" ca="1" si="8"/>
        <v>544500</v>
      </c>
      <c r="U28" s="61">
        <f t="shared" ca="1" si="9"/>
        <v>52000</v>
      </c>
      <c r="V28" s="62">
        <f t="shared" ca="1" si="10"/>
        <v>96500</v>
      </c>
      <c r="W28" s="14"/>
      <c r="AA28" s="11">
        <v>23</v>
      </c>
      <c r="AB28">
        <v>120000</v>
      </c>
      <c r="AC28">
        <v>134982.5</v>
      </c>
      <c r="AD28">
        <v>147235</v>
      </c>
      <c r="AE28">
        <v>153380</v>
      </c>
      <c r="AF28">
        <v>148762.5</v>
      </c>
      <c r="AG28">
        <v>144757.5</v>
      </c>
      <c r="AH28">
        <v>141680</v>
      </c>
      <c r="AI28">
        <v>122800</v>
      </c>
      <c r="AJ28">
        <v>97445</v>
      </c>
      <c r="AK28">
        <v>89187.5</v>
      </c>
    </row>
    <row r="29" spans="1:37" x14ac:dyDescent="0.3">
      <c r="K29" s="40">
        <v>25</v>
      </c>
      <c r="L29" s="39">
        <f t="shared" ca="1" si="1"/>
        <v>0.58086893195107225</v>
      </c>
      <c r="M29" s="39">
        <f t="shared" ca="1" si="2"/>
        <v>180</v>
      </c>
      <c r="N29" s="39">
        <f t="shared" ca="1" si="3"/>
        <v>0.87156094758030533</v>
      </c>
      <c r="O29" s="39">
        <f t="shared" ca="1" si="3"/>
        <v>0.21415842244971961</v>
      </c>
      <c r="P29" s="67">
        <f t="shared" ca="1" si="4"/>
        <v>0.30857193700300251</v>
      </c>
      <c r="Q29" s="56">
        <f t="shared" ca="1" si="5"/>
        <v>124.45705133945955</v>
      </c>
      <c r="R29" s="56">
        <f t="shared" ca="1" si="6"/>
        <v>125</v>
      </c>
      <c r="S29" s="56">
        <f t="shared" ca="1" si="7"/>
        <v>125</v>
      </c>
      <c r="T29" s="39">
        <f t="shared" ca="1" si="8"/>
        <v>687500</v>
      </c>
      <c r="U29" s="61">
        <f t="shared" ca="1" si="9"/>
        <v>0</v>
      </c>
      <c r="V29" s="62">
        <f t="shared" ca="1" si="10"/>
        <v>187500</v>
      </c>
      <c r="W29" s="14"/>
      <c r="AA29" s="11">
        <v>24</v>
      </c>
      <c r="AB29">
        <v>120000</v>
      </c>
      <c r="AC29">
        <v>134807.5</v>
      </c>
      <c r="AD29">
        <v>146307.5</v>
      </c>
      <c r="AE29">
        <v>151857.5</v>
      </c>
      <c r="AF29">
        <v>153312.5</v>
      </c>
      <c r="AG29">
        <v>146227.5</v>
      </c>
      <c r="AH29">
        <v>141610</v>
      </c>
      <c r="AI29">
        <v>121855</v>
      </c>
      <c r="AJ29">
        <v>101522.5</v>
      </c>
      <c r="AK29">
        <v>84655</v>
      </c>
    </row>
    <row r="30" spans="1:37" x14ac:dyDescent="0.3">
      <c r="K30" s="40">
        <v>26</v>
      </c>
      <c r="L30" s="39">
        <f t="shared" ca="1" si="1"/>
        <v>0.41372925043880437</v>
      </c>
      <c r="M30" s="39">
        <f t="shared" ca="1" si="2"/>
        <v>160</v>
      </c>
      <c r="N30" s="39">
        <f t="shared" ca="1" si="3"/>
        <v>6.4148145416127678E-2</v>
      </c>
      <c r="O30" s="39">
        <f t="shared" ca="1" si="3"/>
        <v>0.14679365939372835</v>
      </c>
      <c r="P30" s="67">
        <f t="shared" ca="1" si="4"/>
        <v>0.22109418048098561</v>
      </c>
      <c r="Q30" s="56">
        <f t="shared" ca="1" si="5"/>
        <v>124.6249311230423</v>
      </c>
      <c r="R30" s="56">
        <f t="shared" ca="1" si="6"/>
        <v>125</v>
      </c>
      <c r="S30" s="56">
        <f t="shared" ca="1" si="7"/>
        <v>125</v>
      </c>
      <c r="T30" s="39">
        <f t="shared" ca="1" si="8"/>
        <v>687500</v>
      </c>
      <c r="U30" s="61">
        <f t="shared" ca="1" si="9"/>
        <v>0</v>
      </c>
      <c r="V30" s="62">
        <f t="shared" ca="1" si="10"/>
        <v>187500</v>
      </c>
      <c r="W30" s="14"/>
      <c r="AA30" s="11">
        <v>25</v>
      </c>
      <c r="AB30">
        <v>120000</v>
      </c>
      <c r="AC30">
        <v>134912.5</v>
      </c>
      <c r="AD30">
        <v>146675</v>
      </c>
      <c r="AE30">
        <v>150335</v>
      </c>
      <c r="AF30">
        <v>148640</v>
      </c>
      <c r="AG30">
        <v>148625</v>
      </c>
      <c r="AH30">
        <v>143465</v>
      </c>
      <c r="AI30">
        <v>128120</v>
      </c>
      <c r="AJ30">
        <v>96447.5</v>
      </c>
      <c r="AK30">
        <v>88820</v>
      </c>
    </row>
    <row r="31" spans="1:37" x14ac:dyDescent="0.3">
      <c r="K31" s="40">
        <v>27</v>
      </c>
      <c r="L31" s="39">
        <f t="shared" ca="1" si="1"/>
        <v>0.55535318754557073</v>
      </c>
      <c r="M31" s="39">
        <f t="shared" ca="1" si="2"/>
        <v>180</v>
      </c>
      <c r="N31" s="39">
        <f t="shared" ca="1" si="3"/>
        <v>0.28449647214544094</v>
      </c>
      <c r="O31" s="39">
        <f t="shared" ca="1" si="3"/>
        <v>7.5185657759802682E-2</v>
      </c>
      <c r="P31" s="67">
        <f t="shared" ca="1" si="4"/>
        <v>0.23596821299052437</v>
      </c>
      <c r="Q31" s="56">
        <f t="shared" ca="1" si="5"/>
        <v>137.52572166170563</v>
      </c>
      <c r="R31" s="56">
        <f t="shared" ca="1" si="6"/>
        <v>138</v>
      </c>
      <c r="S31" s="56">
        <f t="shared" ca="1" si="7"/>
        <v>125</v>
      </c>
      <c r="T31" s="39">
        <f t="shared" ca="1" si="8"/>
        <v>687500</v>
      </c>
      <c r="U31" s="61">
        <f t="shared" ca="1" si="9"/>
        <v>0</v>
      </c>
      <c r="V31" s="62">
        <f t="shared" ca="1" si="10"/>
        <v>187500</v>
      </c>
      <c r="W31" s="14"/>
      <c r="AA31" s="11">
        <v>26</v>
      </c>
      <c r="AB31">
        <v>120000</v>
      </c>
      <c r="AC31">
        <v>134895</v>
      </c>
      <c r="AD31">
        <v>146430</v>
      </c>
      <c r="AE31">
        <v>152277.5</v>
      </c>
      <c r="AF31">
        <v>150215</v>
      </c>
      <c r="AG31">
        <v>139630</v>
      </c>
      <c r="AH31">
        <v>141855</v>
      </c>
      <c r="AI31">
        <v>124515</v>
      </c>
      <c r="AJ31">
        <v>107752.5</v>
      </c>
      <c r="AK31">
        <v>85250</v>
      </c>
    </row>
    <row r="32" spans="1:37" x14ac:dyDescent="0.3">
      <c r="K32" s="40">
        <v>28</v>
      </c>
      <c r="L32" s="39">
        <f t="shared" ca="1" si="1"/>
        <v>0.73538219485115808</v>
      </c>
      <c r="M32" s="39">
        <f t="shared" ca="1" si="2"/>
        <v>200</v>
      </c>
      <c r="N32" s="39">
        <f t="shared" ca="1" si="3"/>
        <v>5.1551513069422406E-2</v>
      </c>
      <c r="O32" s="39">
        <f t="shared" ca="1" si="3"/>
        <v>9.4268645227175263E-2</v>
      </c>
      <c r="P32" s="67">
        <f t="shared" ca="1" si="4"/>
        <v>0.21458201582965977</v>
      </c>
      <c r="Q32" s="56">
        <f t="shared" ca="1" si="5"/>
        <v>157.08359683406803</v>
      </c>
      <c r="R32" s="56">
        <f t="shared" ca="1" si="6"/>
        <v>158</v>
      </c>
      <c r="S32" s="56">
        <f t="shared" ca="1" si="7"/>
        <v>125</v>
      </c>
      <c r="T32" s="39">
        <f t="shared" ca="1" si="8"/>
        <v>687500</v>
      </c>
      <c r="U32" s="61">
        <f t="shared" ca="1" si="9"/>
        <v>0</v>
      </c>
      <c r="V32" s="62">
        <f t="shared" ca="1" si="10"/>
        <v>187500</v>
      </c>
      <c r="W32" s="14"/>
      <c r="AA32" s="11">
        <v>27</v>
      </c>
      <c r="AB32">
        <v>120000</v>
      </c>
      <c r="AC32">
        <v>134755</v>
      </c>
      <c r="AD32">
        <v>146097.5</v>
      </c>
      <c r="AE32">
        <v>150930</v>
      </c>
      <c r="AF32">
        <v>150845</v>
      </c>
      <c r="AG32">
        <v>142972.5</v>
      </c>
      <c r="AH32">
        <v>142485</v>
      </c>
      <c r="AI32">
        <v>123027.5</v>
      </c>
      <c r="AJ32">
        <v>95922.5</v>
      </c>
      <c r="AK32">
        <v>80822.5</v>
      </c>
    </row>
    <row r="33" spans="11:37" x14ac:dyDescent="0.3">
      <c r="K33" s="40">
        <v>29</v>
      </c>
      <c r="L33" s="39">
        <f t="shared" ca="1" si="1"/>
        <v>0.73876164680081713</v>
      </c>
      <c r="M33" s="39">
        <f t="shared" ca="1" si="2"/>
        <v>200</v>
      </c>
      <c r="N33" s="39">
        <f t="shared" ca="1" si="3"/>
        <v>0.11530137493609482</v>
      </c>
      <c r="O33" s="39">
        <f t="shared" ca="1" si="3"/>
        <v>0.18583839397574842</v>
      </c>
      <c r="P33" s="67">
        <f t="shared" ca="1" si="4"/>
        <v>0.23011397689118435</v>
      </c>
      <c r="Q33" s="56">
        <f t="shared" ca="1" si="5"/>
        <v>153.97720462176312</v>
      </c>
      <c r="R33" s="56">
        <f t="shared" ca="1" si="6"/>
        <v>154</v>
      </c>
      <c r="S33" s="56">
        <f t="shared" ca="1" si="7"/>
        <v>125</v>
      </c>
      <c r="T33" s="39">
        <f t="shared" ca="1" si="8"/>
        <v>687500</v>
      </c>
      <c r="U33" s="61">
        <f t="shared" ca="1" si="9"/>
        <v>0</v>
      </c>
      <c r="V33" s="62">
        <f t="shared" ca="1" si="10"/>
        <v>187500</v>
      </c>
      <c r="W33" s="14"/>
      <c r="AA33" s="11">
        <v>28</v>
      </c>
      <c r="AB33">
        <v>120000</v>
      </c>
      <c r="AC33">
        <v>134842.5</v>
      </c>
      <c r="AD33">
        <v>147165</v>
      </c>
      <c r="AE33">
        <v>152277.5</v>
      </c>
      <c r="AF33">
        <v>148815</v>
      </c>
      <c r="AG33">
        <v>149202.5</v>
      </c>
      <c r="AH33">
        <v>128817.5</v>
      </c>
      <c r="AI33">
        <v>118600</v>
      </c>
      <c r="AJ33">
        <v>101487.5</v>
      </c>
      <c r="AK33">
        <v>79807.5</v>
      </c>
    </row>
    <row r="34" spans="11:37" x14ac:dyDescent="0.3">
      <c r="K34" s="40">
        <v>30</v>
      </c>
      <c r="L34" s="39">
        <f t="shared" ca="1" si="1"/>
        <v>0.99214208240084834</v>
      </c>
      <c r="M34" s="39">
        <f t="shared" ca="1" si="2"/>
        <v>220</v>
      </c>
      <c r="N34" s="39">
        <f t="shared" ca="1" si="3"/>
        <v>0.85827702589615684</v>
      </c>
      <c r="O34" s="39">
        <f t="shared" ca="1" si="3"/>
        <v>0.51187805995429059</v>
      </c>
      <c r="P34" s="67">
        <f t="shared" ca="1" si="4"/>
        <v>0.33701550858504475</v>
      </c>
      <c r="Q34" s="56">
        <f t="shared" ca="1" si="5"/>
        <v>145.85658811129014</v>
      </c>
      <c r="R34" s="56">
        <f t="shared" ca="1" si="6"/>
        <v>146</v>
      </c>
      <c r="S34" s="56">
        <f t="shared" ca="1" si="7"/>
        <v>125</v>
      </c>
      <c r="T34" s="39">
        <f t="shared" ca="1" si="8"/>
        <v>687500</v>
      </c>
      <c r="U34" s="61">
        <f t="shared" ca="1" si="9"/>
        <v>0</v>
      </c>
      <c r="V34" s="62">
        <f t="shared" ca="1" si="10"/>
        <v>187500</v>
      </c>
      <c r="W34" s="14"/>
      <c r="AA34" s="11">
        <v>29</v>
      </c>
      <c r="AB34">
        <v>120000</v>
      </c>
      <c r="AC34">
        <v>134965</v>
      </c>
      <c r="AD34">
        <v>146395</v>
      </c>
      <c r="AE34">
        <v>151367.5</v>
      </c>
      <c r="AF34">
        <v>149602.5</v>
      </c>
      <c r="AG34">
        <v>146017.5</v>
      </c>
      <c r="AH34">
        <v>135327.5</v>
      </c>
      <c r="AI34">
        <v>125267.5</v>
      </c>
      <c r="AJ34">
        <v>108837.5</v>
      </c>
      <c r="AK34">
        <v>84865</v>
      </c>
    </row>
    <row r="35" spans="11:37" x14ac:dyDescent="0.3">
      <c r="K35" s="40">
        <v>31</v>
      </c>
      <c r="L35" s="39">
        <f t="shared" ca="1" si="1"/>
        <v>4.6190010731517184E-2</v>
      </c>
      <c r="M35" s="39">
        <f t="shared" ca="1" si="2"/>
        <v>140</v>
      </c>
      <c r="N35" s="39">
        <f t="shared" ca="1" si="3"/>
        <v>0.42028305255226639</v>
      </c>
      <c r="O35" s="39">
        <f t="shared" ca="1" si="3"/>
        <v>2.1229312816447132E-2</v>
      </c>
      <c r="P35" s="67">
        <f t="shared" ca="1" si="4"/>
        <v>0.24415123653687137</v>
      </c>
      <c r="Q35" s="56">
        <f t="shared" ca="1" si="5"/>
        <v>105.81882688483802</v>
      </c>
      <c r="R35" s="56">
        <f t="shared" ca="1" si="6"/>
        <v>106</v>
      </c>
      <c r="S35" s="56">
        <f t="shared" ca="1" si="7"/>
        <v>106</v>
      </c>
      <c r="T35" s="39">
        <f t="shared" ca="1" si="8"/>
        <v>583000</v>
      </c>
      <c r="U35" s="61">
        <f t="shared" ca="1" si="9"/>
        <v>38000</v>
      </c>
      <c r="V35" s="62">
        <f t="shared" ca="1" si="10"/>
        <v>121000</v>
      </c>
      <c r="W35" s="14"/>
      <c r="AA35" s="11">
        <v>30</v>
      </c>
      <c r="AB35">
        <v>120000</v>
      </c>
      <c r="AC35">
        <v>134807.5</v>
      </c>
      <c r="AD35">
        <v>146132.5</v>
      </c>
      <c r="AE35">
        <v>152137.5</v>
      </c>
      <c r="AF35">
        <v>147170</v>
      </c>
      <c r="AG35">
        <v>155327.5</v>
      </c>
      <c r="AH35">
        <v>136990</v>
      </c>
      <c r="AI35">
        <v>126790</v>
      </c>
      <c r="AJ35">
        <v>111900</v>
      </c>
      <c r="AK35">
        <v>94437.5</v>
      </c>
    </row>
    <row r="36" spans="11:37" x14ac:dyDescent="0.3">
      <c r="K36" s="40">
        <v>32</v>
      </c>
      <c r="L36" s="39">
        <f t="shared" ca="1" si="1"/>
        <v>0.19855676244489229</v>
      </c>
      <c r="M36" s="39">
        <f t="shared" ca="1" si="2"/>
        <v>140</v>
      </c>
      <c r="N36" s="39">
        <f t="shared" ca="1" si="3"/>
        <v>0.15911100368524722</v>
      </c>
      <c r="O36" s="39">
        <f t="shared" ca="1" si="3"/>
        <v>0.77693140218664847</v>
      </c>
      <c r="P36" s="67">
        <f t="shared" ca="1" si="4"/>
        <v>0.29360424058718959</v>
      </c>
      <c r="Q36" s="56">
        <f t="shared" ca="1" si="5"/>
        <v>98.895406317793459</v>
      </c>
      <c r="R36" s="56">
        <f t="shared" ca="1" si="6"/>
        <v>99</v>
      </c>
      <c r="S36" s="56">
        <f t="shared" ca="1" si="7"/>
        <v>99</v>
      </c>
      <c r="T36" s="39">
        <f t="shared" ca="1" si="8"/>
        <v>544500</v>
      </c>
      <c r="U36" s="61">
        <f t="shared" ca="1" si="9"/>
        <v>52000</v>
      </c>
      <c r="V36" s="62">
        <f t="shared" ca="1" si="10"/>
        <v>96500</v>
      </c>
      <c r="W36" s="14"/>
      <c r="AA36" s="11">
        <v>31</v>
      </c>
      <c r="AB36">
        <v>120000</v>
      </c>
      <c r="AC36">
        <v>134982.5</v>
      </c>
      <c r="AD36">
        <v>145940</v>
      </c>
      <c r="AE36">
        <v>153397.5</v>
      </c>
      <c r="AF36">
        <v>148815</v>
      </c>
      <c r="AG36">
        <v>141380</v>
      </c>
      <c r="AH36">
        <v>140805</v>
      </c>
      <c r="AI36">
        <v>129327.5</v>
      </c>
      <c r="AJ36">
        <v>101925</v>
      </c>
      <c r="AK36">
        <v>79317.5</v>
      </c>
    </row>
    <row r="37" spans="11:37" x14ac:dyDescent="0.3">
      <c r="K37" s="40">
        <v>33</v>
      </c>
      <c r="L37" s="39">
        <f t="shared" ca="1" si="1"/>
        <v>0.83127534911750034</v>
      </c>
      <c r="M37" s="39">
        <f t="shared" ca="1" si="2"/>
        <v>200</v>
      </c>
      <c r="N37" s="39">
        <f t="shared" ca="1" si="3"/>
        <v>0.95126599186964955</v>
      </c>
      <c r="O37" s="39">
        <f t="shared" ca="1" si="3"/>
        <v>0.29969939494002118</v>
      </c>
      <c r="P37" s="67">
        <f t="shared" ca="1" si="4"/>
        <v>0.32509653868096711</v>
      </c>
      <c r="Q37" s="56">
        <f t="shared" ca="1" si="5"/>
        <v>134.98069226380659</v>
      </c>
      <c r="R37" s="56">
        <f t="shared" ca="1" si="6"/>
        <v>135</v>
      </c>
      <c r="S37" s="56">
        <f t="shared" ca="1" si="7"/>
        <v>125</v>
      </c>
      <c r="T37" s="39">
        <f t="shared" ca="1" si="8"/>
        <v>687500</v>
      </c>
      <c r="U37" s="61">
        <f t="shared" ca="1" si="9"/>
        <v>0</v>
      </c>
      <c r="V37" s="62">
        <f t="shared" ca="1" si="10"/>
        <v>187500</v>
      </c>
      <c r="W37" s="14"/>
      <c r="AA37" s="11">
        <v>32</v>
      </c>
      <c r="AB37">
        <v>120000</v>
      </c>
      <c r="AC37">
        <v>134772.5</v>
      </c>
      <c r="AD37">
        <v>146272.5</v>
      </c>
      <c r="AE37">
        <v>153152.5</v>
      </c>
      <c r="AF37">
        <v>150792.5</v>
      </c>
      <c r="AG37">
        <v>143200</v>
      </c>
      <c r="AH37">
        <v>135292.5</v>
      </c>
      <c r="AI37">
        <v>119492.5</v>
      </c>
      <c r="AJ37">
        <v>106370</v>
      </c>
      <c r="AK37">
        <v>77200</v>
      </c>
    </row>
    <row r="38" spans="11:37" x14ac:dyDescent="0.3">
      <c r="K38" s="40">
        <v>34</v>
      </c>
      <c r="L38" s="39">
        <f t="shared" ca="1" si="1"/>
        <v>0.34877320874727258</v>
      </c>
      <c r="M38" s="39">
        <f t="shared" ca="1" si="2"/>
        <v>160</v>
      </c>
      <c r="N38" s="39">
        <f t="shared" ca="1" si="3"/>
        <v>0.21392694304948678</v>
      </c>
      <c r="O38" s="39">
        <f t="shared" ca="1" si="3"/>
        <v>0.62280914577248558</v>
      </c>
      <c r="P38" s="67">
        <f t="shared" ca="1" si="4"/>
        <v>0.28367360888219728</v>
      </c>
      <c r="Q38" s="56">
        <f t="shared" ca="1" si="5"/>
        <v>114.61222257884843</v>
      </c>
      <c r="R38" s="56">
        <f t="shared" ca="1" si="6"/>
        <v>115</v>
      </c>
      <c r="S38" s="56">
        <f t="shared" ca="1" si="7"/>
        <v>115</v>
      </c>
      <c r="T38" s="39">
        <f t="shared" ca="1" si="8"/>
        <v>632500</v>
      </c>
      <c r="U38" s="61">
        <f t="shared" ca="1" si="9"/>
        <v>20000</v>
      </c>
      <c r="V38" s="62">
        <f t="shared" ca="1" si="10"/>
        <v>152500</v>
      </c>
      <c r="W38" s="14"/>
      <c r="AA38" s="11">
        <v>33</v>
      </c>
      <c r="AB38">
        <v>120000</v>
      </c>
      <c r="AC38">
        <v>134947.5</v>
      </c>
      <c r="AD38">
        <v>146955</v>
      </c>
      <c r="AE38">
        <v>154237.5</v>
      </c>
      <c r="AF38">
        <v>150320</v>
      </c>
      <c r="AG38">
        <v>153140</v>
      </c>
      <c r="AH38">
        <v>130847.5</v>
      </c>
      <c r="AI38">
        <v>120157.5</v>
      </c>
      <c r="AJ38">
        <v>112110</v>
      </c>
      <c r="AK38">
        <v>79650</v>
      </c>
    </row>
    <row r="39" spans="11:37" x14ac:dyDescent="0.3">
      <c r="K39" s="40">
        <v>35</v>
      </c>
      <c r="L39" s="39">
        <f t="shared" ca="1" si="1"/>
        <v>0.1164626105447929</v>
      </c>
      <c r="M39" s="39">
        <f t="shared" ca="1" si="2"/>
        <v>140</v>
      </c>
      <c r="N39" s="39">
        <f t="shared" ca="1" si="3"/>
        <v>0.48574796436710321</v>
      </c>
      <c r="O39" s="39">
        <f t="shared" ca="1" si="3"/>
        <v>0.20914412868511989</v>
      </c>
      <c r="P39" s="67">
        <f t="shared" ca="1" si="4"/>
        <v>0.26948920930522235</v>
      </c>
      <c r="Q39" s="56">
        <f t="shared" ca="1" si="5"/>
        <v>102.27151069726887</v>
      </c>
      <c r="R39" s="56">
        <f t="shared" ca="1" si="6"/>
        <v>103</v>
      </c>
      <c r="S39" s="56">
        <f t="shared" ca="1" si="7"/>
        <v>103</v>
      </c>
      <c r="T39" s="39">
        <f t="shared" ca="1" si="8"/>
        <v>566500</v>
      </c>
      <c r="U39" s="61">
        <f t="shared" ca="1" si="9"/>
        <v>44000</v>
      </c>
      <c r="V39" s="62">
        <f t="shared" ca="1" si="10"/>
        <v>110500</v>
      </c>
      <c r="W39" s="14"/>
      <c r="AA39" s="11">
        <v>34</v>
      </c>
      <c r="AB39">
        <v>120000</v>
      </c>
      <c r="AC39">
        <v>134930</v>
      </c>
      <c r="AD39">
        <v>147077.5</v>
      </c>
      <c r="AE39">
        <v>154342.5</v>
      </c>
      <c r="AF39">
        <v>149830</v>
      </c>
      <c r="AG39">
        <v>147645</v>
      </c>
      <c r="AH39">
        <v>139492.5</v>
      </c>
      <c r="AI39">
        <v>127122.5</v>
      </c>
      <c r="AJ39">
        <v>113142.5</v>
      </c>
      <c r="AK39">
        <v>82922.5</v>
      </c>
    </row>
    <row r="40" spans="11:37" x14ac:dyDescent="0.3">
      <c r="K40" s="40">
        <v>36</v>
      </c>
      <c r="L40" s="39">
        <f t="shared" ca="1" si="1"/>
        <v>0.55984854005414897</v>
      </c>
      <c r="M40" s="39">
        <f t="shared" ca="1" si="2"/>
        <v>180</v>
      </c>
      <c r="N40" s="39">
        <f t="shared" ca="1" si="3"/>
        <v>4.7863947999844503E-2</v>
      </c>
      <c r="O40" s="39">
        <f t="shared" ca="1" si="3"/>
        <v>0.95769375391001343</v>
      </c>
      <c r="P40" s="67">
        <f t="shared" ca="1" si="4"/>
        <v>0.30055577019098578</v>
      </c>
      <c r="Q40" s="56">
        <f t="shared" ca="1" si="5"/>
        <v>125.89996136562256</v>
      </c>
      <c r="R40" s="56">
        <f t="shared" ca="1" si="6"/>
        <v>126</v>
      </c>
      <c r="S40" s="56">
        <f t="shared" ca="1" si="7"/>
        <v>125</v>
      </c>
      <c r="T40" s="39">
        <f t="shared" ca="1" si="8"/>
        <v>687500</v>
      </c>
      <c r="U40" s="61">
        <f t="shared" ca="1" si="9"/>
        <v>0</v>
      </c>
      <c r="V40" s="62">
        <f t="shared" ca="1" si="10"/>
        <v>187500</v>
      </c>
      <c r="W40" s="14"/>
      <c r="AA40" s="11">
        <v>35</v>
      </c>
      <c r="AB40">
        <v>120000</v>
      </c>
      <c r="AC40">
        <v>134930</v>
      </c>
      <c r="AD40">
        <v>146920</v>
      </c>
      <c r="AE40">
        <v>150300</v>
      </c>
      <c r="AF40">
        <v>148290</v>
      </c>
      <c r="AG40">
        <v>148992.5</v>
      </c>
      <c r="AH40">
        <v>136955</v>
      </c>
      <c r="AI40">
        <v>116325</v>
      </c>
      <c r="AJ40">
        <v>104900</v>
      </c>
      <c r="AK40">
        <v>84340</v>
      </c>
    </row>
    <row r="41" spans="11:37" x14ac:dyDescent="0.3">
      <c r="K41" s="40">
        <v>37</v>
      </c>
      <c r="L41" s="39">
        <f t="shared" ca="1" si="1"/>
        <v>0.41378297710537304</v>
      </c>
      <c r="M41" s="39">
        <f t="shared" ca="1" si="2"/>
        <v>160</v>
      </c>
      <c r="N41" s="39">
        <f t="shared" ca="1" si="3"/>
        <v>0.19745203011827084</v>
      </c>
      <c r="O41" s="39">
        <f t="shared" ca="1" si="3"/>
        <v>0.85669040800143947</v>
      </c>
      <c r="P41" s="67">
        <f t="shared" ca="1" si="4"/>
        <v>0.30541424381197108</v>
      </c>
      <c r="Q41" s="56">
        <f t="shared" ca="1" si="5"/>
        <v>111.13372099008463</v>
      </c>
      <c r="R41" s="56">
        <f t="shared" ca="1" si="6"/>
        <v>112</v>
      </c>
      <c r="S41" s="56">
        <f t="shared" ca="1" si="7"/>
        <v>112</v>
      </c>
      <c r="T41" s="39">
        <f t="shared" ca="1" si="8"/>
        <v>616000</v>
      </c>
      <c r="U41" s="61">
        <f t="shared" ca="1" si="9"/>
        <v>26000</v>
      </c>
      <c r="V41" s="62">
        <f t="shared" ca="1" si="10"/>
        <v>142000</v>
      </c>
      <c r="W41" s="14"/>
      <c r="AA41" s="11">
        <v>36</v>
      </c>
      <c r="AB41">
        <v>120000</v>
      </c>
      <c r="AC41">
        <v>134877.5</v>
      </c>
      <c r="AD41">
        <v>148092.5</v>
      </c>
      <c r="AE41">
        <v>152260</v>
      </c>
      <c r="AF41">
        <v>155167.5</v>
      </c>
      <c r="AG41">
        <v>149692.5</v>
      </c>
      <c r="AH41">
        <v>136552.5</v>
      </c>
      <c r="AI41">
        <v>117847.5</v>
      </c>
      <c r="AJ41">
        <v>111410</v>
      </c>
      <c r="AK41">
        <v>85950</v>
      </c>
    </row>
    <row r="42" spans="11:37" x14ac:dyDescent="0.3">
      <c r="K42" s="40">
        <v>38</v>
      </c>
      <c r="L42" s="39">
        <f t="shared" ca="1" si="1"/>
        <v>0.64493828505410511</v>
      </c>
      <c r="M42" s="39">
        <f t="shared" ca="1" si="2"/>
        <v>180</v>
      </c>
      <c r="N42" s="39">
        <f t="shared" ca="1" si="3"/>
        <v>0.4667026710996417</v>
      </c>
      <c r="O42" s="39">
        <f t="shared" ca="1" si="3"/>
        <v>0.42821100405080792</v>
      </c>
      <c r="P42" s="67">
        <f t="shared" ca="1" si="4"/>
        <v>0.28949136751504501</v>
      </c>
      <c r="Q42" s="56">
        <f t="shared" ca="1" si="5"/>
        <v>127.8915538472919</v>
      </c>
      <c r="R42" s="56">
        <f t="shared" ca="1" si="6"/>
        <v>128</v>
      </c>
      <c r="S42" s="56">
        <f t="shared" ca="1" si="7"/>
        <v>125</v>
      </c>
      <c r="T42" s="39">
        <f t="shared" ca="1" si="8"/>
        <v>687500</v>
      </c>
      <c r="U42" s="61">
        <f t="shared" ca="1" si="9"/>
        <v>0</v>
      </c>
      <c r="V42" s="62">
        <f t="shared" ca="1" si="10"/>
        <v>187500</v>
      </c>
      <c r="W42" s="14"/>
      <c r="AA42" s="11">
        <v>37</v>
      </c>
      <c r="AB42">
        <v>120000</v>
      </c>
      <c r="AC42">
        <v>134825</v>
      </c>
      <c r="AD42">
        <v>147672.5</v>
      </c>
      <c r="AE42">
        <v>152872.5</v>
      </c>
      <c r="AF42">
        <v>152490</v>
      </c>
      <c r="AG42">
        <v>153647.5</v>
      </c>
      <c r="AH42">
        <v>138967.5</v>
      </c>
      <c r="AI42">
        <v>118862.5</v>
      </c>
      <c r="AJ42">
        <v>106825</v>
      </c>
      <c r="AK42">
        <v>86107.5</v>
      </c>
    </row>
    <row r="43" spans="11:37" x14ac:dyDescent="0.3">
      <c r="K43" s="40">
        <v>39</v>
      </c>
      <c r="L43" s="39">
        <f t="shared" ca="1" si="1"/>
        <v>0.33373028184789721</v>
      </c>
      <c r="M43" s="39">
        <f t="shared" ca="1" si="2"/>
        <v>160</v>
      </c>
      <c r="N43" s="39">
        <f t="shared" ca="1" si="3"/>
        <v>0.29571341882206881</v>
      </c>
      <c r="O43" s="39">
        <f t="shared" ca="1" si="3"/>
        <v>2.489140221779107E-2</v>
      </c>
      <c r="P43" s="67">
        <f t="shared" ca="1" si="4"/>
        <v>0.232060482103986</v>
      </c>
      <c r="Q43" s="56">
        <f t="shared" ca="1" si="5"/>
        <v>122.87032286336225</v>
      </c>
      <c r="R43" s="56">
        <f t="shared" ca="1" si="6"/>
        <v>123</v>
      </c>
      <c r="S43" s="56">
        <f t="shared" ca="1" si="7"/>
        <v>123</v>
      </c>
      <c r="T43" s="39">
        <f t="shared" ca="1" si="8"/>
        <v>676500</v>
      </c>
      <c r="U43" s="61">
        <f t="shared" ca="1" si="9"/>
        <v>4000</v>
      </c>
      <c r="V43" s="62">
        <f t="shared" ca="1" si="10"/>
        <v>180500</v>
      </c>
      <c r="W43" s="14"/>
      <c r="AA43" s="11">
        <v>38</v>
      </c>
      <c r="AB43">
        <v>120000</v>
      </c>
      <c r="AC43">
        <v>134807.5</v>
      </c>
      <c r="AD43">
        <v>147392.5</v>
      </c>
      <c r="AE43">
        <v>151402.5</v>
      </c>
      <c r="AF43">
        <v>152367.5</v>
      </c>
      <c r="AG43">
        <v>148852.5</v>
      </c>
      <c r="AH43">
        <v>133472.5</v>
      </c>
      <c r="AI43">
        <v>121050</v>
      </c>
      <c r="AJ43">
        <v>102625</v>
      </c>
      <c r="AK43">
        <v>76255</v>
      </c>
    </row>
    <row r="44" spans="11:37" x14ac:dyDescent="0.3">
      <c r="K44" s="40">
        <v>40</v>
      </c>
      <c r="L44" s="39">
        <f t="shared" ca="1" si="1"/>
        <v>0.28981023731768907</v>
      </c>
      <c r="M44" s="39">
        <f t="shared" ca="1" si="2"/>
        <v>140</v>
      </c>
      <c r="N44" s="39">
        <f t="shared" ca="1" si="3"/>
        <v>0.75640860647027852</v>
      </c>
      <c r="O44" s="39">
        <f t="shared" ca="1" si="3"/>
        <v>0.29759250446947916</v>
      </c>
      <c r="P44" s="67">
        <f t="shared" ca="1" si="4"/>
        <v>0.3054001110939758</v>
      </c>
      <c r="Q44" s="56">
        <f t="shared" ca="1" si="5"/>
        <v>97.243984446843385</v>
      </c>
      <c r="R44" s="56">
        <f t="shared" ca="1" si="6"/>
        <v>98</v>
      </c>
      <c r="S44" s="56">
        <f t="shared" ca="1" si="7"/>
        <v>98</v>
      </c>
      <c r="T44" s="39">
        <f t="shared" ca="1" si="8"/>
        <v>539000</v>
      </c>
      <c r="U44" s="61">
        <f t="shared" ca="1" si="9"/>
        <v>54000</v>
      </c>
      <c r="V44" s="62">
        <f t="shared" ca="1" si="10"/>
        <v>93000</v>
      </c>
      <c r="W44" s="14"/>
      <c r="AA44" s="11">
        <v>39</v>
      </c>
      <c r="AB44">
        <v>120000</v>
      </c>
      <c r="AC44">
        <v>134755</v>
      </c>
      <c r="AD44">
        <v>145607.5</v>
      </c>
      <c r="AE44">
        <v>151910</v>
      </c>
      <c r="AF44">
        <v>151125</v>
      </c>
      <c r="AG44">
        <v>142797.5</v>
      </c>
      <c r="AH44">
        <v>134662.5</v>
      </c>
      <c r="AI44">
        <v>115520</v>
      </c>
      <c r="AJ44">
        <v>106527.5</v>
      </c>
      <c r="AK44">
        <v>82397.5</v>
      </c>
    </row>
    <row r="45" spans="11:37" x14ac:dyDescent="0.3">
      <c r="K45" s="40">
        <v>41</v>
      </c>
      <c r="L45" s="39">
        <f t="shared" ca="1" si="1"/>
        <v>0.94673083184767293</v>
      </c>
      <c r="M45" s="39">
        <f t="shared" ca="1" si="2"/>
        <v>220</v>
      </c>
      <c r="N45" s="39">
        <f t="shared" ca="1" si="3"/>
        <v>0.93658127952508952</v>
      </c>
      <c r="O45" s="39">
        <f t="shared" ca="1" si="3"/>
        <v>0.64816243341541557</v>
      </c>
      <c r="P45" s="67">
        <f t="shared" ca="1" si="4"/>
        <v>0.35847437129405052</v>
      </c>
      <c r="Q45" s="56">
        <f t="shared" ca="1" si="5"/>
        <v>141.13563831530888</v>
      </c>
      <c r="R45" s="56">
        <f t="shared" ca="1" si="6"/>
        <v>142</v>
      </c>
      <c r="S45" s="56">
        <f t="shared" ca="1" si="7"/>
        <v>125</v>
      </c>
      <c r="T45" s="39">
        <f t="shared" ca="1" si="8"/>
        <v>687500</v>
      </c>
      <c r="U45" s="61">
        <f t="shared" ca="1" si="9"/>
        <v>0</v>
      </c>
      <c r="V45" s="62">
        <f t="shared" ca="1" si="10"/>
        <v>187500</v>
      </c>
      <c r="W45" s="14"/>
      <c r="AA45" s="11">
        <v>40</v>
      </c>
      <c r="AB45">
        <v>120000</v>
      </c>
      <c r="AC45">
        <v>134965</v>
      </c>
      <c r="AD45">
        <v>146290</v>
      </c>
      <c r="AE45">
        <v>151367.5</v>
      </c>
      <c r="AF45">
        <v>148360</v>
      </c>
      <c r="AG45">
        <v>148975</v>
      </c>
      <c r="AH45">
        <v>134522.5</v>
      </c>
      <c r="AI45">
        <v>126265</v>
      </c>
      <c r="AJ45">
        <v>100472.5</v>
      </c>
      <c r="AK45">
        <v>83307.5</v>
      </c>
    </row>
    <row r="46" spans="11:37" x14ac:dyDescent="0.3">
      <c r="K46" s="40">
        <v>42</v>
      </c>
      <c r="L46" s="39">
        <f t="shared" ca="1" si="1"/>
        <v>0.30162148790104282</v>
      </c>
      <c r="M46" s="39">
        <f t="shared" ca="1" si="2"/>
        <v>160</v>
      </c>
      <c r="N46" s="39">
        <f t="shared" ca="1" si="3"/>
        <v>0.84428315865045067</v>
      </c>
      <c r="O46" s="39">
        <f t="shared" ca="1" si="3"/>
        <v>9.8510412298778882E-2</v>
      </c>
      <c r="P46" s="67">
        <f t="shared" ca="1" si="4"/>
        <v>0.29427935709492298</v>
      </c>
      <c r="Q46" s="56">
        <f t="shared" ca="1" si="5"/>
        <v>112.91530286481233</v>
      </c>
      <c r="R46" s="56">
        <f t="shared" ca="1" si="6"/>
        <v>113</v>
      </c>
      <c r="S46" s="56">
        <f t="shared" ca="1" si="7"/>
        <v>113</v>
      </c>
      <c r="T46" s="39">
        <f t="shared" ca="1" si="8"/>
        <v>621500</v>
      </c>
      <c r="U46" s="61">
        <f t="shared" ca="1" si="9"/>
        <v>24000</v>
      </c>
      <c r="V46" s="62">
        <f t="shared" ca="1" si="10"/>
        <v>145500</v>
      </c>
      <c r="W46" s="14"/>
      <c r="AA46" s="11">
        <v>41</v>
      </c>
      <c r="AB46">
        <v>120000</v>
      </c>
      <c r="AC46">
        <v>134930</v>
      </c>
      <c r="AD46">
        <v>146447.5</v>
      </c>
      <c r="AE46">
        <v>151822.5</v>
      </c>
      <c r="AF46">
        <v>149777.5</v>
      </c>
      <c r="AG46">
        <v>145720</v>
      </c>
      <c r="AH46">
        <v>136185</v>
      </c>
      <c r="AI46">
        <v>120875</v>
      </c>
      <c r="AJ46">
        <v>106142.5</v>
      </c>
      <c r="AK46">
        <v>83360</v>
      </c>
    </row>
    <row r="47" spans="11:37" x14ac:dyDescent="0.3">
      <c r="K47" s="40">
        <v>43</v>
      </c>
      <c r="L47" s="39">
        <f t="shared" ca="1" si="1"/>
        <v>0.86105155472910155</v>
      </c>
      <c r="M47" s="39">
        <f t="shared" ca="1" si="2"/>
        <v>200</v>
      </c>
      <c r="N47" s="39">
        <f t="shared" ca="1" si="3"/>
        <v>0.5507842592164901</v>
      </c>
      <c r="O47" s="39">
        <f t="shared" ca="1" si="3"/>
        <v>0.99863741522491689</v>
      </c>
      <c r="P47" s="67">
        <f t="shared" ca="1" si="4"/>
        <v>0.3549421674441407</v>
      </c>
      <c r="Q47" s="56">
        <f t="shared" ca="1" si="5"/>
        <v>129.01156651117185</v>
      </c>
      <c r="R47" s="56">
        <f t="shared" ca="1" si="6"/>
        <v>130</v>
      </c>
      <c r="S47" s="56">
        <f t="shared" ca="1" si="7"/>
        <v>125</v>
      </c>
      <c r="T47" s="39">
        <f t="shared" ca="1" si="8"/>
        <v>687500</v>
      </c>
      <c r="U47" s="61">
        <f t="shared" ca="1" si="9"/>
        <v>0</v>
      </c>
      <c r="V47" s="62">
        <f t="shared" ca="1" si="10"/>
        <v>187500</v>
      </c>
      <c r="W47" s="14"/>
      <c r="AA47" s="11">
        <v>42</v>
      </c>
      <c r="AB47">
        <v>120000</v>
      </c>
      <c r="AC47">
        <v>134930</v>
      </c>
      <c r="AD47">
        <v>145765</v>
      </c>
      <c r="AE47">
        <v>152260</v>
      </c>
      <c r="AF47">
        <v>152437.5</v>
      </c>
      <c r="AG47">
        <v>146140</v>
      </c>
      <c r="AH47">
        <v>144462.5</v>
      </c>
      <c r="AI47">
        <v>120665</v>
      </c>
      <c r="AJ47">
        <v>102502.5</v>
      </c>
      <c r="AK47">
        <v>83395</v>
      </c>
    </row>
    <row r="48" spans="11:37" x14ac:dyDescent="0.3">
      <c r="K48" s="40">
        <v>44</v>
      </c>
      <c r="L48" s="39">
        <f t="shared" ca="1" si="1"/>
        <v>0.613623602773818</v>
      </c>
      <c r="M48" s="39">
        <f t="shared" ca="1" si="2"/>
        <v>180</v>
      </c>
      <c r="N48" s="39">
        <f t="shared" ca="1" si="3"/>
        <v>0.61795283087445729</v>
      </c>
      <c r="O48" s="39">
        <f t="shared" ca="1" si="3"/>
        <v>1.7342682172800994E-2</v>
      </c>
      <c r="P48" s="67">
        <f t="shared" ca="1" si="4"/>
        <v>0.26352955130472583</v>
      </c>
      <c r="Q48" s="56">
        <f t="shared" ca="1" si="5"/>
        <v>132.56468076514935</v>
      </c>
      <c r="R48" s="56">
        <f t="shared" ca="1" si="6"/>
        <v>133</v>
      </c>
      <c r="S48" s="56">
        <f t="shared" ca="1" si="7"/>
        <v>125</v>
      </c>
      <c r="T48" s="39">
        <f t="shared" ca="1" si="8"/>
        <v>687500</v>
      </c>
      <c r="U48" s="61">
        <f t="shared" ca="1" si="9"/>
        <v>0</v>
      </c>
      <c r="V48" s="62">
        <f t="shared" ca="1" si="10"/>
        <v>187500</v>
      </c>
      <c r="W48" s="14"/>
      <c r="AA48" s="11">
        <v>43</v>
      </c>
      <c r="AB48">
        <v>120000</v>
      </c>
      <c r="AC48">
        <v>134930</v>
      </c>
      <c r="AD48">
        <v>145870</v>
      </c>
      <c r="AE48">
        <v>154080</v>
      </c>
      <c r="AF48">
        <v>150635</v>
      </c>
      <c r="AG48">
        <v>145510</v>
      </c>
      <c r="AH48">
        <v>139405</v>
      </c>
      <c r="AI48">
        <v>120577.5</v>
      </c>
      <c r="AJ48">
        <v>106772.5</v>
      </c>
      <c r="AK48">
        <v>81102.5</v>
      </c>
    </row>
    <row r="49" spans="11:37" x14ac:dyDescent="0.3">
      <c r="K49" s="40">
        <v>45</v>
      </c>
      <c r="L49" s="39">
        <f t="shared" ca="1" si="1"/>
        <v>0.5633026840703963</v>
      </c>
      <c r="M49" s="39">
        <f t="shared" ca="1" si="2"/>
        <v>180</v>
      </c>
      <c r="N49" s="39">
        <f t="shared" ca="1" si="3"/>
        <v>0.68433762984632351</v>
      </c>
      <c r="O49" s="39">
        <f t="shared" ca="1" si="3"/>
        <v>0.71461127062816232</v>
      </c>
      <c r="P49" s="67">
        <f t="shared" ca="1" si="4"/>
        <v>0.33989489004744861</v>
      </c>
      <c r="Q49" s="56">
        <f t="shared" ca="1" si="5"/>
        <v>118.81891979145925</v>
      </c>
      <c r="R49" s="56">
        <f t="shared" ca="1" si="6"/>
        <v>119</v>
      </c>
      <c r="S49" s="56">
        <f t="shared" ca="1" si="7"/>
        <v>119</v>
      </c>
      <c r="T49" s="39">
        <f t="shared" ca="1" si="8"/>
        <v>654500</v>
      </c>
      <c r="U49" s="61">
        <f t="shared" ca="1" si="9"/>
        <v>12000</v>
      </c>
      <c r="V49" s="62">
        <f t="shared" ca="1" si="10"/>
        <v>166500</v>
      </c>
      <c r="W49" s="14"/>
      <c r="AA49" s="11">
        <v>44</v>
      </c>
      <c r="AB49">
        <v>120000</v>
      </c>
      <c r="AC49">
        <v>134930</v>
      </c>
      <c r="AD49">
        <v>147410</v>
      </c>
      <c r="AE49">
        <v>152295</v>
      </c>
      <c r="AF49">
        <v>147397.5</v>
      </c>
      <c r="AG49">
        <v>146472.5</v>
      </c>
      <c r="AH49">
        <v>140997.5</v>
      </c>
      <c r="AI49">
        <v>123010</v>
      </c>
      <c r="AJ49">
        <v>108067.5</v>
      </c>
      <c r="AK49">
        <v>87997.5</v>
      </c>
    </row>
    <row r="50" spans="11:37" x14ac:dyDescent="0.3">
      <c r="K50" s="40">
        <v>46</v>
      </c>
      <c r="L50" s="39">
        <f t="shared" ca="1" si="1"/>
        <v>0.15560525764794342</v>
      </c>
      <c r="M50" s="39">
        <f t="shared" ca="1" si="2"/>
        <v>140</v>
      </c>
      <c r="N50" s="39">
        <f t="shared" ca="1" si="3"/>
        <v>0.9492762128496105</v>
      </c>
      <c r="O50" s="39">
        <f t="shared" ca="1" si="3"/>
        <v>4.9095558886488311E-2</v>
      </c>
      <c r="P50" s="67">
        <f t="shared" ca="1" si="4"/>
        <v>0.29983717717360991</v>
      </c>
      <c r="Q50" s="56">
        <f t="shared" ca="1" si="5"/>
        <v>98.022795195694613</v>
      </c>
      <c r="R50" s="56">
        <f t="shared" ca="1" si="6"/>
        <v>99</v>
      </c>
      <c r="S50" s="56">
        <f t="shared" ca="1" si="7"/>
        <v>99</v>
      </c>
      <c r="T50" s="39">
        <f t="shared" ca="1" si="8"/>
        <v>544500</v>
      </c>
      <c r="U50" s="61">
        <f t="shared" ca="1" si="9"/>
        <v>52000</v>
      </c>
      <c r="V50" s="62">
        <f t="shared" ca="1" si="10"/>
        <v>96500</v>
      </c>
      <c r="W50" s="14"/>
      <c r="AA50" s="11">
        <v>45</v>
      </c>
      <c r="AB50">
        <v>120000</v>
      </c>
      <c r="AC50">
        <v>134807.5</v>
      </c>
      <c r="AD50">
        <v>146727.5</v>
      </c>
      <c r="AE50">
        <v>150335</v>
      </c>
      <c r="AF50">
        <v>153172.5</v>
      </c>
      <c r="AG50">
        <v>144285</v>
      </c>
      <c r="AH50">
        <v>142502.5</v>
      </c>
      <c r="AI50">
        <v>117340</v>
      </c>
      <c r="AJ50">
        <v>104637.5</v>
      </c>
      <c r="AK50">
        <v>80420</v>
      </c>
    </row>
    <row r="51" spans="11:37" x14ac:dyDescent="0.3">
      <c r="K51" s="40">
        <v>47</v>
      </c>
      <c r="L51" s="39">
        <f t="shared" ca="1" si="1"/>
        <v>0.22262950649357871</v>
      </c>
      <c r="M51" s="39">
        <f t="shared" ca="1" si="2"/>
        <v>140</v>
      </c>
      <c r="N51" s="39">
        <f t="shared" ca="1" si="3"/>
        <v>0.41501982950348038</v>
      </c>
      <c r="O51" s="39">
        <f t="shared" ca="1" si="3"/>
        <v>0.74109564408602613</v>
      </c>
      <c r="P51" s="67">
        <f t="shared" ca="1" si="4"/>
        <v>0.31561154735895069</v>
      </c>
      <c r="Q51" s="56">
        <f t="shared" ca="1" si="5"/>
        <v>95.814383369746906</v>
      </c>
      <c r="R51" s="56">
        <f t="shared" ca="1" si="6"/>
        <v>96</v>
      </c>
      <c r="S51" s="56">
        <f t="shared" ca="1" si="7"/>
        <v>96</v>
      </c>
      <c r="T51" s="39">
        <f t="shared" ca="1" si="8"/>
        <v>528000</v>
      </c>
      <c r="U51" s="61">
        <f t="shared" ca="1" si="9"/>
        <v>58000</v>
      </c>
      <c r="V51" s="62">
        <f t="shared" ca="1" si="10"/>
        <v>86000</v>
      </c>
      <c r="W51" s="14"/>
      <c r="AA51" s="11">
        <v>46</v>
      </c>
      <c r="AB51">
        <v>120000</v>
      </c>
      <c r="AC51">
        <v>134965</v>
      </c>
      <c r="AD51">
        <v>146815</v>
      </c>
      <c r="AE51">
        <v>150842.5</v>
      </c>
      <c r="AF51">
        <v>151440</v>
      </c>
      <c r="AG51">
        <v>143217.5</v>
      </c>
      <c r="AH51">
        <v>133315</v>
      </c>
      <c r="AI51">
        <v>123605</v>
      </c>
      <c r="AJ51">
        <v>112442.5</v>
      </c>
      <c r="AK51">
        <v>87420</v>
      </c>
    </row>
    <row r="52" spans="11:37" x14ac:dyDescent="0.3">
      <c r="K52" s="40">
        <v>48</v>
      </c>
      <c r="L52" s="39">
        <f t="shared" ca="1" si="1"/>
        <v>0.54908053436552928</v>
      </c>
      <c r="M52" s="39">
        <f t="shared" ca="1" si="2"/>
        <v>180</v>
      </c>
      <c r="N52" s="39">
        <f t="shared" ca="1" si="3"/>
        <v>0.75200660554241405</v>
      </c>
      <c r="O52" s="39">
        <f t="shared" ca="1" si="3"/>
        <v>0.96226092228211668</v>
      </c>
      <c r="P52" s="67">
        <f t="shared" ca="1" si="4"/>
        <v>0.37142675278245307</v>
      </c>
      <c r="Q52" s="56">
        <f t="shared" ca="1" si="5"/>
        <v>113.14318449915845</v>
      </c>
      <c r="R52" s="56">
        <f t="shared" ca="1" si="6"/>
        <v>114</v>
      </c>
      <c r="S52" s="56">
        <f t="shared" ca="1" si="7"/>
        <v>114</v>
      </c>
      <c r="T52" s="39">
        <f t="shared" ca="1" si="8"/>
        <v>627000</v>
      </c>
      <c r="U52" s="61">
        <f t="shared" ca="1" si="9"/>
        <v>22000</v>
      </c>
      <c r="V52" s="62">
        <f t="shared" ca="1" si="10"/>
        <v>149000</v>
      </c>
      <c r="W52" s="14"/>
      <c r="AA52" s="11">
        <v>47</v>
      </c>
      <c r="AB52">
        <v>120000</v>
      </c>
      <c r="AC52">
        <v>134807.5</v>
      </c>
      <c r="AD52">
        <v>146657.5</v>
      </c>
      <c r="AE52">
        <v>150685</v>
      </c>
      <c r="AF52">
        <v>154817.5</v>
      </c>
      <c r="AG52">
        <v>144950</v>
      </c>
      <c r="AH52">
        <v>138162.5</v>
      </c>
      <c r="AI52">
        <v>115467.5</v>
      </c>
      <c r="AJ52">
        <v>108890</v>
      </c>
      <c r="AK52">
        <v>80962.5</v>
      </c>
    </row>
    <row r="53" spans="11:37" x14ac:dyDescent="0.3">
      <c r="K53" s="40">
        <v>49</v>
      </c>
      <c r="L53" s="39">
        <f t="shared" ca="1" si="1"/>
        <v>0.34186825110702923</v>
      </c>
      <c r="M53" s="39">
        <f t="shared" ca="1" si="2"/>
        <v>160</v>
      </c>
      <c r="N53" s="39">
        <f t="shared" ca="1" si="3"/>
        <v>0.89020016665137691</v>
      </c>
      <c r="O53" s="39">
        <f t="shared" ca="1" si="3"/>
        <v>0.81261758507655524</v>
      </c>
      <c r="P53" s="67">
        <f t="shared" ca="1" si="4"/>
        <v>0.37028177517279326</v>
      </c>
      <c r="Q53" s="56">
        <f t="shared" ca="1" si="5"/>
        <v>100.75491597235307</v>
      </c>
      <c r="R53" s="56">
        <f t="shared" ca="1" si="6"/>
        <v>101</v>
      </c>
      <c r="S53" s="56">
        <f t="shared" ca="1" si="7"/>
        <v>101</v>
      </c>
      <c r="T53" s="39">
        <f t="shared" ca="1" si="8"/>
        <v>555500</v>
      </c>
      <c r="U53" s="61">
        <f t="shared" ca="1" si="9"/>
        <v>48000</v>
      </c>
      <c r="V53" s="62">
        <f t="shared" ca="1" si="10"/>
        <v>103500</v>
      </c>
      <c r="W53" s="14"/>
      <c r="AA53" s="11">
        <v>48</v>
      </c>
      <c r="AB53">
        <v>120000</v>
      </c>
      <c r="AC53">
        <v>134912.5</v>
      </c>
      <c r="AD53">
        <v>146500</v>
      </c>
      <c r="AE53">
        <v>148987.5</v>
      </c>
      <c r="AF53">
        <v>153505</v>
      </c>
      <c r="AG53">
        <v>144810</v>
      </c>
      <c r="AH53">
        <v>135870</v>
      </c>
      <c r="AI53">
        <v>114277.5</v>
      </c>
      <c r="AJ53">
        <v>105880</v>
      </c>
      <c r="AK53">
        <v>89257.5</v>
      </c>
    </row>
    <row r="54" spans="11:37" x14ac:dyDescent="0.3">
      <c r="K54" s="40">
        <v>50</v>
      </c>
      <c r="L54" s="39">
        <f t="shared" ca="1" si="1"/>
        <v>9.4087916214874445E-2</v>
      </c>
      <c r="M54" s="39">
        <f t="shared" ca="1" si="2"/>
        <v>140</v>
      </c>
      <c r="N54" s="39">
        <f t="shared" ca="1" si="3"/>
        <v>0.65052995838602323</v>
      </c>
      <c r="O54" s="39">
        <f t="shared" ca="1" si="3"/>
        <v>0.43047089668584904</v>
      </c>
      <c r="P54" s="67">
        <f t="shared" ca="1" si="4"/>
        <v>0.30810008550718726</v>
      </c>
      <c r="Q54" s="56">
        <f t="shared" ca="1" si="5"/>
        <v>96.865988028993783</v>
      </c>
      <c r="R54" s="56">
        <f t="shared" ca="1" si="6"/>
        <v>97</v>
      </c>
      <c r="S54" s="56">
        <f t="shared" ca="1" si="7"/>
        <v>97</v>
      </c>
      <c r="T54" s="39">
        <f t="shared" ca="1" si="8"/>
        <v>533500</v>
      </c>
      <c r="U54" s="61">
        <f t="shared" ca="1" si="9"/>
        <v>56000</v>
      </c>
      <c r="V54" s="62">
        <f t="shared" ca="1" si="10"/>
        <v>89500</v>
      </c>
      <c r="W54" s="14"/>
      <c r="AA54" s="11">
        <v>49</v>
      </c>
      <c r="AB54">
        <v>120000</v>
      </c>
      <c r="AC54">
        <v>134982.5</v>
      </c>
      <c r="AD54">
        <v>147077.5</v>
      </c>
      <c r="AE54">
        <v>150965</v>
      </c>
      <c r="AF54">
        <v>154117.5</v>
      </c>
      <c r="AG54">
        <v>144792.5</v>
      </c>
      <c r="AH54">
        <v>139895</v>
      </c>
      <c r="AI54">
        <v>123570</v>
      </c>
      <c r="AJ54">
        <v>105565</v>
      </c>
      <c r="AK54">
        <v>83202.5</v>
      </c>
    </row>
    <row r="55" spans="11:37" x14ac:dyDescent="0.3">
      <c r="K55" s="40">
        <v>51</v>
      </c>
      <c r="L55" s="39">
        <f t="shared" ca="1" si="1"/>
        <v>0.28914266471872963</v>
      </c>
      <c r="M55" s="39">
        <f t="shared" ca="1" si="2"/>
        <v>140</v>
      </c>
      <c r="N55" s="39">
        <f t="shared" ca="1" si="3"/>
        <v>0.26185214205346408</v>
      </c>
      <c r="O55" s="39">
        <f t="shared" ca="1" si="3"/>
        <v>0.89410044193876426</v>
      </c>
      <c r="P55" s="67">
        <f t="shared" ca="1" si="4"/>
        <v>0.31559525839922287</v>
      </c>
      <c r="Q55" s="56">
        <f t="shared" ca="1" si="5"/>
        <v>95.816663824108801</v>
      </c>
      <c r="R55" s="56">
        <f t="shared" ca="1" si="6"/>
        <v>96</v>
      </c>
      <c r="S55" s="56">
        <f t="shared" ca="1" si="7"/>
        <v>96</v>
      </c>
      <c r="T55" s="39">
        <f t="shared" ca="1" si="8"/>
        <v>528000</v>
      </c>
      <c r="U55" s="61">
        <f t="shared" ca="1" si="9"/>
        <v>58000</v>
      </c>
      <c r="V55" s="62">
        <f t="shared" ca="1" si="10"/>
        <v>86000</v>
      </c>
      <c r="W55" s="14"/>
      <c r="AA55" s="11">
        <v>50</v>
      </c>
      <c r="AB55">
        <v>120000</v>
      </c>
      <c r="AC55">
        <v>134825</v>
      </c>
      <c r="AD55">
        <v>147095</v>
      </c>
      <c r="AE55">
        <v>151105</v>
      </c>
      <c r="AF55">
        <v>151720</v>
      </c>
      <c r="AG55">
        <v>143917.5</v>
      </c>
      <c r="AH55">
        <v>133420</v>
      </c>
      <c r="AI55">
        <v>123185</v>
      </c>
      <c r="AJ55">
        <v>104287.5</v>
      </c>
      <c r="AK55">
        <v>78687.5</v>
      </c>
    </row>
    <row r="56" spans="11:37" x14ac:dyDescent="0.3">
      <c r="K56" s="40">
        <v>52</v>
      </c>
      <c r="L56" s="39">
        <f t="shared" ca="1" si="1"/>
        <v>0.71297960991796994</v>
      </c>
      <c r="M56" s="39">
        <f t="shared" ca="1" si="2"/>
        <v>200</v>
      </c>
      <c r="N56" s="39">
        <f t="shared" ca="1" si="3"/>
        <v>4.9005623229753659E-2</v>
      </c>
      <c r="O56" s="39">
        <f t="shared" ca="1" si="3"/>
        <v>0.82801364806669675</v>
      </c>
      <c r="P56" s="67">
        <f t="shared" ca="1" si="4"/>
        <v>0.28770192712964504</v>
      </c>
      <c r="Q56" s="56">
        <f t="shared" ca="1" si="5"/>
        <v>142.459614574071</v>
      </c>
      <c r="R56" s="56">
        <f t="shared" ca="1" si="6"/>
        <v>143</v>
      </c>
      <c r="S56" s="56">
        <f t="shared" ca="1" si="7"/>
        <v>125</v>
      </c>
      <c r="T56" s="39">
        <f t="shared" ca="1" si="8"/>
        <v>687500</v>
      </c>
      <c r="U56" s="61">
        <f t="shared" ca="1" si="9"/>
        <v>0</v>
      </c>
      <c r="V56" s="62">
        <f t="shared" ca="1" si="10"/>
        <v>187500</v>
      </c>
      <c r="W56" s="14"/>
      <c r="AA56" s="11">
        <v>51</v>
      </c>
      <c r="AB56">
        <v>120000</v>
      </c>
      <c r="AC56">
        <v>134702.5</v>
      </c>
      <c r="AD56">
        <v>146640</v>
      </c>
      <c r="AE56">
        <v>153625</v>
      </c>
      <c r="AF56">
        <v>152472.5</v>
      </c>
      <c r="AG56">
        <v>147977.5</v>
      </c>
      <c r="AH56">
        <v>137410</v>
      </c>
      <c r="AI56">
        <v>123955</v>
      </c>
      <c r="AJ56">
        <v>113860</v>
      </c>
      <c r="AK56">
        <v>95312.5</v>
      </c>
    </row>
    <row r="57" spans="11:37" x14ac:dyDescent="0.3">
      <c r="K57" s="40">
        <v>53</v>
      </c>
      <c r="L57" s="39">
        <f t="shared" ca="1" si="1"/>
        <v>0.46157560924016761</v>
      </c>
      <c r="M57" s="39">
        <f t="shared" ca="1" si="2"/>
        <v>160</v>
      </c>
      <c r="N57" s="39">
        <f t="shared" ca="1" si="3"/>
        <v>0.47843699208953638</v>
      </c>
      <c r="O57" s="39">
        <f t="shared" ca="1" si="3"/>
        <v>2.1555994569287362E-2</v>
      </c>
      <c r="P57" s="67">
        <f t="shared" ca="1" si="4"/>
        <v>0.24999929866588239</v>
      </c>
      <c r="Q57" s="56">
        <f t="shared" ca="1" si="5"/>
        <v>120.00011221345882</v>
      </c>
      <c r="R57" s="56">
        <f t="shared" ca="1" si="6"/>
        <v>121</v>
      </c>
      <c r="S57" s="56">
        <f t="shared" ca="1" si="7"/>
        <v>121</v>
      </c>
      <c r="T57" s="39">
        <f t="shared" ca="1" si="8"/>
        <v>665500</v>
      </c>
      <c r="U57" s="61">
        <f t="shared" ca="1" si="9"/>
        <v>8000</v>
      </c>
      <c r="V57" s="62">
        <f t="shared" ca="1" si="10"/>
        <v>173500</v>
      </c>
      <c r="W57" s="14"/>
      <c r="AA57" s="11">
        <v>52</v>
      </c>
      <c r="AB57">
        <v>120000</v>
      </c>
      <c r="AC57">
        <v>134790</v>
      </c>
      <c r="AD57">
        <v>146762.5</v>
      </c>
      <c r="AE57">
        <v>153625</v>
      </c>
      <c r="AF57">
        <v>148167.5</v>
      </c>
      <c r="AG57">
        <v>146122.5</v>
      </c>
      <c r="AH57">
        <v>139580</v>
      </c>
      <c r="AI57">
        <v>124690</v>
      </c>
      <c r="AJ57">
        <v>101067.5</v>
      </c>
      <c r="AK57">
        <v>88400</v>
      </c>
    </row>
    <row r="58" spans="11:37" x14ac:dyDescent="0.3">
      <c r="K58" s="40">
        <v>54</v>
      </c>
      <c r="L58" s="39">
        <f t="shared" ca="1" si="1"/>
        <v>0.84954066338301615</v>
      </c>
      <c r="M58" s="39">
        <f t="shared" ca="1" si="2"/>
        <v>200</v>
      </c>
      <c r="N58" s="39">
        <f t="shared" ca="1" si="3"/>
        <v>0.9161086912004347</v>
      </c>
      <c r="O58" s="39">
        <f t="shared" ca="1" si="3"/>
        <v>5.9554212027789655E-2</v>
      </c>
      <c r="P58" s="67">
        <f t="shared" ca="1" si="4"/>
        <v>0.29756629032282245</v>
      </c>
      <c r="Q58" s="56">
        <f t="shared" ca="1" si="5"/>
        <v>140.4867419354355</v>
      </c>
      <c r="R58" s="56">
        <f t="shared" ca="1" si="6"/>
        <v>141</v>
      </c>
      <c r="S58" s="56">
        <f t="shared" ca="1" si="7"/>
        <v>125</v>
      </c>
      <c r="T58" s="39">
        <f t="shared" ca="1" si="8"/>
        <v>687500</v>
      </c>
      <c r="U58" s="61">
        <f t="shared" ca="1" si="9"/>
        <v>0</v>
      </c>
      <c r="V58" s="62">
        <f t="shared" ca="1" si="10"/>
        <v>187500</v>
      </c>
      <c r="W58" s="14"/>
      <c r="AA58" s="11">
        <v>53</v>
      </c>
      <c r="AB58">
        <v>120000</v>
      </c>
      <c r="AC58">
        <v>134947.5</v>
      </c>
      <c r="AD58">
        <v>147795</v>
      </c>
      <c r="AE58">
        <v>152190</v>
      </c>
      <c r="AF58">
        <v>149532.5</v>
      </c>
      <c r="AG58">
        <v>141625</v>
      </c>
      <c r="AH58">
        <v>139720</v>
      </c>
      <c r="AI58">
        <v>110637.5</v>
      </c>
      <c r="AJ58">
        <v>112740</v>
      </c>
      <c r="AK58">
        <v>83430</v>
      </c>
    </row>
    <row r="59" spans="11:37" x14ac:dyDescent="0.3">
      <c r="K59" s="40">
        <v>55</v>
      </c>
      <c r="L59" s="39">
        <f t="shared" ca="1" si="1"/>
        <v>9.7069934537730163E-4</v>
      </c>
      <c r="M59" s="39">
        <f t="shared" ca="1" si="2"/>
        <v>140</v>
      </c>
      <c r="N59" s="39">
        <f t="shared" ca="1" si="3"/>
        <v>0.79774438136692116</v>
      </c>
      <c r="O59" s="39">
        <f t="shared" ca="1" si="3"/>
        <v>0.78918249709632793</v>
      </c>
      <c r="P59" s="67">
        <f t="shared" ca="1" si="4"/>
        <v>0.35869268784632491</v>
      </c>
      <c r="Q59" s="56">
        <f t="shared" ca="1" si="5"/>
        <v>89.783023701514509</v>
      </c>
      <c r="R59" s="56">
        <f t="shared" ca="1" si="6"/>
        <v>90</v>
      </c>
      <c r="S59" s="56">
        <f t="shared" ca="1" si="7"/>
        <v>90</v>
      </c>
      <c r="T59" s="39">
        <f t="shared" ca="1" si="8"/>
        <v>495000</v>
      </c>
      <c r="U59" s="61">
        <f t="shared" ca="1" si="9"/>
        <v>70000</v>
      </c>
      <c r="V59" s="62">
        <f t="shared" ca="1" si="10"/>
        <v>65000</v>
      </c>
      <c r="W59" s="14"/>
      <c r="AA59" s="11">
        <v>54</v>
      </c>
      <c r="AB59">
        <v>120000</v>
      </c>
      <c r="AC59">
        <v>134947.5</v>
      </c>
      <c r="AD59">
        <v>146062.5</v>
      </c>
      <c r="AE59">
        <v>152417.5</v>
      </c>
      <c r="AF59">
        <v>153015</v>
      </c>
      <c r="AG59">
        <v>144285</v>
      </c>
      <c r="AH59">
        <v>139300</v>
      </c>
      <c r="AI59">
        <v>128050</v>
      </c>
      <c r="AJ59">
        <v>106650</v>
      </c>
      <c r="AK59">
        <v>84795</v>
      </c>
    </row>
    <row r="60" spans="11:37" x14ac:dyDescent="0.3">
      <c r="K60" s="40">
        <v>56</v>
      </c>
      <c r="L60" s="39">
        <f t="shared" ca="1" si="1"/>
        <v>0.92092043787825462</v>
      </c>
      <c r="M60" s="39">
        <f t="shared" ca="1" si="2"/>
        <v>220</v>
      </c>
      <c r="N60" s="39">
        <f t="shared" ca="1" si="3"/>
        <v>8.1021758562992874E-2</v>
      </c>
      <c r="O60" s="39">
        <f t="shared" ca="1" si="3"/>
        <v>0.35988805091992315</v>
      </c>
      <c r="P60" s="67">
        <f t="shared" ca="1" si="4"/>
        <v>0.24409098094829162</v>
      </c>
      <c r="Q60" s="56">
        <f t="shared" ca="1" si="5"/>
        <v>166.29998419137584</v>
      </c>
      <c r="R60" s="56">
        <f t="shared" ca="1" si="6"/>
        <v>167</v>
      </c>
      <c r="S60" s="56">
        <f t="shared" ca="1" si="7"/>
        <v>125</v>
      </c>
      <c r="T60" s="39">
        <f t="shared" ca="1" si="8"/>
        <v>687500</v>
      </c>
      <c r="U60" s="61">
        <f t="shared" ca="1" si="9"/>
        <v>0</v>
      </c>
      <c r="V60" s="62">
        <f t="shared" ca="1" si="10"/>
        <v>187500</v>
      </c>
      <c r="W60" s="14"/>
      <c r="AA60" s="11">
        <v>55</v>
      </c>
      <c r="AB60">
        <v>120000</v>
      </c>
      <c r="AC60">
        <v>134842.5</v>
      </c>
      <c r="AD60">
        <v>147322.5</v>
      </c>
      <c r="AE60">
        <v>152662.5</v>
      </c>
      <c r="AF60">
        <v>149952.5</v>
      </c>
      <c r="AG60">
        <v>152492.5</v>
      </c>
      <c r="AH60">
        <v>138180</v>
      </c>
      <c r="AI60">
        <v>119352.5</v>
      </c>
      <c r="AJ60">
        <v>105215</v>
      </c>
      <c r="AK60">
        <v>84375</v>
      </c>
    </row>
    <row r="61" spans="11:37" x14ac:dyDescent="0.3">
      <c r="K61" s="40">
        <v>57</v>
      </c>
      <c r="L61" s="39">
        <f t="shared" ca="1" si="1"/>
        <v>1.9264609981688996E-2</v>
      </c>
      <c r="M61" s="39">
        <f t="shared" ca="1" si="2"/>
        <v>140</v>
      </c>
      <c r="N61" s="39">
        <f t="shared" ca="1" si="3"/>
        <v>0.65092162779643337</v>
      </c>
      <c r="O61" s="39">
        <f t="shared" ca="1" si="3"/>
        <v>0.13392895814262773</v>
      </c>
      <c r="P61" s="67">
        <f t="shared" ca="1" si="4"/>
        <v>0.27848505859390615</v>
      </c>
      <c r="Q61" s="56">
        <f t="shared" ca="1" si="5"/>
        <v>101.01209179685314</v>
      </c>
      <c r="R61" s="56">
        <f t="shared" ca="1" si="6"/>
        <v>102</v>
      </c>
      <c r="S61" s="56">
        <f t="shared" ca="1" si="7"/>
        <v>102</v>
      </c>
      <c r="T61" s="39">
        <f t="shared" ca="1" si="8"/>
        <v>561000</v>
      </c>
      <c r="U61" s="61">
        <f t="shared" ca="1" si="9"/>
        <v>46000</v>
      </c>
      <c r="V61" s="62">
        <f t="shared" ca="1" si="10"/>
        <v>107000</v>
      </c>
      <c r="W61" s="14"/>
      <c r="AA61" s="11">
        <v>56</v>
      </c>
      <c r="AB61">
        <v>120000</v>
      </c>
      <c r="AC61">
        <v>134965</v>
      </c>
      <c r="AD61">
        <v>147112.5</v>
      </c>
      <c r="AE61">
        <v>152662.5</v>
      </c>
      <c r="AF61">
        <v>148552.5</v>
      </c>
      <c r="AG61">
        <v>152947.5</v>
      </c>
      <c r="AH61">
        <v>134977.5</v>
      </c>
      <c r="AI61">
        <v>124287.5</v>
      </c>
      <c r="AJ61">
        <v>109327.5</v>
      </c>
      <c r="AK61">
        <v>79790</v>
      </c>
    </row>
    <row r="62" spans="11:37" x14ac:dyDescent="0.3">
      <c r="K62" s="40">
        <v>58</v>
      </c>
      <c r="L62" s="39">
        <f t="shared" ca="1" si="1"/>
        <v>0.4249948681339627</v>
      </c>
      <c r="M62" s="39">
        <f t="shared" ca="1" si="2"/>
        <v>160</v>
      </c>
      <c r="N62" s="39">
        <f t="shared" ca="1" si="3"/>
        <v>0.29975598229543599</v>
      </c>
      <c r="O62" s="39">
        <f t="shared" ca="1" si="3"/>
        <v>0.376001450067039</v>
      </c>
      <c r="P62" s="67">
        <f t="shared" ca="1" si="4"/>
        <v>0.2675757432362475</v>
      </c>
      <c r="Q62" s="56">
        <f t="shared" ca="1" si="5"/>
        <v>117.18788108220039</v>
      </c>
      <c r="R62" s="56">
        <f t="shared" ca="1" si="6"/>
        <v>118</v>
      </c>
      <c r="S62" s="56">
        <f t="shared" ca="1" si="7"/>
        <v>118</v>
      </c>
      <c r="T62" s="39">
        <f t="shared" ca="1" si="8"/>
        <v>649000</v>
      </c>
      <c r="U62" s="61">
        <f t="shared" ca="1" si="9"/>
        <v>14000</v>
      </c>
      <c r="V62" s="62">
        <f t="shared" ca="1" si="10"/>
        <v>163000</v>
      </c>
      <c r="W62" s="14"/>
      <c r="AA62" s="11">
        <v>57</v>
      </c>
      <c r="AB62">
        <v>120000</v>
      </c>
      <c r="AC62">
        <v>134930</v>
      </c>
      <c r="AD62">
        <v>145257.5</v>
      </c>
      <c r="AE62">
        <v>150877.5</v>
      </c>
      <c r="AF62">
        <v>152612.5</v>
      </c>
      <c r="AG62">
        <v>151180</v>
      </c>
      <c r="AH62">
        <v>141190</v>
      </c>
      <c r="AI62">
        <v>132110</v>
      </c>
      <c r="AJ62">
        <v>98565</v>
      </c>
      <c r="AK62">
        <v>90832.5</v>
      </c>
    </row>
    <row r="63" spans="11:37" x14ac:dyDescent="0.3">
      <c r="K63" s="40">
        <v>59</v>
      </c>
      <c r="L63" s="39">
        <f t="shared" ca="1" si="1"/>
        <v>0.64901762175281985</v>
      </c>
      <c r="M63" s="39">
        <f t="shared" ca="1" si="2"/>
        <v>180</v>
      </c>
      <c r="N63" s="39">
        <f t="shared" ca="1" si="3"/>
        <v>0.61440034436446511</v>
      </c>
      <c r="O63" s="39">
        <f t="shared" ca="1" si="3"/>
        <v>4.5263846624563842E-2</v>
      </c>
      <c r="P63" s="67">
        <f t="shared" ca="1" si="4"/>
        <v>0.2659664190989029</v>
      </c>
      <c r="Q63" s="56">
        <f t="shared" ca="1" si="5"/>
        <v>132.12604456219748</v>
      </c>
      <c r="R63" s="56">
        <f t="shared" ca="1" si="6"/>
        <v>133</v>
      </c>
      <c r="S63" s="56">
        <f t="shared" ca="1" si="7"/>
        <v>125</v>
      </c>
      <c r="T63" s="39">
        <f t="shared" ca="1" si="8"/>
        <v>687500</v>
      </c>
      <c r="U63" s="61">
        <f t="shared" ca="1" si="9"/>
        <v>0</v>
      </c>
      <c r="V63" s="62">
        <f t="shared" ca="1" si="10"/>
        <v>187500</v>
      </c>
      <c r="W63" s="14"/>
      <c r="AA63" s="11">
        <v>58</v>
      </c>
      <c r="AB63">
        <v>120000</v>
      </c>
      <c r="AC63">
        <v>134877.5</v>
      </c>
      <c r="AD63">
        <v>145992.5</v>
      </c>
      <c r="AE63">
        <v>151560</v>
      </c>
      <c r="AF63">
        <v>148990</v>
      </c>
      <c r="AG63">
        <v>151302.5</v>
      </c>
      <c r="AH63">
        <v>135677.5</v>
      </c>
      <c r="AI63">
        <v>131200</v>
      </c>
      <c r="AJ63">
        <v>104095</v>
      </c>
      <c r="AK63">
        <v>83867.5</v>
      </c>
    </row>
    <row r="64" spans="11:37" x14ac:dyDescent="0.3">
      <c r="K64" s="40">
        <v>60</v>
      </c>
      <c r="L64" s="39">
        <f t="shared" ca="1" si="1"/>
        <v>6.3506823453790551E-2</v>
      </c>
      <c r="M64" s="39">
        <f t="shared" ca="1" si="2"/>
        <v>140</v>
      </c>
      <c r="N64" s="39">
        <f t="shared" ca="1" si="3"/>
        <v>0.33282414052072207</v>
      </c>
      <c r="O64" s="39">
        <f t="shared" ca="1" si="3"/>
        <v>0.99457928617817715</v>
      </c>
      <c r="P64" s="67">
        <f t="shared" ca="1" si="4"/>
        <v>0.33274034266988994</v>
      </c>
      <c r="Q64" s="56">
        <f t="shared" ca="1" si="5"/>
        <v>93.416352026215407</v>
      </c>
      <c r="R64" s="56">
        <f t="shared" ca="1" si="6"/>
        <v>94</v>
      </c>
      <c r="S64" s="56">
        <f t="shared" ca="1" si="7"/>
        <v>94</v>
      </c>
      <c r="T64" s="39">
        <f t="shared" ca="1" si="8"/>
        <v>517000</v>
      </c>
      <c r="U64" s="61">
        <f t="shared" ca="1" si="9"/>
        <v>62000</v>
      </c>
      <c r="V64" s="62">
        <f t="shared" ca="1" si="10"/>
        <v>79000</v>
      </c>
      <c r="W64" s="14"/>
      <c r="AA64" s="11">
        <v>59</v>
      </c>
      <c r="AB64">
        <v>120000</v>
      </c>
      <c r="AC64">
        <v>134807.5</v>
      </c>
      <c r="AD64">
        <v>146937.5</v>
      </c>
      <c r="AE64">
        <v>151805</v>
      </c>
      <c r="AF64">
        <v>155710</v>
      </c>
      <c r="AG64">
        <v>150497.5</v>
      </c>
      <c r="AH64">
        <v>135082.5</v>
      </c>
      <c r="AI64">
        <v>124532.5</v>
      </c>
      <c r="AJ64">
        <v>98460</v>
      </c>
      <c r="AK64">
        <v>86580</v>
      </c>
    </row>
    <row r="65" spans="11:37" x14ac:dyDescent="0.3">
      <c r="K65" s="40">
        <v>61</v>
      </c>
      <c r="L65" s="39">
        <f t="shared" ca="1" si="1"/>
        <v>0.19931291569627785</v>
      </c>
      <c r="M65" s="39">
        <f t="shared" ca="1" si="2"/>
        <v>140</v>
      </c>
      <c r="N65" s="39">
        <f t="shared" ca="1" si="3"/>
        <v>0.94060441746125512</v>
      </c>
      <c r="O65" s="39">
        <f t="shared" ca="1" si="3"/>
        <v>5.2941018587745581E-2</v>
      </c>
      <c r="P65" s="67">
        <f t="shared" ca="1" si="4"/>
        <v>0.2993545436049001</v>
      </c>
      <c r="Q65" s="56">
        <f t="shared" ca="1" si="5"/>
        <v>98.090363895313985</v>
      </c>
      <c r="R65" s="56">
        <f t="shared" ca="1" si="6"/>
        <v>99</v>
      </c>
      <c r="S65" s="56">
        <f t="shared" ca="1" si="7"/>
        <v>99</v>
      </c>
      <c r="T65" s="39">
        <f t="shared" ca="1" si="8"/>
        <v>544500</v>
      </c>
      <c r="U65" s="61">
        <f t="shared" ca="1" si="9"/>
        <v>52000</v>
      </c>
      <c r="V65" s="62">
        <f t="shared" ca="1" si="10"/>
        <v>96500</v>
      </c>
      <c r="W65" s="14"/>
      <c r="AA65" s="11">
        <v>60</v>
      </c>
      <c r="AB65">
        <v>120000</v>
      </c>
      <c r="AC65">
        <v>134685</v>
      </c>
      <c r="AD65">
        <v>145905</v>
      </c>
      <c r="AE65">
        <v>150090</v>
      </c>
      <c r="AF65">
        <v>149847.5</v>
      </c>
      <c r="AG65">
        <v>150707.5</v>
      </c>
      <c r="AH65">
        <v>142415</v>
      </c>
      <c r="AI65">
        <v>127490</v>
      </c>
      <c r="AJ65">
        <v>107192.5</v>
      </c>
      <c r="AK65">
        <v>83062.5</v>
      </c>
    </row>
    <row r="66" spans="11:37" x14ac:dyDescent="0.3">
      <c r="K66" s="40">
        <v>62</v>
      </c>
      <c r="L66" s="39">
        <f t="shared" ca="1" si="1"/>
        <v>0.75824320072168561</v>
      </c>
      <c r="M66" s="39">
        <f t="shared" ca="1" si="2"/>
        <v>200</v>
      </c>
      <c r="N66" s="39">
        <f t="shared" ca="1" si="3"/>
        <v>0.68310786640922827</v>
      </c>
      <c r="O66" s="39">
        <f t="shared" ca="1" si="3"/>
        <v>0.89922775317132519</v>
      </c>
      <c r="P66" s="67">
        <f t="shared" ca="1" si="4"/>
        <v>0.35823356195805539</v>
      </c>
      <c r="Q66" s="56">
        <f t="shared" ca="1" si="5"/>
        <v>128.35328760838894</v>
      </c>
      <c r="R66" s="56">
        <f t="shared" ca="1" si="6"/>
        <v>129</v>
      </c>
      <c r="S66" s="56">
        <f t="shared" ca="1" si="7"/>
        <v>125</v>
      </c>
      <c r="T66" s="39">
        <f t="shared" ca="1" si="8"/>
        <v>687500</v>
      </c>
      <c r="U66" s="61">
        <f t="shared" ca="1" si="9"/>
        <v>0</v>
      </c>
      <c r="V66" s="62">
        <f t="shared" ca="1" si="10"/>
        <v>187500</v>
      </c>
      <c r="W66" s="14"/>
      <c r="AA66" s="11">
        <v>61</v>
      </c>
      <c r="AB66">
        <v>120000</v>
      </c>
      <c r="AC66">
        <v>134930</v>
      </c>
      <c r="AD66">
        <v>146220</v>
      </c>
      <c r="AE66">
        <v>153677.5</v>
      </c>
      <c r="AF66">
        <v>152717.5</v>
      </c>
      <c r="AG66">
        <v>150585</v>
      </c>
      <c r="AH66">
        <v>137130</v>
      </c>
      <c r="AI66">
        <v>117217.5</v>
      </c>
      <c r="AJ66">
        <v>109082.5</v>
      </c>
      <c r="AK66">
        <v>86037.5</v>
      </c>
    </row>
    <row r="67" spans="11:37" x14ac:dyDescent="0.3">
      <c r="K67" s="40">
        <v>63</v>
      </c>
      <c r="L67" s="39">
        <f t="shared" ca="1" si="1"/>
        <v>0.39588542976755581</v>
      </c>
      <c r="M67" s="39">
        <f t="shared" ca="1" si="2"/>
        <v>160</v>
      </c>
      <c r="N67" s="39">
        <f t="shared" ca="1" si="3"/>
        <v>0.48532149833640492</v>
      </c>
      <c r="O67" s="39">
        <f t="shared" ca="1" si="3"/>
        <v>0.23423537603898648</v>
      </c>
      <c r="P67" s="67">
        <f t="shared" ca="1" si="4"/>
        <v>0.27195568743753917</v>
      </c>
      <c r="Q67" s="56">
        <f t="shared" ca="1" si="5"/>
        <v>116.48709000999374</v>
      </c>
      <c r="R67" s="56">
        <f t="shared" ca="1" si="6"/>
        <v>117</v>
      </c>
      <c r="S67" s="56">
        <f t="shared" ca="1" si="7"/>
        <v>117</v>
      </c>
      <c r="T67" s="39">
        <f t="shared" ca="1" si="8"/>
        <v>643500</v>
      </c>
      <c r="U67" s="61">
        <f t="shared" ca="1" si="9"/>
        <v>16000</v>
      </c>
      <c r="V67" s="62">
        <f t="shared" ca="1" si="10"/>
        <v>159500</v>
      </c>
      <c r="W67" s="14"/>
      <c r="AA67" s="11">
        <v>62</v>
      </c>
      <c r="AB67">
        <v>120000</v>
      </c>
      <c r="AC67">
        <v>134772.5</v>
      </c>
      <c r="AD67">
        <v>146027.5</v>
      </c>
      <c r="AE67">
        <v>152155</v>
      </c>
      <c r="AF67">
        <v>150477.5</v>
      </c>
      <c r="AG67">
        <v>146035</v>
      </c>
      <c r="AH67">
        <v>137952.5</v>
      </c>
      <c r="AI67">
        <v>122012.5</v>
      </c>
      <c r="AJ67">
        <v>107105</v>
      </c>
      <c r="AK67">
        <v>83570</v>
      </c>
    </row>
    <row r="68" spans="11:37" x14ac:dyDescent="0.3">
      <c r="K68" s="40">
        <v>64</v>
      </c>
      <c r="L68" s="39">
        <f t="shared" ca="1" si="1"/>
        <v>0.8864930301447409</v>
      </c>
      <c r="M68" s="39">
        <f t="shared" ca="1" si="2"/>
        <v>200</v>
      </c>
      <c r="N68" s="39">
        <f t="shared" ca="1" si="3"/>
        <v>0.91492994898015634</v>
      </c>
      <c r="O68" s="39">
        <f t="shared" ca="1" si="3"/>
        <v>8.8956357652990148E-2</v>
      </c>
      <c r="P68" s="67">
        <f t="shared" ca="1" si="4"/>
        <v>0.30038863066331467</v>
      </c>
      <c r="Q68" s="56">
        <f t="shared" ca="1" si="5"/>
        <v>139.92227386733708</v>
      </c>
      <c r="R68" s="56">
        <f t="shared" ca="1" si="6"/>
        <v>140</v>
      </c>
      <c r="S68" s="56">
        <f t="shared" ca="1" si="7"/>
        <v>125</v>
      </c>
      <c r="T68" s="39">
        <f t="shared" ca="1" si="8"/>
        <v>687500</v>
      </c>
      <c r="U68" s="61">
        <f t="shared" ca="1" si="9"/>
        <v>0</v>
      </c>
      <c r="V68" s="62">
        <f t="shared" ca="1" si="10"/>
        <v>187500</v>
      </c>
      <c r="W68" s="14"/>
      <c r="AA68" s="11">
        <v>63</v>
      </c>
      <c r="AB68">
        <v>120000</v>
      </c>
      <c r="AC68">
        <v>134720</v>
      </c>
      <c r="AD68">
        <v>145152.5</v>
      </c>
      <c r="AE68">
        <v>153520</v>
      </c>
      <c r="AF68">
        <v>152175</v>
      </c>
      <c r="AG68">
        <v>146052.5</v>
      </c>
      <c r="AH68">
        <v>143097.5</v>
      </c>
      <c r="AI68">
        <v>126352.5</v>
      </c>
      <c r="AJ68">
        <v>100315</v>
      </c>
      <c r="AK68">
        <v>94735</v>
      </c>
    </row>
    <row r="69" spans="11:37" x14ac:dyDescent="0.3">
      <c r="K69" s="40">
        <v>65</v>
      </c>
      <c r="L69" s="39">
        <f t="shared" ca="1" si="1"/>
        <v>0.74704568984524855</v>
      </c>
      <c r="M69" s="39">
        <f t="shared" ca="1" si="2"/>
        <v>200</v>
      </c>
      <c r="N69" s="39">
        <f t="shared" ca="1" si="3"/>
        <v>0.99715721195255136</v>
      </c>
      <c r="O69" s="39">
        <f t="shared" ca="1" si="3"/>
        <v>0.31244944420946574</v>
      </c>
      <c r="P69" s="67">
        <f t="shared" ca="1" si="4"/>
        <v>0.33096066561620174</v>
      </c>
      <c r="Q69" s="56">
        <f t="shared" ca="1" si="5"/>
        <v>133.80786687675965</v>
      </c>
      <c r="R69" s="56">
        <f t="shared" ca="1" si="6"/>
        <v>134</v>
      </c>
      <c r="S69" s="56">
        <f t="shared" ca="1" si="7"/>
        <v>125</v>
      </c>
      <c r="T69" s="39">
        <f t="shared" ca="1" si="8"/>
        <v>687500</v>
      </c>
      <c r="U69" s="61">
        <f t="shared" ca="1" si="9"/>
        <v>0</v>
      </c>
      <c r="V69" s="62">
        <f t="shared" ca="1" si="10"/>
        <v>187500</v>
      </c>
      <c r="W69" s="14"/>
      <c r="AA69" s="11">
        <v>64</v>
      </c>
      <c r="AB69">
        <v>120000</v>
      </c>
      <c r="AC69">
        <v>134737.5</v>
      </c>
      <c r="AD69">
        <v>146272.5</v>
      </c>
      <c r="AE69">
        <v>150107.5</v>
      </c>
      <c r="AF69">
        <v>151177.5</v>
      </c>
      <c r="AG69">
        <v>143270</v>
      </c>
      <c r="AH69">
        <v>144760</v>
      </c>
      <c r="AI69">
        <v>123272.5</v>
      </c>
      <c r="AJ69">
        <v>96990</v>
      </c>
      <c r="AK69">
        <v>84900</v>
      </c>
    </row>
    <row r="70" spans="11:37" x14ac:dyDescent="0.3">
      <c r="K70" s="40">
        <v>66</v>
      </c>
      <c r="L70" s="39">
        <f t="shared" ref="L70:L133" ca="1" si="11">RAND()</f>
        <v>0.75730758390048891</v>
      </c>
      <c r="M70" s="39">
        <f t="shared" ref="M70:M133" ca="1" si="12">VLOOKUP(L70,$C$5:$E$9,3,TRUE)</f>
        <v>200</v>
      </c>
      <c r="N70" s="39">
        <f t="shared" ref="N70:O133" ca="1" si="13">RAND()</f>
        <v>0.71854668268193433</v>
      </c>
      <c r="O70" s="39">
        <f t="shared" ca="1" si="13"/>
        <v>0.91045026709051802</v>
      </c>
      <c r="P70" s="67">
        <f t="shared" ref="P70:P133" ca="1" si="14">$E$11+($E$12-$E$11)/2*(N70+O70)</f>
        <v>0.36289969497724528</v>
      </c>
      <c r="Q70" s="56">
        <f t="shared" ref="Q70:Q133" ca="1" si="15">M70-(M70*P70)</f>
        <v>127.42006100455094</v>
      </c>
      <c r="R70" s="56">
        <f t="shared" ref="R70:R133" ca="1" si="16">ROUNDUP(Q70,0)</f>
        <v>128</v>
      </c>
      <c r="S70" s="56">
        <f t="shared" ref="S70:S133" ca="1" si="17">MIN(R70,$M$1)</f>
        <v>125</v>
      </c>
      <c r="T70" s="39">
        <f t="shared" ref="T70:T133" ca="1" si="18">S70*$B$14</f>
        <v>687500</v>
      </c>
      <c r="U70" s="61">
        <f t="shared" ref="U70:U133" ca="1" si="19">($M$1-S70)*$B$15</f>
        <v>0</v>
      </c>
      <c r="V70" s="62">
        <f t="shared" ref="V70:V133" ca="1" si="20">U70+T70-$M$2</f>
        <v>187500</v>
      </c>
      <c r="W70" s="14"/>
      <c r="AA70" s="11">
        <v>65</v>
      </c>
      <c r="AB70">
        <v>120000</v>
      </c>
      <c r="AC70">
        <v>134860</v>
      </c>
      <c r="AD70">
        <v>145747.5</v>
      </c>
      <c r="AE70">
        <v>153187.5</v>
      </c>
      <c r="AF70">
        <v>148430</v>
      </c>
      <c r="AG70">
        <v>142482.5</v>
      </c>
      <c r="AH70">
        <v>142415</v>
      </c>
      <c r="AI70">
        <v>126247.5</v>
      </c>
      <c r="AJ70">
        <v>93192.5</v>
      </c>
      <c r="AK70">
        <v>78232.5</v>
      </c>
    </row>
    <row r="71" spans="11:37" x14ac:dyDescent="0.3">
      <c r="K71" s="40">
        <v>67</v>
      </c>
      <c r="L71" s="39">
        <f t="shared" ca="1" si="11"/>
        <v>0.97487877895274921</v>
      </c>
      <c r="M71" s="39">
        <f t="shared" ca="1" si="12"/>
        <v>220</v>
      </c>
      <c r="N71" s="39">
        <f t="shared" ca="1" si="13"/>
        <v>0.66748324231654066</v>
      </c>
      <c r="O71" s="39">
        <f t="shared" ca="1" si="13"/>
        <v>0.45063039808636174</v>
      </c>
      <c r="P71" s="67">
        <f t="shared" ca="1" si="14"/>
        <v>0.31181136404029025</v>
      </c>
      <c r="Q71" s="56">
        <f t="shared" ca="1" si="15"/>
        <v>151.40149991113614</v>
      </c>
      <c r="R71" s="56">
        <f t="shared" ca="1" si="16"/>
        <v>152</v>
      </c>
      <c r="S71" s="56">
        <f t="shared" ca="1" si="17"/>
        <v>125</v>
      </c>
      <c r="T71" s="39">
        <f t="shared" ca="1" si="18"/>
        <v>687500</v>
      </c>
      <c r="U71" s="61">
        <f t="shared" ca="1" si="19"/>
        <v>0</v>
      </c>
      <c r="V71" s="62">
        <f t="shared" ca="1" si="20"/>
        <v>187500</v>
      </c>
      <c r="W71" s="14"/>
      <c r="AA71" s="11">
        <v>66</v>
      </c>
      <c r="AB71">
        <v>120000</v>
      </c>
      <c r="AC71">
        <v>134912.5</v>
      </c>
      <c r="AD71">
        <v>147025</v>
      </c>
      <c r="AE71">
        <v>151402.5</v>
      </c>
      <c r="AF71">
        <v>151527.5</v>
      </c>
      <c r="AG71">
        <v>145457.5</v>
      </c>
      <c r="AH71">
        <v>140472.5</v>
      </c>
      <c r="AI71">
        <v>122485</v>
      </c>
      <c r="AJ71">
        <v>99545</v>
      </c>
      <c r="AK71">
        <v>89782.5</v>
      </c>
    </row>
    <row r="72" spans="11:37" x14ac:dyDescent="0.3">
      <c r="K72" s="40">
        <v>68</v>
      </c>
      <c r="L72" s="39">
        <f t="shared" ca="1" si="11"/>
        <v>0.13095270896298117</v>
      </c>
      <c r="M72" s="39">
        <f t="shared" ca="1" si="12"/>
        <v>140</v>
      </c>
      <c r="N72" s="39">
        <f t="shared" ca="1" si="13"/>
        <v>0.31206806341352922</v>
      </c>
      <c r="O72" s="39">
        <f t="shared" ca="1" si="13"/>
        <v>0.53717997087435276</v>
      </c>
      <c r="P72" s="67">
        <f t="shared" ca="1" si="14"/>
        <v>0.28492480342878823</v>
      </c>
      <c r="Q72" s="56">
        <f t="shared" ca="1" si="15"/>
        <v>100.11052751996965</v>
      </c>
      <c r="R72" s="56">
        <f t="shared" ca="1" si="16"/>
        <v>101</v>
      </c>
      <c r="S72" s="56">
        <f t="shared" ca="1" si="17"/>
        <v>101</v>
      </c>
      <c r="T72" s="39">
        <f t="shared" ca="1" si="18"/>
        <v>555500</v>
      </c>
      <c r="U72" s="61">
        <f t="shared" ca="1" si="19"/>
        <v>48000</v>
      </c>
      <c r="V72" s="62">
        <f t="shared" ca="1" si="20"/>
        <v>103500</v>
      </c>
      <c r="W72" s="14"/>
      <c r="AA72" s="11">
        <v>67</v>
      </c>
      <c r="AB72">
        <v>120000</v>
      </c>
      <c r="AC72">
        <v>134737.5</v>
      </c>
      <c r="AD72">
        <v>145310</v>
      </c>
      <c r="AE72">
        <v>155270</v>
      </c>
      <c r="AF72">
        <v>149427.5</v>
      </c>
      <c r="AG72">
        <v>144407.5</v>
      </c>
      <c r="AH72">
        <v>131180</v>
      </c>
      <c r="AI72">
        <v>119405</v>
      </c>
      <c r="AJ72">
        <v>114245</v>
      </c>
      <c r="AK72">
        <v>101350</v>
      </c>
    </row>
    <row r="73" spans="11:37" x14ac:dyDescent="0.3">
      <c r="K73" s="40">
        <v>69</v>
      </c>
      <c r="L73" s="39">
        <f t="shared" ca="1" si="11"/>
        <v>0.52061142496847213</v>
      </c>
      <c r="M73" s="39">
        <f t="shared" ca="1" si="12"/>
        <v>180</v>
      </c>
      <c r="N73" s="39">
        <f t="shared" ca="1" si="13"/>
        <v>0.81067199609885743</v>
      </c>
      <c r="O73" s="39">
        <f t="shared" ca="1" si="13"/>
        <v>0.37622341687314731</v>
      </c>
      <c r="P73" s="67">
        <f t="shared" ca="1" si="14"/>
        <v>0.31868954129720051</v>
      </c>
      <c r="Q73" s="56">
        <f t="shared" ca="1" si="15"/>
        <v>122.63588256650391</v>
      </c>
      <c r="R73" s="56">
        <f t="shared" ca="1" si="16"/>
        <v>123</v>
      </c>
      <c r="S73" s="56">
        <f t="shared" ca="1" si="17"/>
        <v>123</v>
      </c>
      <c r="T73" s="39">
        <f t="shared" ca="1" si="18"/>
        <v>676500</v>
      </c>
      <c r="U73" s="61">
        <f t="shared" ca="1" si="19"/>
        <v>4000</v>
      </c>
      <c r="V73" s="62">
        <f t="shared" ca="1" si="20"/>
        <v>180500</v>
      </c>
      <c r="W73" s="14"/>
      <c r="AA73" s="11">
        <v>68</v>
      </c>
      <c r="AB73">
        <v>120000</v>
      </c>
      <c r="AC73">
        <v>134895</v>
      </c>
      <c r="AD73">
        <v>147217.5</v>
      </c>
      <c r="AE73">
        <v>153975</v>
      </c>
      <c r="AF73">
        <v>149235</v>
      </c>
      <c r="AG73">
        <v>147330</v>
      </c>
      <c r="AH73">
        <v>136255</v>
      </c>
      <c r="AI73">
        <v>119702.5</v>
      </c>
      <c r="AJ73">
        <v>110692.5</v>
      </c>
      <c r="AK73">
        <v>82362.5</v>
      </c>
    </row>
    <row r="74" spans="11:37" x14ac:dyDescent="0.3">
      <c r="K74" s="40">
        <v>70</v>
      </c>
      <c r="L74" s="39">
        <f t="shared" ca="1" si="11"/>
        <v>0.51735242257399316</v>
      </c>
      <c r="M74" s="39">
        <f t="shared" ca="1" si="12"/>
        <v>180</v>
      </c>
      <c r="N74" s="39">
        <f t="shared" ca="1" si="13"/>
        <v>3.3551711947065299E-2</v>
      </c>
      <c r="O74" s="39">
        <f t="shared" ca="1" si="13"/>
        <v>0.37877220344800211</v>
      </c>
      <c r="P74" s="67">
        <f t="shared" ca="1" si="14"/>
        <v>0.24123239153950676</v>
      </c>
      <c r="Q74" s="56">
        <f t="shared" ca="1" si="15"/>
        <v>136.5781695228888</v>
      </c>
      <c r="R74" s="56">
        <f t="shared" ca="1" si="16"/>
        <v>137</v>
      </c>
      <c r="S74" s="56">
        <f t="shared" ca="1" si="17"/>
        <v>125</v>
      </c>
      <c r="T74" s="39">
        <f t="shared" ca="1" si="18"/>
        <v>687500</v>
      </c>
      <c r="U74" s="61">
        <f t="shared" ca="1" si="19"/>
        <v>0</v>
      </c>
      <c r="V74" s="62">
        <f t="shared" ca="1" si="20"/>
        <v>187500</v>
      </c>
      <c r="W74" s="14"/>
      <c r="AA74" s="11">
        <v>69</v>
      </c>
      <c r="AB74">
        <v>120000</v>
      </c>
      <c r="AC74">
        <v>134825</v>
      </c>
      <c r="AD74">
        <v>147182.5</v>
      </c>
      <c r="AE74">
        <v>151490</v>
      </c>
      <c r="AF74">
        <v>150337.5</v>
      </c>
      <c r="AG74">
        <v>143532.5</v>
      </c>
      <c r="AH74">
        <v>135887.5</v>
      </c>
      <c r="AI74">
        <v>114120</v>
      </c>
      <c r="AJ74">
        <v>107000</v>
      </c>
      <c r="AK74">
        <v>81662.5</v>
      </c>
    </row>
    <row r="75" spans="11:37" x14ac:dyDescent="0.3">
      <c r="K75" s="40">
        <v>71</v>
      </c>
      <c r="L75" s="39">
        <f t="shared" ca="1" si="11"/>
        <v>0.47005435102224591</v>
      </c>
      <c r="M75" s="39">
        <f t="shared" ca="1" si="12"/>
        <v>160</v>
      </c>
      <c r="N75" s="39">
        <f t="shared" ca="1" si="13"/>
        <v>2.4228578115823907E-2</v>
      </c>
      <c r="O75" s="39">
        <f t="shared" ca="1" si="13"/>
        <v>0.35264390682412927</v>
      </c>
      <c r="P75" s="67">
        <f t="shared" ca="1" si="14"/>
        <v>0.23768724849399533</v>
      </c>
      <c r="Q75" s="56">
        <f t="shared" ca="1" si="15"/>
        <v>121.97004024096074</v>
      </c>
      <c r="R75" s="56">
        <f t="shared" ca="1" si="16"/>
        <v>122</v>
      </c>
      <c r="S75" s="56">
        <f t="shared" ca="1" si="17"/>
        <v>122</v>
      </c>
      <c r="T75" s="39">
        <f t="shared" ca="1" si="18"/>
        <v>671000</v>
      </c>
      <c r="U75" s="61">
        <f t="shared" ca="1" si="19"/>
        <v>6000</v>
      </c>
      <c r="V75" s="62">
        <f t="shared" ca="1" si="20"/>
        <v>177000</v>
      </c>
      <c r="W75" s="14"/>
      <c r="AA75" s="11">
        <v>70</v>
      </c>
      <c r="AB75">
        <v>120000</v>
      </c>
      <c r="AC75">
        <v>134790</v>
      </c>
      <c r="AD75">
        <v>147672.5</v>
      </c>
      <c r="AE75">
        <v>150527.5</v>
      </c>
      <c r="AF75">
        <v>150092.5</v>
      </c>
      <c r="AG75">
        <v>157025</v>
      </c>
      <c r="AH75">
        <v>129552.5</v>
      </c>
      <c r="AI75">
        <v>112615</v>
      </c>
      <c r="AJ75">
        <v>107770</v>
      </c>
      <c r="AK75">
        <v>87752.5</v>
      </c>
    </row>
    <row r="76" spans="11:37" x14ac:dyDescent="0.3">
      <c r="K76" s="40">
        <v>72</v>
      </c>
      <c r="L76" s="39">
        <f t="shared" ca="1" si="11"/>
        <v>0.47907017017954157</v>
      </c>
      <c r="M76" s="39">
        <f t="shared" ca="1" si="12"/>
        <v>160</v>
      </c>
      <c r="N76" s="39">
        <f t="shared" ca="1" si="13"/>
        <v>0.29161084811547155</v>
      </c>
      <c r="O76" s="39">
        <f t="shared" ca="1" si="13"/>
        <v>0.95502067872614838</v>
      </c>
      <c r="P76" s="67">
        <f t="shared" ca="1" si="14"/>
        <v>0.32466315268416202</v>
      </c>
      <c r="Q76" s="56">
        <f t="shared" ca="1" si="15"/>
        <v>108.05389557053408</v>
      </c>
      <c r="R76" s="56">
        <f t="shared" ca="1" si="16"/>
        <v>109</v>
      </c>
      <c r="S76" s="56">
        <f t="shared" ca="1" si="17"/>
        <v>109</v>
      </c>
      <c r="T76" s="39">
        <f t="shared" ca="1" si="18"/>
        <v>599500</v>
      </c>
      <c r="U76" s="61">
        <f t="shared" ca="1" si="19"/>
        <v>32000</v>
      </c>
      <c r="V76" s="62">
        <f t="shared" ca="1" si="20"/>
        <v>131500</v>
      </c>
      <c r="W76" s="14"/>
      <c r="AA76" s="11">
        <v>71</v>
      </c>
      <c r="AB76">
        <v>120000</v>
      </c>
      <c r="AC76">
        <v>134877.5</v>
      </c>
      <c r="AD76">
        <v>146850</v>
      </c>
      <c r="AE76">
        <v>152925</v>
      </c>
      <c r="AF76">
        <v>154625</v>
      </c>
      <c r="AG76">
        <v>144897.5</v>
      </c>
      <c r="AH76">
        <v>136517.5</v>
      </c>
      <c r="AI76">
        <v>126125</v>
      </c>
      <c r="AJ76">
        <v>110325</v>
      </c>
      <c r="AK76">
        <v>86930</v>
      </c>
    </row>
    <row r="77" spans="11:37" x14ac:dyDescent="0.3">
      <c r="K77" s="40">
        <v>73</v>
      </c>
      <c r="L77" s="39">
        <f t="shared" ca="1" si="11"/>
        <v>0.90937848115546172</v>
      </c>
      <c r="M77" s="39">
        <f t="shared" ca="1" si="12"/>
        <v>220</v>
      </c>
      <c r="N77" s="39">
        <f t="shared" ca="1" si="13"/>
        <v>0.49720045561567305</v>
      </c>
      <c r="O77" s="39">
        <f t="shared" ca="1" si="13"/>
        <v>0.25603815351018633</v>
      </c>
      <c r="P77" s="67">
        <f t="shared" ca="1" si="14"/>
        <v>0.27532386091258598</v>
      </c>
      <c r="Q77" s="56">
        <f t="shared" ca="1" si="15"/>
        <v>159.42875059923108</v>
      </c>
      <c r="R77" s="56">
        <f t="shared" ca="1" si="16"/>
        <v>160</v>
      </c>
      <c r="S77" s="56">
        <f t="shared" ca="1" si="17"/>
        <v>125</v>
      </c>
      <c r="T77" s="39">
        <f t="shared" ca="1" si="18"/>
        <v>687500</v>
      </c>
      <c r="U77" s="61">
        <f t="shared" ca="1" si="19"/>
        <v>0</v>
      </c>
      <c r="V77" s="62">
        <f t="shared" ca="1" si="20"/>
        <v>187500</v>
      </c>
      <c r="W77" s="14"/>
      <c r="AA77" s="11">
        <v>72</v>
      </c>
      <c r="AB77">
        <v>120000</v>
      </c>
      <c r="AC77">
        <v>134877.5</v>
      </c>
      <c r="AD77">
        <v>146167.5</v>
      </c>
      <c r="AE77">
        <v>149215</v>
      </c>
      <c r="AF77">
        <v>153785</v>
      </c>
      <c r="AG77">
        <v>143165</v>
      </c>
      <c r="AH77">
        <v>129500</v>
      </c>
      <c r="AI77">
        <v>128330</v>
      </c>
      <c r="AJ77">
        <v>108662.5</v>
      </c>
      <c r="AK77">
        <v>89135</v>
      </c>
    </row>
    <row r="78" spans="11:37" x14ac:dyDescent="0.3">
      <c r="K78" s="40">
        <v>74</v>
      </c>
      <c r="L78" s="39">
        <f t="shared" ca="1" si="11"/>
        <v>6.1230520538906541E-2</v>
      </c>
      <c r="M78" s="39">
        <f t="shared" ca="1" si="12"/>
        <v>140</v>
      </c>
      <c r="N78" s="39">
        <f t="shared" ca="1" si="13"/>
        <v>0.88723253964619686</v>
      </c>
      <c r="O78" s="39">
        <f t="shared" ca="1" si="13"/>
        <v>0.95561239432811551</v>
      </c>
      <c r="P78" s="67">
        <f t="shared" ca="1" si="14"/>
        <v>0.38428449339743126</v>
      </c>
      <c r="Q78" s="56">
        <f t="shared" ca="1" si="15"/>
        <v>86.200170924359625</v>
      </c>
      <c r="R78" s="56">
        <f t="shared" ca="1" si="16"/>
        <v>87</v>
      </c>
      <c r="S78" s="56">
        <f t="shared" ca="1" si="17"/>
        <v>87</v>
      </c>
      <c r="T78" s="39">
        <f t="shared" ca="1" si="18"/>
        <v>478500</v>
      </c>
      <c r="U78" s="61">
        <f t="shared" ca="1" si="19"/>
        <v>76000</v>
      </c>
      <c r="V78" s="62">
        <f t="shared" ca="1" si="20"/>
        <v>54500</v>
      </c>
      <c r="W78" s="14"/>
      <c r="AA78" s="11">
        <v>73</v>
      </c>
      <c r="AB78">
        <v>120000</v>
      </c>
      <c r="AC78">
        <v>134895</v>
      </c>
      <c r="AD78">
        <v>146010</v>
      </c>
      <c r="AE78">
        <v>151980</v>
      </c>
      <c r="AF78">
        <v>150302.5</v>
      </c>
      <c r="AG78">
        <v>144775</v>
      </c>
      <c r="AH78">
        <v>141627.5</v>
      </c>
      <c r="AI78">
        <v>124287.5</v>
      </c>
      <c r="AJ78">
        <v>104147.5</v>
      </c>
      <c r="AK78">
        <v>82835</v>
      </c>
    </row>
    <row r="79" spans="11:37" x14ac:dyDescent="0.3">
      <c r="K79" s="40">
        <v>75</v>
      </c>
      <c r="L79" s="39">
        <f t="shared" ca="1" si="11"/>
        <v>0.66904605917786786</v>
      </c>
      <c r="M79" s="39">
        <f t="shared" ca="1" si="12"/>
        <v>200</v>
      </c>
      <c r="N79" s="39">
        <f t="shared" ca="1" si="13"/>
        <v>0.31413284361652394</v>
      </c>
      <c r="O79" s="39">
        <f t="shared" ca="1" si="13"/>
        <v>0.15737721956443973</v>
      </c>
      <c r="P79" s="67">
        <f t="shared" ca="1" si="14"/>
        <v>0.24715100631809639</v>
      </c>
      <c r="Q79" s="56">
        <f t="shared" ca="1" si="15"/>
        <v>150.56979873638073</v>
      </c>
      <c r="R79" s="56">
        <f t="shared" ca="1" si="16"/>
        <v>151</v>
      </c>
      <c r="S79" s="56">
        <f t="shared" ca="1" si="17"/>
        <v>125</v>
      </c>
      <c r="T79" s="39">
        <f t="shared" ca="1" si="18"/>
        <v>687500</v>
      </c>
      <c r="U79" s="61">
        <f t="shared" ca="1" si="19"/>
        <v>0</v>
      </c>
      <c r="V79" s="62">
        <f t="shared" ca="1" si="20"/>
        <v>187500</v>
      </c>
      <c r="W79" s="14"/>
      <c r="AA79" s="11">
        <v>74</v>
      </c>
      <c r="AB79">
        <v>120000</v>
      </c>
      <c r="AC79">
        <v>134842.5</v>
      </c>
      <c r="AD79">
        <v>146902.5</v>
      </c>
      <c r="AE79">
        <v>150632.5</v>
      </c>
      <c r="AF79">
        <v>152035</v>
      </c>
      <c r="AG79">
        <v>143637.5</v>
      </c>
      <c r="AH79">
        <v>130130</v>
      </c>
      <c r="AI79">
        <v>125862.5</v>
      </c>
      <c r="AJ79">
        <v>102940</v>
      </c>
      <c r="AK79">
        <v>85390</v>
      </c>
    </row>
    <row r="80" spans="11:37" x14ac:dyDescent="0.3">
      <c r="K80" s="40">
        <v>76</v>
      </c>
      <c r="L80" s="39">
        <f t="shared" ca="1" si="11"/>
        <v>0.42756193980118085</v>
      </c>
      <c r="M80" s="39">
        <f t="shared" ca="1" si="12"/>
        <v>160</v>
      </c>
      <c r="N80" s="39">
        <f t="shared" ca="1" si="13"/>
        <v>0.81242398168379582</v>
      </c>
      <c r="O80" s="39">
        <f t="shared" ca="1" si="13"/>
        <v>0.37887376092683145</v>
      </c>
      <c r="P80" s="67">
        <f t="shared" ca="1" si="14"/>
        <v>0.31912977426106276</v>
      </c>
      <c r="Q80" s="56">
        <f t="shared" ca="1" si="15"/>
        <v>108.93923611822996</v>
      </c>
      <c r="R80" s="56">
        <f t="shared" ca="1" si="16"/>
        <v>109</v>
      </c>
      <c r="S80" s="56">
        <f t="shared" ca="1" si="17"/>
        <v>109</v>
      </c>
      <c r="T80" s="39">
        <f t="shared" ca="1" si="18"/>
        <v>599500</v>
      </c>
      <c r="U80" s="61">
        <f t="shared" ca="1" si="19"/>
        <v>32000</v>
      </c>
      <c r="V80" s="62">
        <f t="shared" ca="1" si="20"/>
        <v>131500</v>
      </c>
      <c r="W80" s="14"/>
      <c r="AA80" s="11">
        <v>75</v>
      </c>
      <c r="AB80">
        <v>120000</v>
      </c>
      <c r="AC80">
        <v>134755</v>
      </c>
      <c r="AD80">
        <v>146272.5</v>
      </c>
      <c r="AE80">
        <v>151490</v>
      </c>
      <c r="AF80">
        <v>153487.5</v>
      </c>
      <c r="AG80">
        <v>143182.5</v>
      </c>
      <c r="AH80">
        <v>134837.5</v>
      </c>
      <c r="AI80">
        <v>128295</v>
      </c>
      <c r="AJ80">
        <v>109082.5</v>
      </c>
      <c r="AK80">
        <v>93965</v>
      </c>
    </row>
    <row r="81" spans="11:37" x14ac:dyDescent="0.3">
      <c r="K81" s="40">
        <v>77</v>
      </c>
      <c r="L81" s="39">
        <f t="shared" ca="1" si="11"/>
        <v>0.34611411158085237</v>
      </c>
      <c r="M81" s="39">
        <f t="shared" ca="1" si="12"/>
        <v>160</v>
      </c>
      <c r="N81" s="39">
        <f t="shared" ca="1" si="13"/>
        <v>0.28857897992691683</v>
      </c>
      <c r="O81" s="39">
        <f t="shared" ca="1" si="13"/>
        <v>0.66494091332385352</v>
      </c>
      <c r="P81" s="67">
        <f t="shared" ca="1" si="14"/>
        <v>0.29535198932507706</v>
      </c>
      <c r="Q81" s="56">
        <f t="shared" ca="1" si="15"/>
        <v>112.74368170798766</v>
      </c>
      <c r="R81" s="56">
        <f t="shared" ca="1" si="16"/>
        <v>113</v>
      </c>
      <c r="S81" s="56">
        <f t="shared" ca="1" si="17"/>
        <v>113</v>
      </c>
      <c r="T81" s="39">
        <f t="shared" ca="1" si="18"/>
        <v>621500</v>
      </c>
      <c r="U81" s="61">
        <f t="shared" ca="1" si="19"/>
        <v>24000</v>
      </c>
      <c r="V81" s="62">
        <f t="shared" ca="1" si="20"/>
        <v>145500</v>
      </c>
      <c r="W81" s="14"/>
      <c r="AA81" s="11">
        <v>76</v>
      </c>
      <c r="AB81">
        <v>120000</v>
      </c>
      <c r="AC81">
        <v>134947.5</v>
      </c>
      <c r="AD81">
        <v>146622.5</v>
      </c>
      <c r="AE81">
        <v>151420</v>
      </c>
      <c r="AF81">
        <v>152682.5</v>
      </c>
      <c r="AG81">
        <v>147260</v>
      </c>
      <c r="AH81">
        <v>148837.5</v>
      </c>
      <c r="AI81">
        <v>123815</v>
      </c>
      <c r="AJ81">
        <v>109030</v>
      </c>
      <c r="AK81">
        <v>72580</v>
      </c>
    </row>
    <row r="82" spans="11:37" x14ac:dyDescent="0.3">
      <c r="K82" s="40">
        <v>78</v>
      </c>
      <c r="L82" s="39">
        <f t="shared" ca="1" si="11"/>
        <v>7.5490300639999841E-2</v>
      </c>
      <c r="M82" s="39">
        <f t="shared" ca="1" si="12"/>
        <v>140</v>
      </c>
      <c r="N82" s="39">
        <f t="shared" ca="1" si="13"/>
        <v>0.44967691268584364</v>
      </c>
      <c r="O82" s="39">
        <f t="shared" ca="1" si="13"/>
        <v>0.56121771325208281</v>
      </c>
      <c r="P82" s="67">
        <f t="shared" ca="1" si="14"/>
        <v>0.30108946259379266</v>
      </c>
      <c r="Q82" s="56">
        <f t="shared" ca="1" si="15"/>
        <v>97.84747523686903</v>
      </c>
      <c r="R82" s="56">
        <f t="shared" ca="1" si="16"/>
        <v>98</v>
      </c>
      <c r="S82" s="56">
        <f t="shared" ca="1" si="17"/>
        <v>98</v>
      </c>
      <c r="T82" s="39">
        <f t="shared" ca="1" si="18"/>
        <v>539000</v>
      </c>
      <c r="U82" s="61">
        <f t="shared" ca="1" si="19"/>
        <v>54000</v>
      </c>
      <c r="V82" s="62">
        <f t="shared" ca="1" si="20"/>
        <v>93000</v>
      </c>
      <c r="W82" s="14"/>
      <c r="AA82" s="11">
        <v>77</v>
      </c>
      <c r="AB82">
        <v>120000</v>
      </c>
      <c r="AC82">
        <v>134860</v>
      </c>
      <c r="AD82">
        <v>146780</v>
      </c>
      <c r="AE82">
        <v>152960</v>
      </c>
      <c r="AF82">
        <v>149340</v>
      </c>
      <c r="AG82">
        <v>142360</v>
      </c>
      <c r="AH82">
        <v>136815</v>
      </c>
      <c r="AI82">
        <v>126807.5</v>
      </c>
      <c r="AJ82">
        <v>107070</v>
      </c>
      <c r="AK82">
        <v>86405</v>
      </c>
    </row>
    <row r="83" spans="11:37" x14ac:dyDescent="0.3">
      <c r="K83" s="40">
        <v>79</v>
      </c>
      <c r="L83" s="39">
        <f t="shared" ca="1" si="11"/>
        <v>0.99947775432820707</v>
      </c>
      <c r="M83" s="39">
        <f t="shared" ca="1" si="12"/>
        <v>220</v>
      </c>
      <c r="N83" s="39">
        <f t="shared" ca="1" si="13"/>
        <v>0.54673056953472599</v>
      </c>
      <c r="O83" s="39">
        <f t="shared" ca="1" si="13"/>
        <v>0.49688724974778609</v>
      </c>
      <c r="P83" s="67">
        <f t="shared" ca="1" si="14"/>
        <v>0.30436178192825125</v>
      </c>
      <c r="Q83" s="56">
        <f t="shared" ca="1" si="15"/>
        <v>153.04040797578472</v>
      </c>
      <c r="R83" s="56">
        <f t="shared" ca="1" si="16"/>
        <v>154</v>
      </c>
      <c r="S83" s="56">
        <f t="shared" ca="1" si="17"/>
        <v>125</v>
      </c>
      <c r="T83" s="39">
        <f t="shared" ca="1" si="18"/>
        <v>687500</v>
      </c>
      <c r="U83" s="61">
        <f t="shared" ca="1" si="19"/>
        <v>0</v>
      </c>
      <c r="V83" s="62">
        <f t="shared" ca="1" si="20"/>
        <v>187500</v>
      </c>
      <c r="W83" s="14"/>
      <c r="AA83" s="11">
        <v>78</v>
      </c>
      <c r="AB83">
        <v>120000</v>
      </c>
      <c r="AC83">
        <v>134772.5</v>
      </c>
      <c r="AD83">
        <v>146552.5</v>
      </c>
      <c r="AE83">
        <v>152627.5</v>
      </c>
      <c r="AF83">
        <v>155290</v>
      </c>
      <c r="AG83">
        <v>148310</v>
      </c>
      <c r="AH83">
        <v>131267.5</v>
      </c>
      <c r="AI83">
        <v>127525</v>
      </c>
      <c r="AJ83">
        <v>101907.5</v>
      </c>
      <c r="AK83">
        <v>82310</v>
      </c>
    </row>
    <row r="84" spans="11:37" x14ac:dyDescent="0.3">
      <c r="K84" s="40">
        <v>80</v>
      </c>
      <c r="L84" s="39">
        <f t="shared" ca="1" si="11"/>
        <v>0.864390264085243</v>
      </c>
      <c r="M84" s="39">
        <f t="shared" ca="1" si="12"/>
        <v>200</v>
      </c>
      <c r="N84" s="39">
        <f t="shared" ca="1" si="13"/>
        <v>0.7668806463080905</v>
      </c>
      <c r="O84" s="39">
        <f t="shared" ca="1" si="13"/>
        <v>0.5242971753232657</v>
      </c>
      <c r="P84" s="67">
        <f t="shared" ca="1" si="14"/>
        <v>0.32911778216313559</v>
      </c>
      <c r="Q84" s="56">
        <f t="shared" ca="1" si="15"/>
        <v>134.17644356737287</v>
      </c>
      <c r="R84" s="56">
        <f t="shared" ca="1" si="16"/>
        <v>135</v>
      </c>
      <c r="S84" s="56">
        <f t="shared" ca="1" si="17"/>
        <v>125</v>
      </c>
      <c r="T84" s="39">
        <f t="shared" ca="1" si="18"/>
        <v>687500</v>
      </c>
      <c r="U84" s="61">
        <f t="shared" ca="1" si="19"/>
        <v>0</v>
      </c>
      <c r="V84" s="62">
        <f t="shared" ca="1" si="20"/>
        <v>187500</v>
      </c>
      <c r="W84" s="14"/>
      <c r="AA84" s="11">
        <v>79</v>
      </c>
      <c r="AB84">
        <v>120000</v>
      </c>
      <c r="AC84">
        <v>134737.5</v>
      </c>
      <c r="AD84">
        <v>145782.5</v>
      </c>
      <c r="AE84">
        <v>154325</v>
      </c>
      <c r="AF84">
        <v>151177.5</v>
      </c>
      <c r="AG84">
        <v>147627.5</v>
      </c>
      <c r="AH84">
        <v>137900</v>
      </c>
      <c r="AI84">
        <v>123377.5</v>
      </c>
      <c r="AJ84">
        <v>103692.5</v>
      </c>
      <c r="AK84">
        <v>84445</v>
      </c>
    </row>
    <row r="85" spans="11:37" x14ac:dyDescent="0.3">
      <c r="K85" s="40">
        <v>81</v>
      </c>
      <c r="L85" s="39">
        <f t="shared" ca="1" si="11"/>
        <v>0.47268968814858348</v>
      </c>
      <c r="M85" s="39">
        <f t="shared" ca="1" si="12"/>
        <v>160</v>
      </c>
      <c r="N85" s="39">
        <f t="shared" ca="1" si="13"/>
        <v>0.5372807677570921</v>
      </c>
      <c r="O85" s="39">
        <f t="shared" ca="1" si="13"/>
        <v>0.3931838967750072</v>
      </c>
      <c r="P85" s="67">
        <f t="shared" ca="1" si="14"/>
        <v>0.29304646645320998</v>
      </c>
      <c r="Q85" s="56">
        <f t="shared" ca="1" si="15"/>
        <v>113.11256536748641</v>
      </c>
      <c r="R85" s="56">
        <f t="shared" ca="1" si="16"/>
        <v>114</v>
      </c>
      <c r="S85" s="56">
        <f t="shared" ca="1" si="17"/>
        <v>114</v>
      </c>
      <c r="T85" s="39">
        <f t="shared" ca="1" si="18"/>
        <v>627000</v>
      </c>
      <c r="U85" s="61">
        <f t="shared" ca="1" si="19"/>
        <v>22000</v>
      </c>
      <c r="V85" s="62">
        <f t="shared" ca="1" si="20"/>
        <v>149000</v>
      </c>
      <c r="W85" s="14"/>
      <c r="AA85" s="11">
        <v>80</v>
      </c>
      <c r="AB85">
        <v>120000</v>
      </c>
      <c r="AC85">
        <v>134965</v>
      </c>
      <c r="AD85">
        <v>146377.5</v>
      </c>
      <c r="AE85">
        <v>151910</v>
      </c>
      <c r="AF85">
        <v>152245</v>
      </c>
      <c r="AG85">
        <v>148082.5</v>
      </c>
      <c r="AH85">
        <v>142450</v>
      </c>
      <c r="AI85">
        <v>119562.5</v>
      </c>
      <c r="AJ85">
        <v>93787.5</v>
      </c>
      <c r="AK85">
        <v>76500</v>
      </c>
    </row>
    <row r="86" spans="11:37" x14ac:dyDescent="0.3">
      <c r="K86" s="40">
        <v>82</v>
      </c>
      <c r="L86" s="39">
        <f t="shared" ca="1" si="11"/>
        <v>0.79990509582290947</v>
      </c>
      <c r="M86" s="39">
        <f t="shared" ca="1" si="12"/>
        <v>200</v>
      </c>
      <c r="N86" s="39">
        <f t="shared" ca="1" si="13"/>
        <v>0.82666997179061186</v>
      </c>
      <c r="O86" s="39">
        <f t="shared" ca="1" si="13"/>
        <v>0.71265688614158995</v>
      </c>
      <c r="P86" s="67">
        <f t="shared" ca="1" si="14"/>
        <v>0.35393268579322018</v>
      </c>
      <c r="Q86" s="56">
        <f t="shared" ca="1" si="15"/>
        <v>129.21346284135598</v>
      </c>
      <c r="R86" s="56">
        <f t="shared" ca="1" si="16"/>
        <v>130</v>
      </c>
      <c r="S86" s="56">
        <f t="shared" ca="1" si="17"/>
        <v>125</v>
      </c>
      <c r="T86" s="39">
        <f t="shared" ca="1" si="18"/>
        <v>687500</v>
      </c>
      <c r="U86" s="61">
        <f t="shared" ca="1" si="19"/>
        <v>0</v>
      </c>
      <c r="V86" s="62">
        <f t="shared" ca="1" si="20"/>
        <v>187500</v>
      </c>
      <c r="W86" s="14"/>
      <c r="AA86" s="11">
        <v>81</v>
      </c>
      <c r="AB86" s="7">
        <v>120000</v>
      </c>
      <c r="AC86" s="7">
        <v>134737.5</v>
      </c>
      <c r="AD86" s="7">
        <v>144470</v>
      </c>
      <c r="AE86" s="7">
        <v>151525</v>
      </c>
      <c r="AF86" s="7">
        <v>151667.5</v>
      </c>
      <c r="AG86" s="7">
        <v>146315</v>
      </c>
      <c r="AH86" s="7">
        <v>145075</v>
      </c>
      <c r="AI86" s="7">
        <v>120367.5</v>
      </c>
      <c r="AJ86" s="7">
        <v>106090</v>
      </c>
      <c r="AK86" s="7">
        <v>89205</v>
      </c>
    </row>
    <row r="87" spans="11:37" x14ac:dyDescent="0.3">
      <c r="K87" s="40">
        <v>83</v>
      </c>
      <c r="L87" s="39">
        <f t="shared" ca="1" si="11"/>
        <v>0.27917860922280791</v>
      </c>
      <c r="M87" s="39">
        <f t="shared" ca="1" si="12"/>
        <v>140</v>
      </c>
      <c r="N87" s="39">
        <f t="shared" ca="1" si="13"/>
        <v>0.4519867343742302</v>
      </c>
      <c r="O87" s="39">
        <f t="shared" ca="1" si="13"/>
        <v>0.39205873150581494</v>
      </c>
      <c r="P87" s="67">
        <f t="shared" ca="1" si="14"/>
        <v>0.28440454658800451</v>
      </c>
      <c r="Q87" s="56">
        <f t="shared" ca="1" si="15"/>
        <v>100.18336347767936</v>
      </c>
      <c r="R87" s="56">
        <f t="shared" ca="1" si="16"/>
        <v>101</v>
      </c>
      <c r="S87" s="56">
        <f t="shared" ca="1" si="17"/>
        <v>101</v>
      </c>
      <c r="T87" s="39">
        <f t="shared" ca="1" si="18"/>
        <v>555500</v>
      </c>
      <c r="U87" s="61">
        <f t="shared" ca="1" si="19"/>
        <v>48000</v>
      </c>
      <c r="V87" s="62">
        <f t="shared" ca="1" si="20"/>
        <v>103500</v>
      </c>
      <c r="W87" s="14"/>
      <c r="AA87" s="11">
        <v>82</v>
      </c>
      <c r="AB87" s="7">
        <v>120000</v>
      </c>
      <c r="AC87" s="7">
        <v>134720</v>
      </c>
      <c r="AD87" s="7">
        <v>145870</v>
      </c>
      <c r="AE87" s="7">
        <v>151997.5</v>
      </c>
      <c r="AF87" s="7">
        <v>151877.5</v>
      </c>
      <c r="AG87" s="7">
        <v>147207.5</v>
      </c>
      <c r="AH87" s="7">
        <v>142730</v>
      </c>
      <c r="AI87" s="7">
        <v>128102.5</v>
      </c>
      <c r="AJ87" s="7">
        <v>95257.5</v>
      </c>
      <c r="AK87" s="7">
        <v>81767.5</v>
      </c>
    </row>
    <row r="88" spans="11:37" x14ac:dyDescent="0.3">
      <c r="K88" s="40">
        <v>84</v>
      </c>
      <c r="L88" s="39">
        <f t="shared" ca="1" si="11"/>
        <v>0.21623916217732531</v>
      </c>
      <c r="M88" s="39">
        <f t="shared" ca="1" si="12"/>
        <v>140</v>
      </c>
      <c r="N88" s="39">
        <f t="shared" ca="1" si="13"/>
        <v>0.421243194980085</v>
      </c>
      <c r="O88" s="39">
        <f t="shared" ca="1" si="13"/>
        <v>0.98558026064733906</v>
      </c>
      <c r="P88" s="67">
        <f t="shared" ca="1" si="14"/>
        <v>0.34068234556274241</v>
      </c>
      <c r="Q88" s="56">
        <f t="shared" ca="1" si="15"/>
        <v>92.304471621216067</v>
      </c>
      <c r="R88" s="56">
        <f t="shared" ca="1" si="16"/>
        <v>93</v>
      </c>
      <c r="S88" s="56">
        <f t="shared" ca="1" si="17"/>
        <v>93</v>
      </c>
      <c r="T88" s="39">
        <f t="shared" ca="1" si="18"/>
        <v>511500</v>
      </c>
      <c r="U88" s="61">
        <f t="shared" ca="1" si="19"/>
        <v>64000</v>
      </c>
      <c r="V88" s="62">
        <f t="shared" ca="1" si="20"/>
        <v>75500</v>
      </c>
      <c r="W88" s="14"/>
      <c r="AA88" s="11">
        <v>83</v>
      </c>
      <c r="AB88" s="7">
        <v>120000</v>
      </c>
      <c r="AC88" s="7">
        <v>134877.5</v>
      </c>
      <c r="AD88" s="7">
        <v>147042.5</v>
      </c>
      <c r="AE88" s="7">
        <v>152400</v>
      </c>
      <c r="AF88" s="7">
        <v>149515</v>
      </c>
      <c r="AG88" s="7">
        <v>146472.5</v>
      </c>
      <c r="AH88" s="7">
        <v>143605</v>
      </c>
      <c r="AI88" s="7">
        <v>125337.5</v>
      </c>
      <c r="AJ88" s="7">
        <v>112530</v>
      </c>
      <c r="AK88" s="7">
        <v>93160</v>
      </c>
    </row>
    <row r="89" spans="11:37" x14ac:dyDescent="0.3">
      <c r="K89" s="40">
        <v>85</v>
      </c>
      <c r="L89" s="39">
        <f t="shared" ca="1" si="11"/>
        <v>0.59279787285340457</v>
      </c>
      <c r="M89" s="39">
        <f t="shared" ca="1" si="12"/>
        <v>180</v>
      </c>
      <c r="N89" s="39">
        <f t="shared" ca="1" si="13"/>
        <v>0.84344115375905782</v>
      </c>
      <c r="O89" s="39">
        <f t="shared" ca="1" si="13"/>
        <v>0.74594486566373308</v>
      </c>
      <c r="P89" s="67">
        <f t="shared" ca="1" si="14"/>
        <v>0.35893860194227911</v>
      </c>
      <c r="Q89" s="56">
        <f t="shared" ca="1" si="15"/>
        <v>115.39105165038976</v>
      </c>
      <c r="R89" s="56">
        <f t="shared" ca="1" si="16"/>
        <v>116</v>
      </c>
      <c r="S89" s="56">
        <f t="shared" ca="1" si="17"/>
        <v>116</v>
      </c>
      <c r="T89" s="39">
        <f t="shared" ca="1" si="18"/>
        <v>638000</v>
      </c>
      <c r="U89" s="61">
        <f t="shared" ca="1" si="19"/>
        <v>18000</v>
      </c>
      <c r="V89" s="62">
        <f t="shared" ca="1" si="20"/>
        <v>156000</v>
      </c>
      <c r="W89" s="14"/>
      <c r="AA89" s="11">
        <v>84</v>
      </c>
      <c r="AB89" s="7">
        <v>120000</v>
      </c>
      <c r="AC89" s="7">
        <v>134895</v>
      </c>
      <c r="AD89" s="7">
        <v>146482.5</v>
      </c>
      <c r="AE89" s="7">
        <v>148637.5</v>
      </c>
      <c r="AF89" s="7">
        <v>149620</v>
      </c>
      <c r="AG89" s="7">
        <v>140225</v>
      </c>
      <c r="AH89" s="7">
        <v>135047.5</v>
      </c>
      <c r="AI89" s="7">
        <v>123727.5</v>
      </c>
      <c r="AJ89" s="7">
        <v>106072.5</v>
      </c>
      <c r="AK89" s="7">
        <v>90762.5</v>
      </c>
    </row>
    <row r="90" spans="11:37" x14ac:dyDescent="0.3">
      <c r="K90" s="40">
        <v>86</v>
      </c>
      <c r="L90" s="39">
        <f t="shared" ca="1" si="11"/>
        <v>0.94135914369386131</v>
      </c>
      <c r="M90" s="39">
        <f t="shared" ca="1" si="12"/>
        <v>220</v>
      </c>
      <c r="N90" s="39">
        <f t="shared" ca="1" si="13"/>
        <v>0.36047400072000224</v>
      </c>
      <c r="O90" s="39">
        <f t="shared" ca="1" si="13"/>
        <v>0.96292044274268163</v>
      </c>
      <c r="P90" s="67">
        <f t="shared" ca="1" si="14"/>
        <v>0.33233944434626839</v>
      </c>
      <c r="Q90" s="56">
        <f t="shared" ca="1" si="15"/>
        <v>146.88532224382095</v>
      </c>
      <c r="R90" s="56">
        <f t="shared" ca="1" si="16"/>
        <v>147</v>
      </c>
      <c r="S90" s="56">
        <f t="shared" ca="1" si="17"/>
        <v>125</v>
      </c>
      <c r="T90" s="39">
        <f t="shared" ca="1" si="18"/>
        <v>687500</v>
      </c>
      <c r="U90" s="61">
        <f t="shared" ca="1" si="19"/>
        <v>0</v>
      </c>
      <c r="V90" s="62">
        <f t="shared" ca="1" si="20"/>
        <v>187500</v>
      </c>
      <c r="W90" s="14"/>
      <c r="AA90" s="11">
        <v>85</v>
      </c>
      <c r="AB90" s="7">
        <v>120000</v>
      </c>
      <c r="AC90" s="7">
        <v>134930</v>
      </c>
      <c r="AD90" s="7">
        <v>146727.5</v>
      </c>
      <c r="AE90" s="7">
        <v>150667.5</v>
      </c>
      <c r="AF90" s="7">
        <v>150687.5</v>
      </c>
      <c r="AG90" s="7">
        <v>148152.5</v>
      </c>
      <c r="AH90" s="7">
        <v>134715</v>
      </c>
      <c r="AI90" s="7">
        <v>126790</v>
      </c>
      <c r="AJ90" s="7">
        <v>102590</v>
      </c>
      <c r="AK90" s="7">
        <v>87542.5</v>
      </c>
    </row>
    <row r="91" spans="11:37" x14ac:dyDescent="0.3">
      <c r="K91" s="40">
        <v>87</v>
      </c>
      <c r="L91" s="39">
        <f t="shared" ca="1" si="11"/>
        <v>0.66396977699750892</v>
      </c>
      <c r="M91" s="39">
        <f t="shared" ca="1" si="12"/>
        <v>200</v>
      </c>
      <c r="N91" s="39">
        <f t="shared" ca="1" si="13"/>
        <v>0.52084761388401013</v>
      </c>
      <c r="O91" s="39">
        <f t="shared" ca="1" si="13"/>
        <v>0.56359308067791092</v>
      </c>
      <c r="P91" s="67">
        <f t="shared" ca="1" si="14"/>
        <v>0.30844406945619213</v>
      </c>
      <c r="Q91" s="56">
        <f t="shared" ca="1" si="15"/>
        <v>138.31118610876158</v>
      </c>
      <c r="R91" s="56">
        <f t="shared" ca="1" si="16"/>
        <v>139</v>
      </c>
      <c r="S91" s="56">
        <f t="shared" ca="1" si="17"/>
        <v>125</v>
      </c>
      <c r="T91" s="39">
        <f t="shared" ca="1" si="18"/>
        <v>687500</v>
      </c>
      <c r="U91" s="61">
        <f t="shared" ca="1" si="19"/>
        <v>0</v>
      </c>
      <c r="V91" s="62">
        <f t="shared" ca="1" si="20"/>
        <v>187500</v>
      </c>
      <c r="W91" s="14"/>
      <c r="AA91" s="11">
        <v>86</v>
      </c>
      <c r="AB91" s="7">
        <v>120000</v>
      </c>
      <c r="AC91" s="7">
        <v>134807.5</v>
      </c>
      <c r="AD91" s="7">
        <v>146570</v>
      </c>
      <c r="AE91" s="7">
        <v>153240</v>
      </c>
      <c r="AF91" s="7">
        <v>152140</v>
      </c>
      <c r="AG91" s="7">
        <v>150970</v>
      </c>
      <c r="AH91" s="7">
        <v>129342.5</v>
      </c>
      <c r="AI91" s="7">
        <v>115712.5</v>
      </c>
      <c r="AJ91" s="7">
        <v>103500</v>
      </c>
      <c r="AK91" s="7">
        <v>79737.5</v>
      </c>
    </row>
    <row r="92" spans="11:37" x14ac:dyDescent="0.3">
      <c r="K92" s="40">
        <v>88</v>
      </c>
      <c r="L92" s="39">
        <f t="shared" ca="1" si="11"/>
        <v>0.37222627220905269</v>
      </c>
      <c r="M92" s="39">
        <f t="shared" ca="1" si="12"/>
        <v>160</v>
      </c>
      <c r="N92" s="39">
        <f t="shared" ca="1" si="13"/>
        <v>0.36439769626327179</v>
      </c>
      <c r="O92" s="39">
        <f t="shared" ca="1" si="13"/>
        <v>0.10143434576010968</v>
      </c>
      <c r="P92" s="67">
        <f t="shared" ca="1" si="14"/>
        <v>0.24658320420233815</v>
      </c>
      <c r="Q92" s="56">
        <f t="shared" ca="1" si="15"/>
        <v>120.5466873276259</v>
      </c>
      <c r="R92" s="56">
        <f t="shared" ca="1" si="16"/>
        <v>121</v>
      </c>
      <c r="S92" s="56">
        <f t="shared" ca="1" si="17"/>
        <v>121</v>
      </c>
      <c r="T92" s="39">
        <f t="shared" ca="1" si="18"/>
        <v>665500</v>
      </c>
      <c r="U92" s="61">
        <f t="shared" ca="1" si="19"/>
        <v>8000</v>
      </c>
      <c r="V92" s="62">
        <f t="shared" ca="1" si="20"/>
        <v>173500</v>
      </c>
      <c r="W92" s="14"/>
      <c r="AA92" s="11">
        <v>87</v>
      </c>
      <c r="AB92" s="7">
        <v>120000</v>
      </c>
      <c r="AC92" s="7">
        <v>134912.5</v>
      </c>
      <c r="AD92" s="7">
        <v>146885</v>
      </c>
      <c r="AE92" s="7">
        <v>150142.5</v>
      </c>
      <c r="AF92" s="7">
        <v>154292.5</v>
      </c>
      <c r="AG92" s="7">
        <v>140505</v>
      </c>
      <c r="AH92" s="7">
        <v>138547.5</v>
      </c>
      <c r="AI92" s="7">
        <v>109657.5</v>
      </c>
      <c r="AJ92" s="7">
        <v>104252.5</v>
      </c>
      <c r="AK92" s="7">
        <v>87437.5</v>
      </c>
    </row>
    <row r="93" spans="11:37" x14ac:dyDescent="0.3">
      <c r="K93" s="40">
        <v>89</v>
      </c>
      <c r="L93" s="39">
        <f t="shared" ca="1" si="11"/>
        <v>0.53205012914807992</v>
      </c>
      <c r="M93" s="39">
        <f t="shared" ca="1" si="12"/>
        <v>180</v>
      </c>
      <c r="N93" s="39">
        <f t="shared" ca="1" si="13"/>
        <v>0.13194556957057668</v>
      </c>
      <c r="O93" s="39">
        <f t="shared" ca="1" si="13"/>
        <v>0.20739859408761419</v>
      </c>
      <c r="P93" s="67">
        <f t="shared" ca="1" si="14"/>
        <v>0.2339344163658191</v>
      </c>
      <c r="Q93" s="56">
        <f t="shared" ca="1" si="15"/>
        <v>137.89180505415257</v>
      </c>
      <c r="R93" s="56">
        <f t="shared" ca="1" si="16"/>
        <v>138</v>
      </c>
      <c r="S93" s="56">
        <f t="shared" ca="1" si="17"/>
        <v>125</v>
      </c>
      <c r="T93" s="39">
        <f t="shared" ca="1" si="18"/>
        <v>687500</v>
      </c>
      <c r="U93" s="61">
        <f t="shared" ca="1" si="19"/>
        <v>0</v>
      </c>
      <c r="V93" s="62">
        <f t="shared" ca="1" si="20"/>
        <v>187500</v>
      </c>
      <c r="W93" s="14"/>
      <c r="AA93" s="11">
        <v>88</v>
      </c>
      <c r="AB93" s="7">
        <v>120000</v>
      </c>
      <c r="AC93" s="7">
        <v>134860</v>
      </c>
      <c r="AD93" s="7">
        <v>146342.5</v>
      </c>
      <c r="AE93" s="7">
        <v>150895</v>
      </c>
      <c r="AF93" s="7">
        <v>151982.5</v>
      </c>
      <c r="AG93" s="7">
        <v>148082.5</v>
      </c>
      <c r="AH93" s="7">
        <v>137725</v>
      </c>
      <c r="AI93" s="7">
        <v>127035</v>
      </c>
      <c r="AJ93" s="7">
        <v>107122.5</v>
      </c>
      <c r="AK93" s="7">
        <v>82520</v>
      </c>
    </row>
    <row r="94" spans="11:37" x14ac:dyDescent="0.3">
      <c r="K94" s="40">
        <v>90</v>
      </c>
      <c r="L94" s="39">
        <f t="shared" ca="1" si="11"/>
        <v>0.60054189580726047</v>
      </c>
      <c r="M94" s="39">
        <f t="shared" ca="1" si="12"/>
        <v>180</v>
      </c>
      <c r="N94" s="39">
        <f t="shared" ca="1" si="13"/>
        <v>0.64384777231916546</v>
      </c>
      <c r="O94" s="39">
        <f t="shared" ca="1" si="13"/>
        <v>8.2389611053264811E-2</v>
      </c>
      <c r="P94" s="67">
        <f t="shared" ca="1" si="14"/>
        <v>0.27262373833724307</v>
      </c>
      <c r="Q94" s="56">
        <f t="shared" ca="1" si="15"/>
        <v>130.92772709929625</v>
      </c>
      <c r="R94" s="56">
        <f t="shared" ca="1" si="16"/>
        <v>131</v>
      </c>
      <c r="S94" s="56">
        <f t="shared" ca="1" si="17"/>
        <v>125</v>
      </c>
      <c r="T94" s="39">
        <f t="shared" ca="1" si="18"/>
        <v>687500</v>
      </c>
      <c r="U94" s="61">
        <f t="shared" ca="1" si="19"/>
        <v>0</v>
      </c>
      <c r="V94" s="62">
        <f t="shared" ca="1" si="20"/>
        <v>187500</v>
      </c>
      <c r="W94" s="14"/>
      <c r="AA94" s="11">
        <v>89</v>
      </c>
      <c r="AB94" s="7">
        <v>120000</v>
      </c>
      <c r="AC94" s="7">
        <v>134825</v>
      </c>
      <c r="AD94" s="7">
        <v>146202.5</v>
      </c>
      <c r="AE94" s="7">
        <v>152085</v>
      </c>
      <c r="AF94" s="7">
        <v>148482.5</v>
      </c>
      <c r="AG94" s="7">
        <v>146857.5</v>
      </c>
      <c r="AH94" s="7">
        <v>133700</v>
      </c>
      <c r="AI94" s="7">
        <v>127122.5</v>
      </c>
      <c r="AJ94" s="7">
        <v>104182.5</v>
      </c>
      <c r="AK94" s="7">
        <v>93580</v>
      </c>
    </row>
    <row r="95" spans="11:37" x14ac:dyDescent="0.3">
      <c r="K95" s="40">
        <v>91</v>
      </c>
      <c r="L95" s="39">
        <f t="shared" ca="1" si="11"/>
        <v>0.56105099426509819</v>
      </c>
      <c r="M95" s="39">
        <f t="shared" ca="1" si="12"/>
        <v>180</v>
      </c>
      <c r="N95" s="39">
        <f t="shared" ca="1" si="13"/>
        <v>9.634363442954208E-2</v>
      </c>
      <c r="O95" s="39">
        <f t="shared" ca="1" si="13"/>
        <v>0.62871968511276044</v>
      </c>
      <c r="P95" s="67">
        <f t="shared" ca="1" si="14"/>
        <v>0.27250633195423024</v>
      </c>
      <c r="Q95" s="56">
        <f t="shared" ca="1" si="15"/>
        <v>130.94886024823856</v>
      </c>
      <c r="R95" s="56">
        <f t="shared" ca="1" si="16"/>
        <v>131</v>
      </c>
      <c r="S95" s="56">
        <f t="shared" ca="1" si="17"/>
        <v>125</v>
      </c>
      <c r="T95" s="39">
        <f t="shared" ca="1" si="18"/>
        <v>687500</v>
      </c>
      <c r="U95" s="61">
        <f t="shared" ca="1" si="19"/>
        <v>0</v>
      </c>
      <c r="V95" s="62">
        <f t="shared" ca="1" si="20"/>
        <v>187500</v>
      </c>
      <c r="W95" s="14"/>
      <c r="AA95" s="11">
        <v>90</v>
      </c>
      <c r="AB95" s="7">
        <v>120000</v>
      </c>
      <c r="AC95" s="7">
        <v>134842.5</v>
      </c>
      <c r="AD95" s="7">
        <v>146692.5</v>
      </c>
      <c r="AE95" s="7">
        <v>151752.5</v>
      </c>
      <c r="AF95" s="7">
        <v>151895</v>
      </c>
      <c r="AG95" s="7">
        <v>143585</v>
      </c>
      <c r="AH95" s="7">
        <v>138565</v>
      </c>
      <c r="AI95" s="7">
        <v>121330</v>
      </c>
      <c r="AJ95" s="7">
        <v>106212.5</v>
      </c>
      <c r="AK95" s="7">
        <v>79562.5</v>
      </c>
    </row>
    <row r="96" spans="11:37" x14ac:dyDescent="0.3">
      <c r="K96" s="40">
        <v>92</v>
      </c>
      <c r="L96" s="39">
        <f t="shared" ca="1" si="11"/>
        <v>0.32068169763817034</v>
      </c>
      <c r="M96" s="39">
        <f t="shared" ca="1" si="12"/>
        <v>160</v>
      </c>
      <c r="N96" s="39">
        <f t="shared" ca="1" si="13"/>
        <v>0.80592293778930579</v>
      </c>
      <c r="O96" s="39">
        <f t="shared" ca="1" si="13"/>
        <v>0.58399761867251709</v>
      </c>
      <c r="P96" s="67">
        <f t="shared" ca="1" si="14"/>
        <v>0.33899205564618229</v>
      </c>
      <c r="Q96" s="56">
        <f t="shared" ca="1" si="15"/>
        <v>105.76127109661084</v>
      </c>
      <c r="R96" s="56">
        <f t="shared" ca="1" si="16"/>
        <v>106</v>
      </c>
      <c r="S96" s="56">
        <f t="shared" ca="1" si="17"/>
        <v>106</v>
      </c>
      <c r="T96" s="39">
        <f t="shared" ca="1" si="18"/>
        <v>583000</v>
      </c>
      <c r="U96" s="61">
        <f t="shared" ca="1" si="19"/>
        <v>38000</v>
      </c>
      <c r="V96" s="62">
        <f t="shared" ca="1" si="20"/>
        <v>121000</v>
      </c>
      <c r="W96" s="14"/>
      <c r="AA96" s="11">
        <v>91</v>
      </c>
      <c r="AB96" s="7">
        <v>120000</v>
      </c>
      <c r="AC96" s="7">
        <v>134895</v>
      </c>
      <c r="AD96" s="7">
        <v>147445</v>
      </c>
      <c r="AE96" s="7">
        <v>152435</v>
      </c>
      <c r="AF96" s="7">
        <v>154450</v>
      </c>
      <c r="AG96" s="7">
        <v>149622.5</v>
      </c>
      <c r="AH96" s="7">
        <v>138897.5</v>
      </c>
      <c r="AI96" s="7">
        <v>124900</v>
      </c>
      <c r="AJ96" s="7">
        <v>98635</v>
      </c>
      <c r="AK96" s="7">
        <v>79300</v>
      </c>
    </row>
    <row r="97" spans="11:37" x14ac:dyDescent="0.3">
      <c r="K97" s="40">
        <v>93</v>
      </c>
      <c r="L97" s="39">
        <f t="shared" ca="1" si="11"/>
        <v>0.54822357074318628</v>
      </c>
      <c r="M97" s="39">
        <f t="shared" ca="1" si="12"/>
        <v>180</v>
      </c>
      <c r="N97" s="39">
        <f t="shared" ca="1" si="13"/>
        <v>0.1034836989459671</v>
      </c>
      <c r="O97" s="39">
        <f t="shared" ca="1" si="13"/>
        <v>0.63475171622034321</v>
      </c>
      <c r="P97" s="67">
        <f t="shared" ca="1" si="14"/>
        <v>0.27382354151663102</v>
      </c>
      <c r="Q97" s="56">
        <f t="shared" ca="1" si="15"/>
        <v>130.71176252700641</v>
      </c>
      <c r="R97" s="56">
        <f t="shared" ca="1" si="16"/>
        <v>131</v>
      </c>
      <c r="S97" s="56">
        <f t="shared" ca="1" si="17"/>
        <v>125</v>
      </c>
      <c r="T97" s="39">
        <f t="shared" ca="1" si="18"/>
        <v>687500</v>
      </c>
      <c r="U97" s="61">
        <f t="shared" ca="1" si="19"/>
        <v>0</v>
      </c>
      <c r="V97" s="62">
        <f t="shared" ca="1" si="20"/>
        <v>187500</v>
      </c>
      <c r="W97" s="14"/>
      <c r="AA97" s="11">
        <v>92</v>
      </c>
      <c r="AB97" s="7">
        <v>120000</v>
      </c>
      <c r="AC97" s="7">
        <v>134755</v>
      </c>
      <c r="AD97" s="7">
        <v>147462.5</v>
      </c>
      <c r="AE97" s="7">
        <v>150615</v>
      </c>
      <c r="AF97" s="7">
        <v>153452.5</v>
      </c>
      <c r="AG97" s="7">
        <v>143987.5</v>
      </c>
      <c r="AH97" s="7">
        <v>131862.5</v>
      </c>
      <c r="AI97" s="7">
        <v>120175</v>
      </c>
      <c r="AJ97" s="7">
        <v>105022.5</v>
      </c>
      <c r="AK97" s="7">
        <v>84830</v>
      </c>
    </row>
    <row r="98" spans="11:37" x14ac:dyDescent="0.3">
      <c r="K98" s="40">
        <v>94</v>
      </c>
      <c r="L98" s="39">
        <f t="shared" ca="1" si="11"/>
        <v>6.9191568718543706E-2</v>
      </c>
      <c r="M98" s="39">
        <f t="shared" ca="1" si="12"/>
        <v>140</v>
      </c>
      <c r="N98" s="39">
        <f t="shared" ca="1" si="13"/>
        <v>0.68185043928897038</v>
      </c>
      <c r="O98" s="39">
        <f t="shared" ca="1" si="13"/>
        <v>0.68132255753784721</v>
      </c>
      <c r="P98" s="67">
        <f t="shared" ca="1" si="14"/>
        <v>0.33631729968268176</v>
      </c>
      <c r="Q98" s="56">
        <f t="shared" ca="1" si="15"/>
        <v>92.915578044424564</v>
      </c>
      <c r="R98" s="56">
        <f t="shared" ca="1" si="16"/>
        <v>93</v>
      </c>
      <c r="S98" s="56">
        <f t="shared" ca="1" si="17"/>
        <v>93</v>
      </c>
      <c r="T98" s="39">
        <f t="shared" ca="1" si="18"/>
        <v>511500</v>
      </c>
      <c r="U98" s="61">
        <f t="shared" ca="1" si="19"/>
        <v>64000</v>
      </c>
      <c r="V98" s="62">
        <f t="shared" ca="1" si="20"/>
        <v>75500</v>
      </c>
      <c r="W98" s="14"/>
      <c r="AA98" s="11">
        <v>93</v>
      </c>
      <c r="AB98" s="7">
        <v>120000</v>
      </c>
      <c r="AC98" s="7">
        <v>134860</v>
      </c>
      <c r="AD98" s="7">
        <v>146412.5</v>
      </c>
      <c r="AE98" s="7">
        <v>150090</v>
      </c>
      <c r="AF98" s="7">
        <v>148395</v>
      </c>
      <c r="AG98" s="7">
        <v>145002.5</v>
      </c>
      <c r="AH98" s="7">
        <v>144462.5</v>
      </c>
      <c r="AI98" s="7">
        <v>128382.5</v>
      </c>
      <c r="AJ98" s="7">
        <v>106912.5</v>
      </c>
      <c r="AK98" s="7">
        <v>84830</v>
      </c>
    </row>
    <row r="99" spans="11:37" x14ac:dyDescent="0.3">
      <c r="K99" s="40">
        <v>95</v>
      </c>
      <c r="L99" s="39">
        <f t="shared" ca="1" si="11"/>
        <v>6.8234488210636601E-2</v>
      </c>
      <c r="M99" s="39">
        <f t="shared" ca="1" si="12"/>
        <v>140</v>
      </c>
      <c r="N99" s="39">
        <f t="shared" ca="1" si="13"/>
        <v>0.39344431253906909</v>
      </c>
      <c r="O99" s="39">
        <f t="shared" ca="1" si="13"/>
        <v>0.74007788655453499</v>
      </c>
      <c r="P99" s="67">
        <f t="shared" ca="1" si="14"/>
        <v>0.31335221990936041</v>
      </c>
      <c r="Q99" s="56">
        <f t="shared" ca="1" si="15"/>
        <v>96.130689212689546</v>
      </c>
      <c r="R99" s="56">
        <f t="shared" ca="1" si="16"/>
        <v>97</v>
      </c>
      <c r="S99" s="56">
        <f t="shared" ca="1" si="17"/>
        <v>97</v>
      </c>
      <c r="T99" s="39">
        <f t="shared" ca="1" si="18"/>
        <v>533500</v>
      </c>
      <c r="U99" s="61">
        <f t="shared" ca="1" si="19"/>
        <v>56000</v>
      </c>
      <c r="V99" s="62">
        <f t="shared" ca="1" si="20"/>
        <v>89500</v>
      </c>
      <c r="W99" s="14"/>
      <c r="Y99" s="23"/>
      <c r="Z99" s="23"/>
      <c r="AA99" s="11">
        <v>94</v>
      </c>
      <c r="AB99" s="7">
        <v>120000</v>
      </c>
      <c r="AC99" s="7">
        <v>134790</v>
      </c>
      <c r="AD99" s="7">
        <v>146132.5</v>
      </c>
      <c r="AE99" s="7">
        <v>151682.5</v>
      </c>
      <c r="AF99" s="7">
        <v>149602.5</v>
      </c>
      <c r="AG99" s="7">
        <v>140487.5</v>
      </c>
      <c r="AH99" s="7">
        <v>133647.5</v>
      </c>
      <c r="AI99" s="7">
        <v>123867.5</v>
      </c>
      <c r="AJ99" s="7">
        <v>105005</v>
      </c>
      <c r="AK99" s="7">
        <v>82940</v>
      </c>
    </row>
    <row r="100" spans="11:37" x14ac:dyDescent="0.3">
      <c r="K100" s="40">
        <v>96</v>
      </c>
      <c r="L100" s="39">
        <f t="shared" ca="1" si="11"/>
        <v>0.78138216089441748</v>
      </c>
      <c r="M100" s="39">
        <f t="shared" ca="1" si="12"/>
        <v>200</v>
      </c>
      <c r="N100" s="39">
        <f t="shared" ca="1" si="13"/>
        <v>0.75965713433382676</v>
      </c>
      <c r="O100" s="39">
        <f t="shared" ca="1" si="13"/>
        <v>0.74744177028946124</v>
      </c>
      <c r="P100" s="67">
        <f t="shared" ca="1" si="14"/>
        <v>0.35070989046232881</v>
      </c>
      <c r="Q100" s="56">
        <f t="shared" ca="1" si="15"/>
        <v>129.85802190753424</v>
      </c>
      <c r="R100" s="56">
        <f t="shared" ca="1" si="16"/>
        <v>130</v>
      </c>
      <c r="S100" s="56">
        <f t="shared" ca="1" si="17"/>
        <v>125</v>
      </c>
      <c r="T100" s="39">
        <f t="shared" ca="1" si="18"/>
        <v>687500</v>
      </c>
      <c r="U100" s="61">
        <f t="shared" ca="1" si="19"/>
        <v>0</v>
      </c>
      <c r="V100" s="62">
        <f t="shared" ca="1" si="20"/>
        <v>187500</v>
      </c>
      <c r="W100" s="14"/>
      <c r="AA100" s="11">
        <v>95</v>
      </c>
      <c r="AB100" s="7">
        <v>120000</v>
      </c>
      <c r="AC100" s="7">
        <v>134860</v>
      </c>
      <c r="AD100" s="7">
        <v>147182.5</v>
      </c>
      <c r="AE100" s="7">
        <v>152312.5</v>
      </c>
      <c r="AF100" s="7">
        <v>151912.5</v>
      </c>
      <c r="AG100" s="7">
        <v>144810</v>
      </c>
      <c r="AH100" s="7">
        <v>142257.5</v>
      </c>
      <c r="AI100" s="7">
        <v>119825</v>
      </c>
      <c r="AJ100" s="7">
        <v>102432.5</v>
      </c>
      <c r="AK100" s="7">
        <v>80805</v>
      </c>
    </row>
    <row r="101" spans="11:37" x14ac:dyDescent="0.3">
      <c r="K101" s="40">
        <v>97</v>
      </c>
      <c r="L101" s="39">
        <f t="shared" ca="1" si="11"/>
        <v>0.70561469190224901</v>
      </c>
      <c r="M101" s="39">
        <f t="shared" ca="1" si="12"/>
        <v>200</v>
      </c>
      <c r="N101" s="39">
        <f t="shared" ca="1" si="13"/>
        <v>1.5841687979008423E-2</v>
      </c>
      <c r="O101" s="39">
        <f t="shared" ca="1" si="13"/>
        <v>0.71834122779936938</v>
      </c>
      <c r="P101" s="67">
        <f t="shared" ca="1" si="14"/>
        <v>0.27341829157783781</v>
      </c>
      <c r="Q101" s="56">
        <f t="shared" ca="1" si="15"/>
        <v>145.31634168443244</v>
      </c>
      <c r="R101" s="56">
        <f t="shared" ca="1" si="16"/>
        <v>146</v>
      </c>
      <c r="S101" s="56">
        <f t="shared" ca="1" si="17"/>
        <v>125</v>
      </c>
      <c r="T101" s="39">
        <f t="shared" ca="1" si="18"/>
        <v>687500</v>
      </c>
      <c r="U101" s="61">
        <f t="shared" ca="1" si="19"/>
        <v>0</v>
      </c>
      <c r="V101" s="62">
        <f t="shared" ca="1" si="20"/>
        <v>187500</v>
      </c>
      <c r="W101" s="14"/>
      <c r="AA101" s="11">
        <v>96</v>
      </c>
      <c r="AB101" s="7">
        <v>120000</v>
      </c>
      <c r="AC101" s="7">
        <v>134825</v>
      </c>
      <c r="AD101" s="7">
        <v>147707.5</v>
      </c>
      <c r="AE101" s="7">
        <v>151560</v>
      </c>
      <c r="AF101" s="7">
        <v>151300</v>
      </c>
      <c r="AG101" s="7">
        <v>146787.5</v>
      </c>
      <c r="AH101" s="7">
        <v>139055</v>
      </c>
      <c r="AI101" s="7">
        <v>123167.5</v>
      </c>
      <c r="AJ101" s="7">
        <v>93560</v>
      </c>
      <c r="AK101" s="7">
        <v>94157.5</v>
      </c>
    </row>
    <row r="102" spans="11:37" x14ac:dyDescent="0.3">
      <c r="K102" s="40">
        <v>98</v>
      </c>
      <c r="L102" s="39">
        <f t="shared" ca="1" si="11"/>
        <v>0.82267997738762566</v>
      </c>
      <c r="M102" s="39">
        <f t="shared" ca="1" si="12"/>
        <v>200</v>
      </c>
      <c r="N102" s="39">
        <f t="shared" ca="1" si="13"/>
        <v>0.11822736818391255</v>
      </c>
      <c r="O102" s="39">
        <f t="shared" ca="1" si="13"/>
        <v>0.49047297711949467</v>
      </c>
      <c r="P102" s="67">
        <f t="shared" ca="1" si="14"/>
        <v>0.26087003453034074</v>
      </c>
      <c r="Q102" s="56">
        <f t="shared" ca="1" si="15"/>
        <v>147.82599309393186</v>
      </c>
      <c r="R102" s="56">
        <f t="shared" ca="1" si="16"/>
        <v>148</v>
      </c>
      <c r="S102" s="56">
        <f t="shared" ca="1" si="17"/>
        <v>125</v>
      </c>
      <c r="T102" s="39">
        <f t="shared" ca="1" si="18"/>
        <v>687500</v>
      </c>
      <c r="U102" s="61">
        <f t="shared" ca="1" si="19"/>
        <v>0</v>
      </c>
      <c r="V102" s="62">
        <f t="shared" ca="1" si="20"/>
        <v>187500</v>
      </c>
      <c r="W102" s="14"/>
      <c r="AA102" s="11">
        <v>97</v>
      </c>
      <c r="AB102" s="7">
        <v>120000</v>
      </c>
      <c r="AC102" s="7">
        <v>134685</v>
      </c>
      <c r="AD102" s="7">
        <v>144960</v>
      </c>
      <c r="AE102" s="7">
        <v>153502.5</v>
      </c>
      <c r="AF102" s="7">
        <v>154135</v>
      </c>
      <c r="AG102" s="7">
        <v>146735</v>
      </c>
      <c r="AH102" s="7">
        <v>141522.5</v>
      </c>
      <c r="AI102" s="7">
        <v>120665</v>
      </c>
      <c r="AJ102" s="7">
        <v>103885</v>
      </c>
      <c r="AK102" s="7">
        <v>87875</v>
      </c>
    </row>
    <row r="103" spans="11:37" x14ac:dyDescent="0.3">
      <c r="K103" s="40">
        <v>99</v>
      </c>
      <c r="L103" s="39">
        <f t="shared" ca="1" si="11"/>
        <v>0.39129971094546434</v>
      </c>
      <c r="M103" s="39">
        <f t="shared" ca="1" si="12"/>
        <v>160</v>
      </c>
      <c r="N103" s="39">
        <f t="shared" ca="1" si="13"/>
        <v>0.87460272384638149</v>
      </c>
      <c r="O103" s="39">
        <f t="shared" ca="1" si="13"/>
        <v>0.86908491125878207</v>
      </c>
      <c r="P103" s="67">
        <f t="shared" ca="1" si="14"/>
        <v>0.3743687635105164</v>
      </c>
      <c r="Q103" s="56">
        <f t="shared" ca="1" si="15"/>
        <v>100.10099783831737</v>
      </c>
      <c r="R103" s="56">
        <f t="shared" ca="1" si="16"/>
        <v>101</v>
      </c>
      <c r="S103" s="56">
        <f t="shared" ca="1" si="17"/>
        <v>101</v>
      </c>
      <c r="T103" s="39">
        <f t="shared" ca="1" si="18"/>
        <v>555500</v>
      </c>
      <c r="U103" s="61">
        <f t="shared" ca="1" si="19"/>
        <v>48000</v>
      </c>
      <c r="V103" s="62">
        <f t="shared" ca="1" si="20"/>
        <v>103500</v>
      </c>
      <c r="W103" s="14"/>
      <c r="AA103" s="11">
        <v>98</v>
      </c>
      <c r="AB103" s="7">
        <v>120000</v>
      </c>
      <c r="AC103" s="7">
        <v>134842.5</v>
      </c>
      <c r="AD103" s="7">
        <v>147392.5</v>
      </c>
      <c r="AE103" s="7">
        <v>153397.5</v>
      </c>
      <c r="AF103" s="7">
        <v>153452.5</v>
      </c>
      <c r="AG103" s="7">
        <v>146507.5</v>
      </c>
      <c r="AH103" s="7">
        <v>143167.5</v>
      </c>
      <c r="AI103" s="7">
        <v>119737.5</v>
      </c>
      <c r="AJ103" s="7">
        <v>94015</v>
      </c>
      <c r="AK103" s="7">
        <v>76202.5</v>
      </c>
    </row>
    <row r="104" spans="11:37" x14ac:dyDescent="0.3">
      <c r="K104" s="40">
        <v>100</v>
      </c>
      <c r="L104" s="39">
        <f t="shared" ca="1" si="11"/>
        <v>0.30629421531514966</v>
      </c>
      <c r="M104" s="39">
        <f t="shared" ca="1" si="12"/>
        <v>160</v>
      </c>
      <c r="N104" s="39">
        <f t="shared" ca="1" si="13"/>
        <v>0.85384557529875382</v>
      </c>
      <c r="O104" s="39">
        <f t="shared" ca="1" si="13"/>
        <v>0.67169279772799928</v>
      </c>
      <c r="P104" s="67">
        <f t="shared" ca="1" si="14"/>
        <v>0.35255383730267531</v>
      </c>
      <c r="Q104" s="56">
        <f t="shared" ca="1" si="15"/>
        <v>103.59138603157194</v>
      </c>
      <c r="R104" s="56">
        <f t="shared" ca="1" si="16"/>
        <v>104</v>
      </c>
      <c r="S104" s="56">
        <f t="shared" ca="1" si="17"/>
        <v>104</v>
      </c>
      <c r="T104" s="39">
        <f t="shared" ca="1" si="18"/>
        <v>572000</v>
      </c>
      <c r="U104" s="61">
        <f t="shared" ca="1" si="19"/>
        <v>42000</v>
      </c>
      <c r="V104" s="62">
        <f t="shared" ca="1" si="20"/>
        <v>114000</v>
      </c>
      <c r="W104" s="14"/>
      <c r="AA104" s="11">
        <v>99</v>
      </c>
      <c r="AB104" s="7">
        <v>120000</v>
      </c>
      <c r="AC104" s="7">
        <v>134912.5</v>
      </c>
      <c r="AD104" s="7">
        <v>147392.5</v>
      </c>
      <c r="AE104" s="7">
        <v>152995</v>
      </c>
      <c r="AF104" s="7">
        <v>153365</v>
      </c>
      <c r="AG104" s="7">
        <v>147802.5</v>
      </c>
      <c r="AH104" s="7">
        <v>135345</v>
      </c>
      <c r="AI104" s="7">
        <v>126615</v>
      </c>
      <c r="AJ104" s="7">
        <v>106597.5</v>
      </c>
      <c r="AK104" s="7">
        <v>87525</v>
      </c>
    </row>
    <row r="105" spans="11:37" x14ac:dyDescent="0.3">
      <c r="K105" s="40">
        <v>101</v>
      </c>
      <c r="L105" s="39">
        <f t="shared" ca="1" si="11"/>
        <v>0.49260444230681444</v>
      </c>
      <c r="M105" s="39">
        <f t="shared" ca="1" si="12"/>
        <v>160</v>
      </c>
      <c r="N105" s="39">
        <f t="shared" ca="1" si="13"/>
        <v>0.89053535275842777</v>
      </c>
      <c r="O105" s="39">
        <f t="shared" ca="1" si="13"/>
        <v>0.19774475631198296</v>
      </c>
      <c r="P105" s="67">
        <f t="shared" ca="1" si="14"/>
        <v>0.3088280109070411</v>
      </c>
      <c r="Q105" s="56">
        <f t="shared" ca="1" si="15"/>
        <v>110.58751825487343</v>
      </c>
      <c r="R105" s="56">
        <f t="shared" ca="1" si="16"/>
        <v>111</v>
      </c>
      <c r="S105" s="56">
        <f t="shared" ca="1" si="17"/>
        <v>111</v>
      </c>
      <c r="T105" s="39">
        <f t="shared" ca="1" si="18"/>
        <v>610500</v>
      </c>
      <c r="U105" s="61">
        <f t="shared" ca="1" si="19"/>
        <v>28000</v>
      </c>
      <c r="V105" s="62">
        <f t="shared" ca="1" si="20"/>
        <v>138500</v>
      </c>
      <c r="W105" s="14"/>
      <c r="AA105" s="42">
        <v>100</v>
      </c>
      <c r="AB105" s="7">
        <v>120000</v>
      </c>
      <c r="AC105" s="7">
        <v>134825</v>
      </c>
      <c r="AD105" s="7">
        <v>146482.5</v>
      </c>
      <c r="AE105" s="7">
        <v>152120</v>
      </c>
      <c r="AF105" s="7">
        <v>153750</v>
      </c>
      <c r="AG105" s="7">
        <v>146962.5</v>
      </c>
      <c r="AH105" s="7">
        <v>139282.5</v>
      </c>
      <c r="AI105" s="7">
        <v>122642.5</v>
      </c>
      <c r="AJ105" s="7">
        <v>104690</v>
      </c>
      <c r="AK105" s="7">
        <v>92565</v>
      </c>
    </row>
    <row r="106" spans="11:37" x14ac:dyDescent="0.3">
      <c r="K106" s="40">
        <v>102</v>
      </c>
      <c r="L106" s="39">
        <f t="shared" ca="1" si="11"/>
        <v>0.69995038494512285</v>
      </c>
      <c r="M106" s="39">
        <f t="shared" ca="1" si="12"/>
        <v>200</v>
      </c>
      <c r="N106" s="39">
        <f t="shared" ca="1" si="13"/>
        <v>0.62089697078368189</v>
      </c>
      <c r="O106" s="39">
        <f t="shared" ca="1" si="13"/>
        <v>0.58434462270343224</v>
      </c>
      <c r="P106" s="67">
        <f t="shared" ca="1" si="14"/>
        <v>0.32052415934871142</v>
      </c>
      <c r="Q106" s="56">
        <f t="shared" ca="1" si="15"/>
        <v>135.89516813025773</v>
      </c>
      <c r="R106" s="56">
        <f t="shared" ca="1" si="16"/>
        <v>136</v>
      </c>
      <c r="S106" s="56">
        <f t="shared" ca="1" si="17"/>
        <v>125</v>
      </c>
      <c r="T106" s="39">
        <f t="shared" ca="1" si="18"/>
        <v>687500</v>
      </c>
      <c r="U106" s="61">
        <f t="shared" ca="1" si="19"/>
        <v>0</v>
      </c>
      <c r="V106" s="62">
        <f t="shared" ca="1" si="20"/>
        <v>187500</v>
      </c>
      <c r="W106" s="14"/>
    </row>
    <row r="107" spans="11:37" x14ac:dyDescent="0.3">
      <c r="K107" s="40">
        <v>103</v>
      </c>
      <c r="L107" s="39">
        <f t="shared" ca="1" si="11"/>
        <v>0.10934432447674702</v>
      </c>
      <c r="M107" s="39">
        <f t="shared" ca="1" si="12"/>
        <v>140</v>
      </c>
      <c r="N107" s="39">
        <f t="shared" ca="1" si="13"/>
        <v>0.73856824068048899</v>
      </c>
      <c r="O107" s="39">
        <f t="shared" ca="1" si="13"/>
        <v>0.51182420326223033</v>
      </c>
      <c r="P107" s="67">
        <f t="shared" ca="1" si="14"/>
        <v>0.3250392443942719</v>
      </c>
      <c r="Q107" s="56">
        <f t="shared" ca="1" si="15"/>
        <v>94.49450578480193</v>
      </c>
      <c r="R107" s="56">
        <f t="shared" ca="1" si="16"/>
        <v>95</v>
      </c>
      <c r="S107" s="56">
        <f t="shared" ca="1" si="17"/>
        <v>95</v>
      </c>
      <c r="T107" s="39">
        <f t="shared" ca="1" si="18"/>
        <v>522500</v>
      </c>
      <c r="U107" s="61">
        <f t="shared" ca="1" si="19"/>
        <v>60000</v>
      </c>
      <c r="V107" s="62">
        <f t="shared" ca="1" si="20"/>
        <v>82500</v>
      </c>
      <c r="W107" s="14"/>
    </row>
    <row r="108" spans="11:37" x14ac:dyDescent="0.3">
      <c r="K108" s="40">
        <v>104</v>
      </c>
      <c r="L108" s="39">
        <f t="shared" ca="1" si="11"/>
        <v>0.50437558595356002</v>
      </c>
      <c r="M108" s="39">
        <f t="shared" ca="1" si="12"/>
        <v>180</v>
      </c>
      <c r="N108" s="39">
        <f t="shared" ca="1" si="13"/>
        <v>0.61235984888116735</v>
      </c>
      <c r="O108" s="39">
        <f t="shared" ca="1" si="13"/>
        <v>0.26453525453532856</v>
      </c>
      <c r="P108" s="67">
        <f t="shared" ca="1" si="14"/>
        <v>0.28768951034164958</v>
      </c>
      <c r="Q108" s="56">
        <f t="shared" ca="1" si="15"/>
        <v>128.21588813850309</v>
      </c>
      <c r="R108" s="56">
        <f t="shared" ca="1" si="16"/>
        <v>129</v>
      </c>
      <c r="S108" s="56">
        <f t="shared" ca="1" si="17"/>
        <v>125</v>
      </c>
      <c r="T108" s="39">
        <f t="shared" ca="1" si="18"/>
        <v>687500</v>
      </c>
      <c r="U108" s="61">
        <f t="shared" ca="1" si="19"/>
        <v>0</v>
      </c>
      <c r="V108" s="62">
        <f t="shared" ca="1" si="20"/>
        <v>187500</v>
      </c>
      <c r="W108" s="14"/>
    </row>
    <row r="109" spans="11:37" x14ac:dyDescent="0.3">
      <c r="K109" s="40">
        <v>105</v>
      </c>
      <c r="L109" s="39">
        <f t="shared" ca="1" si="11"/>
        <v>0.49344340983407886</v>
      </c>
      <c r="M109" s="39">
        <f t="shared" ca="1" si="12"/>
        <v>160</v>
      </c>
      <c r="N109" s="39">
        <f t="shared" ca="1" si="13"/>
        <v>0.15869088683319577</v>
      </c>
      <c r="O109" s="39">
        <f t="shared" ca="1" si="13"/>
        <v>0.53001629598216848</v>
      </c>
      <c r="P109" s="67">
        <f t="shared" ca="1" si="14"/>
        <v>0.26887071828153641</v>
      </c>
      <c r="Q109" s="56">
        <f t="shared" ca="1" si="15"/>
        <v>116.98068507495418</v>
      </c>
      <c r="R109" s="56">
        <f t="shared" ca="1" si="16"/>
        <v>117</v>
      </c>
      <c r="S109" s="56">
        <f t="shared" ca="1" si="17"/>
        <v>117</v>
      </c>
      <c r="T109" s="39">
        <f t="shared" ca="1" si="18"/>
        <v>643500</v>
      </c>
      <c r="U109" s="61">
        <f t="shared" ca="1" si="19"/>
        <v>16000</v>
      </c>
      <c r="V109" s="62">
        <f t="shared" ca="1" si="20"/>
        <v>159500</v>
      </c>
      <c r="W109" s="14"/>
    </row>
    <row r="110" spans="11:37" ht="16.2" thickBot="1" x14ac:dyDescent="0.35">
      <c r="K110" s="40">
        <v>106</v>
      </c>
      <c r="L110" s="39">
        <f t="shared" ca="1" si="11"/>
        <v>0.2601469814378462</v>
      </c>
      <c r="M110" s="39">
        <f t="shared" ca="1" si="12"/>
        <v>140</v>
      </c>
      <c r="N110" s="39">
        <f t="shared" ca="1" si="13"/>
        <v>0.47392352049424047</v>
      </c>
      <c r="O110" s="39">
        <f t="shared" ca="1" si="13"/>
        <v>0.40888275625384696</v>
      </c>
      <c r="P110" s="67">
        <f t="shared" ca="1" si="14"/>
        <v>0.28828062767480878</v>
      </c>
      <c r="Q110" s="56">
        <f t="shared" ca="1" si="15"/>
        <v>99.640712125526761</v>
      </c>
      <c r="R110" s="56">
        <f t="shared" ca="1" si="16"/>
        <v>100</v>
      </c>
      <c r="S110" s="56">
        <f t="shared" ca="1" si="17"/>
        <v>100</v>
      </c>
      <c r="T110" s="39">
        <f t="shared" ca="1" si="18"/>
        <v>550000</v>
      </c>
      <c r="U110" s="61">
        <f t="shared" ca="1" si="19"/>
        <v>50000</v>
      </c>
      <c r="V110" s="62">
        <f t="shared" ca="1" si="20"/>
        <v>100000</v>
      </c>
      <c r="W110" s="14"/>
    </row>
    <row r="111" spans="11:37" ht="16.2" thickBot="1" x14ac:dyDescent="0.35">
      <c r="K111" s="40">
        <v>107</v>
      </c>
      <c r="L111" s="39">
        <f t="shared" ca="1" si="11"/>
        <v>0.50457148131390506</v>
      </c>
      <c r="M111" s="39">
        <f t="shared" ca="1" si="12"/>
        <v>180</v>
      </c>
      <c r="N111" s="39">
        <f t="shared" ca="1" si="13"/>
        <v>0.86454098533321089</v>
      </c>
      <c r="O111" s="39">
        <f t="shared" ca="1" si="13"/>
        <v>0.89509930189232201</v>
      </c>
      <c r="P111" s="67">
        <f t="shared" ca="1" si="14"/>
        <v>0.3759640287225533</v>
      </c>
      <c r="Q111" s="56">
        <f t="shared" ca="1" si="15"/>
        <v>112.32647482994041</v>
      </c>
      <c r="R111" s="56">
        <f t="shared" ca="1" si="16"/>
        <v>113</v>
      </c>
      <c r="S111" s="56">
        <f t="shared" ca="1" si="17"/>
        <v>113</v>
      </c>
      <c r="T111" s="39">
        <f t="shared" ca="1" si="18"/>
        <v>621500</v>
      </c>
      <c r="U111" s="61">
        <f t="shared" ca="1" si="19"/>
        <v>24000</v>
      </c>
      <c r="V111" s="62">
        <f t="shared" ca="1" si="20"/>
        <v>145500</v>
      </c>
      <c r="W111" s="14"/>
      <c r="AA111" s="18" t="s">
        <v>22</v>
      </c>
      <c r="AB111" s="13">
        <f>AB5</f>
        <v>80</v>
      </c>
      <c r="AC111" s="13">
        <f t="shared" ref="AC111:AK111" si="21">AC5</f>
        <v>90</v>
      </c>
      <c r="AD111" s="13">
        <f t="shared" si="21"/>
        <v>100</v>
      </c>
      <c r="AE111" s="13">
        <f t="shared" si="21"/>
        <v>110</v>
      </c>
      <c r="AF111" s="13">
        <f t="shared" si="21"/>
        <v>120</v>
      </c>
      <c r="AG111" s="13">
        <f t="shared" si="21"/>
        <v>130</v>
      </c>
      <c r="AH111" s="13">
        <f t="shared" si="21"/>
        <v>140</v>
      </c>
      <c r="AI111" s="13">
        <f t="shared" si="21"/>
        <v>150</v>
      </c>
      <c r="AJ111" s="13">
        <f t="shared" si="21"/>
        <v>160</v>
      </c>
      <c r="AK111" s="13">
        <f t="shared" si="21"/>
        <v>170</v>
      </c>
    </row>
    <row r="112" spans="11:37" x14ac:dyDescent="0.3">
      <c r="K112" s="40">
        <v>108</v>
      </c>
      <c r="L112" s="39">
        <f t="shared" ca="1" si="11"/>
        <v>0.1801403011761149</v>
      </c>
      <c r="M112" s="39">
        <f t="shared" ca="1" si="12"/>
        <v>140</v>
      </c>
      <c r="N112" s="39">
        <f t="shared" ca="1" si="13"/>
        <v>0.58547452929480182</v>
      </c>
      <c r="O112" s="39">
        <f t="shared" ca="1" si="13"/>
        <v>0.10379580672029998</v>
      </c>
      <c r="P112" s="67">
        <f t="shared" ca="1" si="14"/>
        <v>0.26892703360151021</v>
      </c>
      <c r="Q112" s="56">
        <f t="shared" ca="1" si="15"/>
        <v>102.35021529578857</v>
      </c>
      <c r="R112" s="56">
        <f t="shared" ca="1" si="16"/>
        <v>103</v>
      </c>
      <c r="S112" s="56">
        <f t="shared" ca="1" si="17"/>
        <v>103</v>
      </c>
      <c r="T112" s="39">
        <f t="shared" ca="1" si="18"/>
        <v>566500</v>
      </c>
      <c r="U112" s="61">
        <f t="shared" ca="1" si="19"/>
        <v>44000</v>
      </c>
      <c r="V112" s="62">
        <f t="shared" ca="1" si="20"/>
        <v>110500</v>
      </c>
      <c r="W112" s="14"/>
      <c r="AA112" s="19" t="s">
        <v>26</v>
      </c>
      <c r="AB112" s="11">
        <f>AVERAGE(AB6:AB105)</f>
        <v>120000</v>
      </c>
      <c r="AC112" s="11">
        <f t="shared" ref="AC112:AK112" si="22">AVERAGE(AC6:AC105)</f>
        <v>134853.70000000001</v>
      </c>
      <c r="AD112" s="11">
        <f t="shared" si="22"/>
        <v>146598</v>
      </c>
      <c r="AE112" s="11">
        <f t="shared" si="22"/>
        <v>151864.67499999999</v>
      </c>
      <c r="AF112" s="11">
        <f t="shared" si="22"/>
        <v>151380.5</v>
      </c>
      <c r="AG112" s="11">
        <f t="shared" si="22"/>
        <v>146703.85</v>
      </c>
      <c r="AH112" s="11">
        <f t="shared" si="22"/>
        <v>138524.22500000001</v>
      </c>
      <c r="AI112" s="11">
        <f t="shared" si="22"/>
        <v>122433.02499999999</v>
      </c>
      <c r="AJ112" s="11">
        <f t="shared" si="22"/>
        <v>105188.575</v>
      </c>
      <c r="AK112" s="11">
        <f t="shared" si="22"/>
        <v>85100.024999999994</v>
      </c>
    </row>
    <row r="113" spans="11:37" x14ac:dyDescent="0.3">
      <c r="K113" s="40">
        <v>109</v>
      </c>
      <c r="L113" s="39">
        <f t="shared" ca="1" si="11"/>
        <v>0.68691345501130219</v>
      </c>
      <c r="M113" s="39">
        <f t="shared" ca="1" si="12"/>
        <v>200</v>
      </c>
      <c r="N113" s="39">
        <f t="shared" ca="1" si="13"/>
        <v>0.74775603535009294</v>
      </c>
      <c r="O113" s="39">
        <f t="shared" ca="1" si="13"/>
        <v>0.76533998048882035</v>
      </c>
      <c r="P113" s="67">
        <f t="shared" ca="1" si="14"/>
        <v>0.35130960158389135</v>
      </c>
      <c r="Q113" s="56">
        <f t="shared" ca="1" si="15"/>
        <v>129.73807968322171</v>
      </c>
      <c r="R113" s="56">
        <f t="shared" ca="1" si="16"/>
        <v>130</v>
      </c>
      <c r="S113" s="56">
        <f t="shared" ca="1" si="17"/>
        <v>125</v>
      </c>
      <c r="T113" s="39">
        <f t="shared" ca="1" si="18"/>
        <v>687500</v>
      </c>
      <c r="U113" s="61">
        <f t="shared" ca="1" si="19"/>
        <v>0</v>
      </c>
      <c r="V113" s="62">
        <f t="shared" ca="1" si="20"/>
        <v>187500</v>
      </c>
      <c r="W113" s="14"/>
      <c r="AA113" s="19" t="s">
        <v>27</v>
      </c>
      <c r="AB113" s="20">
        <f>_xlfn.STDEV.S(AB6:AB105)</f>
        <v>0</v>
      </c>
      <c r="AC113" s="20">
        <f t="shared" ref="AC113:AK113" si="23">_xlfn.STDEV.S(AC6:AC105)</f>
        <v>82.77729645307825</v>
      </c>
      <c r="AD113" s="20">
        <f t="shared" si="23"/>
        <v>666.18514807458109</v>
      </c>
      <c r="AE113" s="20">
        <f t="shared" si="23"/>
        <v>1379.9817766601636</v>
      </c>
      <c r="AF113" s="20">
        <f t="shared" si="23"/>
        <v>2278.3846229069818</v>
      </c>
      <c r="AG113" s="20">
        <f t="shared" si="23"/>
        <v>3579.0924591030157</v>
      </c>
      <c r="AH113" s="20">
        <f t="shared" si="23"/>
        <v>4298.0480314535598</v>
      </c>
      <c r="AI113" s="20">
        <f t="shared" si="23"/>
        <v>4614.2671985562029</v>
      </c>
      <c r="AJ113" s="20">
        <f t="shared" si="23"/>
        <v>4934.6135375042504</v>
      </c>
      <c r="AK113" s="20">
        <f t="shared" si="23"/>
        <v>5183.5163966382106</v>
      </c>
    </row>
    <row r="114" spans="11:37" x14ac:dyDescent="0.3">
      <c r="K114" s="40">
        <v>110</v>
      </c>
      <c r="L114" s="39">
        <f t="shared" ca="1" si="11"/>
        <v>0.90501784853560074</v>
      </c>
      <c r="M114" s="39">
        <f t="shared" ca="1" si="12"/>
        <v>220</v>
      </c>
      <c r="N114" s="39">
        <f t="shared" ca="1" si="13"/>
        <v>0.21173833310903933</v>
      </c>
      <c r="O114" s="39">
        <f t="shared" ca="1" si="13"/>
        <v>4.4541828783103199E-2</v>
      </c>
      <c r="P114" s="67">
        <f t="shared" ca="1" si="14"/>
        <v>0.22562801618921427</v>
      </c>
      <c r="Q114" s="56">
        <f t="shared" ca="1" si="15"/>
        <v>170.36183643837285</v>
      </c>
      <c r="R114" s="56">
        <f t="shared" ca="1" si="16"/>
        <v>171</v>
      </c>
      <c r="S114" s="56">
        <f t="shared" ca="1" si="17"/>
        <v>125</v>
      </c>
      <c r="T114" s="39">
        <f t="shared" ca="1" si="18"/>
        <v>687500</v>
      </c>
      <c r="U114" s="61">
        <f t="shared" ca="1" si="19"/>
        <v>0</v>
      </c>
      <c r="V114" s="62">
        <f t="shared" ca="1" si="20"/>
        <v>187500</v>
      </c>
      <c r="W114" s="14"/>
      <c r="AA114" s="19" t="s">
        <v>28</v>
      </c>
      <c r="AB114" s="11" t="e">
        <f>_xlfn.CONFIDENCE.T(0.05,AB113,100)</f>
        <v>#NUM!</v>
      </c>
      <c r="AC114" s="11">
        <f t="shared" ref="AC114:AK114" si="24">_xlfn.CONFIDENCE.T(0.05,AC113,100)</f>
        <v>16.424811482869202</v>
      </c>
      <c r="AD114" s="11">
        <f t="shared" si="24"/>
        <v>132.18558637046908</v>
      </c>
      <c r="AE114" s="11">
        <f t="shared" si="24"/>
        <v>273.8183234129437</v>
      </c>
      <c r="AF114" s="11">
        <f t="shared" si="24"/>
        <v>452.08093910058585</v>
      </c>
      <c r="AG114" s="11">
        <f t="shared" si="24"/>
        <v>710.16959286473173</v>
      </c>
      <c r="AH114" s="11">
        <f t="shared" si="24"/>
        <v>852.8259762742781</v>
      </c>
      <c r="AI114" s="11">
        <f t="shared" si="24"/>
        <v>915.57071945243831</v>
      </c>
      <c r="AJ114" s="11">
        <f t="shared" si="24"/>
        <v>979.13438306437467</v>
      </c>
      <c r="AK114" s="11">
        <f t="shared" si="24"/>
        <v>1028.5221103035676</v>
      </c>
    </row>
    <row r="115" spans="11:37" x14ac:dyDescent="0.3">
      <c r="K115" s="40">
        <v>111</v>
      </c>
      <c r="L115" s="39">
        <f t="shared" ca="1" si="11"/>
        <v>0.7196314059211314</v>
      </c>
      <c r="M115" s="39">
        <f t="shared" ca="1" si="12"/>
        <v>200</v>
      </c>
      <c r="N115" s="39">
        <f t="shared" ca="1" si="13"/>
        <v>0.14375290225592963</v>
      </c>
      <c r="O115" s="39">
        <f t="shared" ca="1" si="13"/>
        <v>0.91037723368135415</v>
      </c>
      <c r="P115" s="67">
        <f t="shared" ca="1" si="14"/>
        <v>0.30541301359372841</v>
      </c>
      <c r="Q115" s="56">
        <f t="shared" ca="1" si="15"/>
        <v>138.91739728125432</v>
      </c>
      <c r="R115" s="56">
        <f t="shared" ca="1" si="16"/>
        <v>139</v>
      </c>
      <c r="S115" s="56">
        <f t="shared" ca="1" si="17"/>
        <v>125</v>
      </c>
      <c r="T115" s="39">
        <f t="shared" ca="1" si="18"/>
        <v>687500</v>
      </c>
      <c r="U115" s="61">
        <f t="shared" ca="1" si="19"/>
        <v>0</v>
      </c>
      <c r="V115" s="62">
        <f t="shared" ca="1" si="20"/>
        <v>187500</v>
      </c>
      <c r="W115" s="14"/>
      <c r="AA115" s="19" t="s">
        <v>29</v>
      </c>
      <c r="AB115" s="11">
        <f>AB112-AB113</f>
        <v>120000</v>
      </c>
      <c r="AC115" s="11">
        <f t="shared" ref="AC115:AK115" si="25">AC112-AC113</f>
        <v>134770.92270354694</v>
      </c>
      <c r="AD115" s="11">
        <f t="shared" si="25"/>
        <v>145931.81485192542</v>
      </c>
      <c r="AE115" s="11">
        <f t="shared" si="25"/>
        <v>150484.69322333983</v>
      </c>
      <c r="AF115" s="11">
        <f t="shared" si="25"/>
        <v>149102.11537709303</v>
      </c>
      <c r="AG115" s="11">
        <f t="shared" si="25"/>
        <v>143124.757540897</v>
      </c>
      <c r="AH115" s="11">
        <f t="shared" si="25"/>
        <v>134226.17696854644</v>
      </c>
      <c r="AI115" s="11">
        <f t="shared" si="25"/>
        <v>117818.75780144379</v>
      </c>
      <c r="AJ115" s="11">
        <f t="shared" si="25"/>
        <v>100253.96146249575</v>
      </c>
      <c r="AK115" s="11">
        <f t="shared" si="25"/>
        <v>79916.508603361784</v>
      </c>
    </row>
    <row r="116" spans="11:37" x14ac:dyDescent="0.3">
      <c r="K116" s="40">
        <v>112</v>
      </c>
      <c r="L116" s="39">
        <f t="shared" ca="1" si="11"/>
        <v>0.30127486079988175</v>
      </c>
      <c r="M116" s="39">
        <f t="shared" ca="1" si="12"/>
        <v>160</v>
      </c>
      <c r="N116" s="39">
        <f t="shared" ca="1" si="13"/>
        <v>0.49035964662676779</v>
      </c>
      <c r="O116" s="39">
        <f t="shared" ca="1" si="13"/>
        <v>1.3732618679256015E-2</v>
      </c>
      <c r="P116" s="67">
        <f t="shared" ca="1" si="14"/>
        <v>0.25040922653060238</v>
      </c>
      <c r="Q116" s="56">
        <f t="shared" ca="1" si="15"/>
        <v>119.93452375510361</v>
      </c>
      <c r="R116" s="56">
        <f t="shared" ca="1" si="16"/>
        <v>120</v>
      </c>
      <c r="S116" s="56">
        <f t="shared" ca="1" si="17"/>
        <v>120</v>
      </c>
      <c r="T116" s="39">
        <f t="shared" ca="1" si="18"/>
        <v>660000</v>
      </c>
      <c r="U116" s="61">
        <f t="shared" ca="1" si="19"/>
        <v>10000</v>
      </c>
      <c r="V116" s="62">
        <f t="shared" ca="1" si="20"/>
        <v>170000</v>
      </c>
      <c r="W116" s="14"/>
      <c r="AA116" s="19" t="s">
        <v>30</v>
      </c>
      <c r="AB116" s="11">
        <f>AB112+AB113</f>
        <v>120000</v>
      </c>
      <c r="AC116" s="11">
        <f t="shared" ref="AC116:AK116" si="26">AC112+AC113</f>
        <v>134936.47729645309</v>
      </c>
      <c r="AD116" s="11">
        <f t="shared" si="26"/>
        <v>147264.18514807458</v>
      </c>
      <c r="AE116" s="11">
        <f t="shared" si="26"/>
        <v>153244.65677666015</v>
      </c>
      <c r="AF116" s="11">
        <f t="shared" si="26"/>
        <v>153658.88462290697</v>
      </c>
      <c r="AG116" s="11">
        <f t="shared" si="26"/>
        <v>150282.94245910301</v>
      </c>
      <c r="AH116" s="11">
        <f t="shared" si="26"/>
        <v>142822.27303145357</v>
      </c>
      <c r="AI116" s="11">
        <f t="shared" si="26"/>
        <v>127047.2921985562</v>
      </c>
      <c r="AJ116" s="11">
        <f t="shared" si="26"/>
        <v>110123.18853750425</v>
      </c>
      <c r="AK116" s="11">
        <f t="shared" si="26"/>
        <v>90283.541396638204</v>
      </c>
    </row>
    <row r="117" spans="11:37" x14ac:dyDescent="0.3">
      <c r="K117" s="40">
        <v>113</v>
      </c>
      <c r="L117" s="39">
        <f t="shared" ca="1" si="11"/>
        <v>0.37769740185407596</v>
      </c>
      <c r="M117" s="39">
        <f t="shared" ca="1" si="12"/>
        <v>160</v>
      </c>
      <c r="N117" s="39">
        <f t="shared" ca="1" si="13"/>
        <v>5.8867941002138657E-2</v>
      </c>
      <c r="O117" s="39">
        <f t="shared" ca="1" si="13"/>
        <v>0.34171193258666022</v>
      </c>
      <c r="P117" s="67">
        <f t="shared" ca="1" si="14"/>
        <v>0.2400579873588799</v>
      </c>
      <c r="Q117" s="56">
        <f t="shared" ca="1" si="15"/>
        <v>121.59072202257921</v>
      </c>
      <c r="R117" s="56">
        <f t="shared" ca="1" si="16"/>
        <v>122</v>
      </c>
      <c r="S117" s="56">
        <f t="shared" ca="1" si="17"/>
        <v>122</v>
      </c>
      <c r="T117" s="39">
        <f t="shared" ca="1" si="18"/>
        <v>671000</v>
      </c>
      <c r="U117" s="61">
        <f t="shared" ca="1" si="19"/>
        <v>6000</v>
      </c>
      <c r="V117" s="62">
        <f t="shared" ca="1" si="20"/>
        <v>177000</v>
      </c>
      <c r="W117" s="14"/>
      <c r="AA117" s="19"/>
      <c r="AB117" s="20"/>
      <c r="AC117" s="20"/>
      <c r="AD117" s="20"/>
      <c r="AE117" s="20"/>
      <c r="AF117" s="20"/>
      <c r="AG117" s="25"/>
      <c r="AH117" s="16"/>
      <c r="AI117" s="16"/>
      <c r="AJ117" s="16"/>
      <c r="AK117" s="16"/>
    </row>
    <row r="118" spans="11:37" x14ac:dyDescent="0.3">
      <c r="K118" s="40">
        <v>114</v>
      </c>
      <c r="L118" s="39">
        <f t="shared" ca="1" si="11"/>
        <v>0.14660186067805592</v>
      </c>
      <c r="M118" s="39">
        <f t="shared" ca="1" si="12"/>
        <v>140</v>
      </c>
      <c r="N118" s="39">
        <f t="shared" ca="1" si="13"/>
        <v>0.89143315079844077</v>
      </c>
      <c r="O118" s="39">
        <f t="shared" ca="1" si="13"/>
        <v>0.69121635292354822</v>
      </c>
      <c r="P118" s="67">
        <f t="shared" ca="1" si="14"/>
        <v>0.35826495037219891</v>
      </c>
      <c r="Q118" s="56">
        <f t="shared" ca="1" si="15"/>
        <v>89.842906947892146</v>
      </c>
      <c r="R118" s="56">
        <f t="shared" ca="1" si="16"/>
        <v>90</v>
      </c>
      <c r="S118" s="56">
        <f t="shared" ca="1" si="17"/>
        <v>90</v>
      </c>
      <c r="T118" s="39">
        <f t="shared" ca="1" si="18"/>
        <v>495000</v>
      </c>
      <c r="U118" s="61">
        <f t="shared" ca="1" si="19"/>
        <v>70000</v>
      </c>
      <c r="V118" s="62">
        <f t="shared" ca="1" si="20"/>
        <v>65000</v>
      </c>
      <c r="W118" s="14"/>
      <c r="AA118" s="19"/>
      <c r="AB118" s="11"/>
      <c r="AC118" s="11"/>
      <c r="AD118" s="11"/>
      <c r="AE118" s="11"/>
      <c r="AF118" s="11"/>
      <c r="AG118" s="24"/>
      <c r="AH118" s="11"/>
      <c r="AI118" s="11"/>
      <c r="AJ118" s="11"/>
      <c r="AK118" s="11"/>
    </row>
    <row r="119" spans="11:37" x14ac:dyDescent="0.3">
      <c r="K119" s="40">
        <v>115</v>
      </c>
      <c r="L119" s="39">
        <f t="shared" ca="1" si="11"/>
        <v>0.41182427658136267</v>
      </c>
      <c r="M119" s="39">
        <f t="shared" ca="1" si="12"/>
        <v>160</v>
      </c>
      <c r="N119" s="39">
        <f t="shared" ca="1" si="13"/>
        <v>0.49097175683794503</v>
      </c>
      <c r="O119" s="39">
        <f t="shared" ca="1" si="13"/>
        <v>0.27751860705766773</v>
      </c>
      <c r="P119" s="67">
        <f t="shared" ca="1" si="14"/>
        <v>0.27684903638956126</v>
      </c>
      <c r="Q119" s="56">
        <f t="shared" ca="1" si="15"/>
        <v>115.7041541776702</v>
      </c>
      <c r="R119" s="56">
        <f t="shared" ca="1" si="16"/>
        <v>116</v>
      </c>
      <c r="S119" s="56">
        <f t="shared" ca="1" si="17"/>
        <v>116</v>
      </c>
      <c r="T119" s="39">
        <f t="shared" ca="1" si="18"/>
        <v>638000</v>
      </c>
      <c r="U119" s="61">
        <f t="shared" ca="1" si="19"/>
        <v>18000</v>
      </c>
      <c r="V119" s="62">
        <f t="shared" ca="1" si="20"/>
        <v>156000</v>
      </c>
      <c r="W119" s="14"/>
      <c r="AA119" s="19"/>
      <c r="AB119" s="11"/>
      <c r="AC119" s="11"/>
      <c r="AD119" s="11"/>
      <c r="AE119" s="11"/>
      <c r="AF119" s="11"/>
      <c r="AG119" s="24"/>
      <c r="AH119" s="11"/>
      <c r="AI119" s="11"/>
      <c r="AJ119" s="11"/>
      <c r="AK119" s="11"/>
    </row>
    <row r="120" spans="11:37" ht="16.2" thickBot="1" x14ac:dyDescent="0.35">
      <c r="K120" s="40">
        <v>116</v>
      </c>
      <c r="L120" s="39">
        <f t="shared" ca="1" si="11"/>
        <v>0.21516000814938496</v>
      </c>
      <c r="M120" s="39">
        <f t="shared" ca="1" si="12"/>
        <v>140</v>
      </c>
      <c r="N120" s="39">
        <f t="shared" ca="1" si="13"/>
        <v>0.23383202641169076</v>
      </c>
      <c r="O120" s="39">
        <f t="shared" ca="1" si="13"/>
        <v>0.76207887871446567</v>
      </c>
      <c r="P120" s="67">
        <f t="shared" ca="1" si="14"/>
        <v>0.29959109051261568</v>
      </c>
      <c r="Q120" s="56">
        <f t="shared" ca="1" si="15"/>
        <v>98.057247328233814</v>
      </c>
      <c r="R120" s="56">
        <f t="shared" ca="1" si="16"/>
        <v>99</v>
      </c>
      <c r="S120" s="56">
        <f t="shared" ca="1" si="17"/>
        <v>99</v>
      </c>
      <c r="T120" s="39">
        <f t="shared" ca="1" si="18"/>
        <v>544500</v>
      </c>
      <c r="U120" s="61">
        <f t="shared" ca="1" si="19"/>
        <v>52000</v>
      </c>
      <c r="V120" s="62">
        <f t="shared" ca="1" si="20"/>
        <v>96500</v>
      </c>
      <c r="W120" s="14"/>
      <c r="AA120" s="21"/>
      <c r="AB120" s="17"/>
      <c r="AC120" s="17"/>
      <c r="AD120" s="17"/>
      <c r="AE120" s="17"/>
      <c r="AF120" s="17"/>
      <c r="AG120" s="26"/>
      <c r="AH120" s="17"/>
      <c r="AI120" s="17"/>
      <c r="AJ120" s="17"/>
      <c r="AK120" s="17"/>
    </row>
    <row r="121" spans="11:37" x14ac:dyDescent="0.3">
      <c r="K121" s="40">
        <v>117</v>
      </c>
      <c r="L121" s="39">
        <f t="shared" ca="1" si="11"/>
        <v>0.35336290572369222</v>
      </c>
      <c r="M121" s="39">
        <f t="shared" ca="1" si="12"/>
        <v>160</v>
      </c>
      <c r="N121" s="39">
        <f t="shared" ca="1" si="13"/>
        <v>0.71044123050768093</v>
      </c>
      <c r="O121" s="39">
        <f t="shared" ca="1" si="13"/>
        <v>0.21711599509592594</v>
      </c>
      <c r="P121" s="67">
        <f t="shared" ca="1" si="14"/>
        <v>0.2927557225603607</v>
      </c>
      <c r="Q121" s="56">
        <f t="shared" ca="1" si="15"/>
        <v>113.15908439034229</v>
      </c>
      <c r="R121" s="56">
        <f t="shared" ca="1" si="16"/>
        <v>114</v>
      </c>
      <c r="S121" s="56">
        <f t="shared" ca="1" si="17"/>
        <v>114</v>
      </c>
      <c r="T121" s="39">
        <f t="shared" ca="1" si="18"/>
        <v>627000</v>
      </c>
      <c r="U121" s="61">
        <f t="shared" ca="1" si="19"/>
        <v>22000</v>
      </c>
      <c r="V121" s="62">
        <f t="shared" ca="1" si="20"/>
        <v>149000</v>
      </c>
      <c r="W121" s="14"/>
    </row>
    <row r="122" spans="11:37" x14ac:dyDescent="0.3">
      <c r="K122" s="40">
        <v>118</v>
      </c>
      <c r="L122" s="39">
        <f t="shared" ca="1" si="11"/>
        <v>0.63751309778542986</v>
      </c>
      <c r="M122" s="39">
        <f t="shared" ca="1" si="12"/>
        <v>180</v>
      </c>
      <c r="N122" s="39">
        <f t="shared" ca="1" si="13"/>
        <v>0.48605060015113355</v>
      </c>
      <c r="O122" s="39">
        <f t="shared" ca="1" si="13"/>
        <v>0.35409463384382589</v>
      </c>
      <c r="P122" s="67">
        <f t="shared" ca="1" si="14"/>
        <v>0.28401452339949596</v>
      </c>
      <c r="Q122" s="56">
        <f t="shared" ca="1" si="15"/>
        <v>128.87738578809072</v>
      </c>
      <c r="R122" s="56">
        <f t="shared" ca="1" si="16"/>
        <v>129</v>
      </c>
      <c r="S122" s="56">
        <f t="shared" ca="1" si="17"/>
        <v>125</v>
      </c>
      <c r="T122" s="39">
        <f t="shared" ca="1" si="18"/>
        <v>687500</v>
      </c>
      <c r="U122" s="61">
        <f t="shared" ca="1" si="19"/>
        <v>0</v>
      </c>
      <c r="V122" s="62">
        <f t="shared" ca="1" si="20"/>
        <v>187500</v>
      </c>
      <c r="W122" s="14"/>
      <c r="AA122" s="22"/>
    </row>
    <row r="123" spans="11:37" x14ac:dyDescent="0.3">
      <c r="K123" s="40">
        <v>119</v>
      </c>
      <c r="L123" s="39">
        <f t="shared" ca="1" si="11"/>
        <v>0.14069537176118663</v>
      </c>
      <c r="M123" s="39">
        <f t="shared" ca="1" si="12"/>
        <v>140</v>
      </c>
      <c r="N123" s="39">
        <f t="shared" ca="1" si="13"/>
        <v>0.84284291251708943</v>
      </c>
      <c r="O123" s="39">
        <f t="shared" ca="1" si="13"/>
        <v>0.94355742213655536</v>
      </c>
      <c r="P123" s="67">
        <f t="shared" ca="1" si="14"/>
        <v>0.37864003346536451</v>
      </c>
      <c r="Q123" s="56">
        <f t="shared" ca="1" si="15"/>
        <v>86.990395314848968</v>
      </c>
      <c r="R123" s="56">
        <f t="shared" ca="1" si="16"/>
        <v>87</v>
      </c>
      <c r="S123" s="56">
        <f t="shared" ca="1" si="17"/>
        <v>87</v>
      </c>
      <c r="T123" s="39">
        <f t="shared" ca="1" si="18"/>
        <v>478500</v>
      </c>
      <c r="U123" s="61">
        <f t="shared" ca="1" si="19"/>
        <v>76000</v>
      </c>
      <c r="V123" s="62">
        <f t="shared" ca="1" si="20"/>
        <v>54500</v>
      </c>
      <c r="W123" s="14"/>
      <c r="AA123"/>
      <c r="AB123"/>
      <c r="AC123"/>
      <c r="AD123"/>
      <c r="AE123"/>
      <c r="AF123"/>
      <c r="AG123"/>
      <c r="AH123"/>
    </row>
    <row r="124" spans="11:37" x14ac:dyDescent="0.3">
      <c r="K124" s="40">
        <v>120</v>
      </c>
      <c r="L124" s="39">
        <f t="shared" ca="1" si="11"/>
        <v>0.45002420884513394</v>
      </c>
      <c r="M124" s="39">
        <f t="shared" ca="1" si="12"/>
        <v>160</v>
      </c>
      <c r="N124" s="39">
        <f t="shared" ca="1" si="13"/>
        <v>0.10483830107747971</v>
      </c>
      <c r="O124" s="39">
        <f t="shared" ca="1" si="13"/>
        <v>4.7087100244530222E-2</v>
      </c>
      <c r="P124" s="67">
        <f t="shared" ca="1" si="14"/>
        <v>0.21519254013220102</v>
      </c>
      <c r="Q124" s="56">
        <f t="shared" ca="1" si="15"/>
        <v>125.56919357884783</v>
      </c>
      <c r="R124" s="56">
        <f t="shared" ca="1" si="16"/>
        <v>126</v>
      </c>
      <c r="S124" s="56">
        <f t="shared" ca="1" si="17"/>
        <v>125</v>
      </c>
      <c r="T124" s="39">
        <f t="shared" ca="1" si="18"/>
        <v>687500</v>
      </c>
      <c r="U124" s="61">
        <f t="shared" ca="1" si="19"/>
        <v>0</v>
      </c>
      <c r="V124" s="62">
        <f t="shared" ca="1" si="20"/>
        <v>187500</v>
      </c>
      <c r="W124" s="14"/>
      <c r="AA124"/>
      <c r="AB124"/>
      <c r="AC124"/>
      <c r="AD124"/>
      <c r="AE124"/>
      <c r="AF124"/>
      <c r="AG124"/>
      <c r="AH124"/>
    </row>
    <row r="125" spans="11:37" x14ac:dyDescent="0.3">
      <c r="K125" s="40">
        <v>121</v>
      </c>
      <c r="L125" s="39">
        <f t="shared" ca="1" si="11"/>
        <v>0.45847846304570705</v>
      </c>
      <c r="M125" s="39">
        <f t="shared" ca="1" si="12"/>
        <v>160</v>
      </c>
      <c r="N125" s="39">
        <f t="shared" ca="1" si="13"/>
        <v>0.24331563115797594</v>
      </c>
      <c r="O125" s="39">
        <f t="shared" ca="1" si="13"/>
        <v>0.12574891958228318</v>
      </c>
      <c r="P125" s="67">
        <f t="shared" ca="1" si="14"/>
        <v>0.23690645507402591</v>
      </c>
      <c r="Q125" s="56">
        <f t="shared" ca="1" si="15"/>
        <v>122.09496718815586</v>
      </c>
      <c r="R125" s="56">
        <f t="shared" ca="1" si="16"/>
        <v>123</v>
      </c>
      <c r="S125" s="56">
        <f t="shared" ca="1" si="17"/>
        <v>123</v>
      </c>
      <c r="T125" s="39">
        <f t="shared" ca="1" si="18"/>
        <v>676500</v>
      </c>
      <c r="U125" s="61">
        <f t="shared" ca="1" si="19"/>
        <v>4000</v>
      </c>
      <c r="V125" s="62">
        <f t="shared" ca="1" si="20"/>
        <v>180500</v>
      </c>
      <c r="W125" s="14"/>
      <c r="AA125"/>
      <c r="AB125"/>
      <c r="AC125"/>
      <c r="AD125"/>
      <c r="AE125"/>
      <c r="AF125"/>
      <c r="AG125"/>
      <c r="AH125"/>
    </row>
    <row r="126" spans="11:37" x14ac:dyDescent="0.3">
      <c r="K126" s="40">
        <v>122</v>
      </c>
      <c r="L126" s="39">
        <f t="shared" ca="1" si="11"/>
        <v>0.84409364865758907</v>
      </c>
      <c r="M126" s="39">
        <f t="shared" ca="1" si="12"/>
        <v>200</v>
      </c>
      <c r="N126" s="39">
        <f t="shared" ca="1" si="13"/>
        <v>0.55078184127079821</v>
      </c>
      <c r="O126" s="39">
        <f t="shared" ca="1" si="13"/>
        <v>0.93985006530469239</v>
      </c>
      <c r="P126" s="67">
        <f t="shared" ca="1" si="14"/>
        <v>0.34906319065754909</v>
      </c>
      <c r="Q126" s="56">
        <f t="shared" ca="1" si="15"/>
        <v>130.1873618684902</v>
      </c>
      <c r="R126" s="56">
        <f t="shared" ca="1" si="16"/>
        <v>131</v>
      </c>
      <c r="S126" s="56">
        <f t="shared" ca="1" si="17"/>
        <v>125</v>
      </c>
      <c r="T126" s="39">
        <f t="shared" ca="1" si="18"/>
        <v>687500</v>
      </c>
      <c r="U126" s="61">
        <f t="shared" ca="1" si="19"/>
        <v>0</v>
      </c>
      <c r="V126" s="62">
        <f t="shared" ca="1" si="20"/>
        <v>187500</v>
      </c>
      <c r="W126" s="14"/>
      <c r="AA126"/>
      <c r="AB126"/>
      <c r="AC126"/>
      <c r="AD126"/>
      <c r="AE126"/>
      <c r="AF126"/>
      <c r="AG126"/>
      <c r="AH126"/>
    </row>
    <row r="127" spans="11:37" x14ac:dyDescent="0.3">
      <c r="K127" s="40">
        <v>123</v>
      </c>
      <c r="L127" s="39">
        <f t="shared" ca="1" si="11"/>
        <v>0.70618622337865466</v>
      </c>
      <c r="M127" s="39">
        <f t="shared" ca="1" si="12"/>
        <v>200</v>
      </c>
      <c r="N127" s="39">
        <f t="shared" ca="1" si="13"/>
        <v>0.97767309164849692</v>
      </c>
      <c r="O127" s="39">
        <f t="shared" ca="1" si="13"/>
        <v>0.41251074776535079</v>
      </c>
      <c r="P127" s="67">
        <f t="shared" ca="1" si="14"/>
        <v>0.33901838394138478</v>
      </c>
      <c r="Q127" s="56">
        <f t="shared" ca="1" si="15"/>
        <v>132.19632321172304</v>
      </c>
      <c r="R127" s="56">
        <f t="shared" ca="1" si="16"/>
        <v>133</v>
      </c>
      <c r="S127" s="56">
        <f t="shared" ca="1" si="17"/>
        <v>125</v>
      </c>
      <c r="T127" s="39">
        <f t="shared" ca="1" si="18"/>
        <v>687500</v>
      </c>
      <c r="U127" s="61">
        <f t="shared" ca="1" si="19"/>
        <v>0</v>
      </c>
      <c r="V127" s="62">
        <f t="shared" ca="1" si="20"/>
        <v>187500</v>
      </c>
      <c r="W127" s="14"/>
      <c r="AA127"/>
      <c r="AB127"/>
      <c r="AC127"/>
      <c r="AD127"/>
      <c r="AE127"/>
      <c r="AF127"/>
      <c r="AG127"/>
      <c r="AH127"/>
    </row>
    <row r="128" spans="11:37" x14ac:dyDescent="0.3">
      <c r="K128" s="40">
        <v>124</v>
      </c>
      <c r="L128" s="39">
        <f t="shared" ca="1" si="11"/>
        <v>0.78624878746667404</v>
      </c>
      <c r="M128" s="39">
        <f t="shared" ca="1" si="12"/>
        <v>200</v>
      </c>
      <c r="N128" s="39">
        <f t="shared" ca="1" si="13"/>
        <v>0.42318018003311619</v>
      </c>
      <c r="O128" s="39">
        <f t="shared" ca="1" si="13"/>
        <v>0.54428470236340443</v>
      </c>
      <c r="P128" s="67">
        <f t="shared" ca="1" si="14"/>
        <v>0.29674648823965211</v>
      </c>
      <c r="Q128" s="56">
        <f t="shared" ca="1" si="15"/>
        <v>140.65070235206957</v>
      </c>
      <c r="R128" s="56">
        <f t="shared" ca="1" si="16"/>
        <v>141</v>
      </c>
      <c r="S128" s="56">
        <f t="shared" ca="1" si="17"/>
        <v>125</v>
      </c>
      <c r="T128" s="39">
        <f t="shared" ca="1" si="18"/>
        <v>687500</v>
      </c>
      <c r="U128" s="61">
        <f t="shared" ca="1" si="19"/>
        <v>0</v>
      </c>
      <c r="V128" s="62">
        <f t="shared" ca="1" si="20"/>
        <v>187500</v>
      </c>
      <c r="W128" s="14"/>
      <c r="AA128"/>
      <c r="AB128"/>
      <c r="AC128"/>
      <c r="AD128"/>
      <c r="AE128"/>
      <c r="AF128"/>
      <c r="AG128"/>
      <c r="AH128"/>
    </row>
    <row r="129" spans="11:34" x14ac:dyDescent="0.3">
      <c r="K129" s="40">
        <v>125</v>
      </c>
      <c r="L129" s="39">
        <f t="shared" ca="1" si="11"/>
        <v>0.33960773351948059</v>
      </c>
      <c r="M129" s="39">
        <f t="shared" ca="1" si="12"/>
        <v>160</v>
      </c>
      <c r="N129" s="39">
        <f t="shared" ca="1" si="13"/>
        <v>7.7662906221587447E-2</v>
      </c>
      <c r="O129" s="39">
        <f t="shared" ca="1" si="13"/>
        <v>0.31752821072796589</v>
      </c>
      <c r="P129" s="67">
        <f t="shared" ca="1" si="14"/>
        <v>0.23951911169495535</v>
      </c>
      <c r="Q129" s="56">
        <f t="shared" ca="1" si="15"/>
        <v>121.67694212880714</v>
      </c>
      <c r="R129" s="56">
        <f t="shared" ca="1" si="16"/>
        <v>122</v>
      </c>
      <c r="S129" s="56">
        <f t="shared" ca="1" si="17"/>
        <v>122</v>
      </c>
      <c r="T129" s="39">
        <f t="shared" ca="1" si="18"/>
        <v>671000</v>
      </c>
      <c r="U129" s="61">
        <f t="shared" ca="1" si="19"/>
        <v>6000</v>
      </c>
      <c r="V129" s="62">
        <f t="shared" ca="1" si="20"/>
        <v>177000</v>
      </c>
      <c r="W129" s="14"/>
      <c r="AA129"/>
      <c r="AB129"/>
      <c r="AC129"/>
      <c r="AD129"/>
      <c r="AE129"/>
      <c r="AF129"/>
      <c r="AG129"/>
      <c r="AH129"/>
    </row>
    <row r="130" spans="11:34" x14ac:dyDescent="0.3">
      <c r="K130" s="40">
        <v>126</v>
      </c>
      <c r="L130" s="39">
        <f t="shared" ca="1" si="11"/>
        <v>0.28766909602452462</v>
      </c>
      <c r="M130" s="39">
        <f t="shared" ca="1" si="12"/>
        <v>140</v>
      </c>
      <c r="N130" s="39">
        <f t="shared" ca="1" si="13"/>
        <v>0.30604732614953012</v>
      </c>
      <c r="O130" s="39">
        <f t="shared" ca="1" si="13"/>
        <v>0.62797678856498218</v>
      </c>
      <c r="P130" s="67">
        <f t="shared" ca="1" si="14"/>
        <v>0.29340241147145124</v>
      </c>
      <c r="Q130" s="56">
        <f t="shared" ca="1" si="15"/>
        <v>98.923662393996835</v>
      </c>
      <c r="R130" s="56">
        <f t="shared" ca="1" si="16"/>
        <v>99</v>
      </c>
      <c r="S130" s="56">
        <f t="shared" ca="1" si="17"/>
        <v>99</v>
      </c>
      <c r="T130" s="39">
        <f t="shared" ca="1" si="18"/>
        <v>544500</v>
      </c>
      <c r="U130" s="61">
        <f t="shared" ca="1" si="19"/>
        <v>52000</v>
      </c>
      <c r="V130" s="62">
        <f t="shared" ca="1" si="20"/>
        <v>96500</v>
      </c>
      <c r="W130" s="14"/>
    </row>
    <row r="131" spans="11:34" x14ac:dyDescent="0.3">
      <c r="K131" s="40">
        <v>127</v>
      </c>
      <c r="L131" s="39">
        <f t="shared" ca="1" si="11"/>
        <v>0.34585854715432218</v>
      </c>
      <c r="M131" s="39">
        <f t="shared" ca="1" si="12"/>
        <v>160</v>
      </c>
      <c r="N131" s="39">
        <f t="shared" ca="1" si="13"/>
        <v>0.92479931620631139</v>
      </c>
      <c r="O131" s="39">
        <f t="shared" ca="1" si="13"/>
        <v>0.55612487359976026</v>
      </c>
      <c r="P131" s="67">
        <f t="shared" ca="1" si="14"/>
        <v>0.34809241898060717</v>
      </c>
      <c r="Q131" s="56">
        <f t="shared" ca="1" si="15"/>
        <v>104.30521296310286</v>
      </c>
      <c r="R131" s="56">
        <f t="shared" ca="1" si="16"/>
        <v>105</v>
      </c>
      <c r="S131" s="56">
        <f t="shared" ca="1" si="17"/>
        <v>105</v>
      </c>
      <c r="T131" s="39">
        <f t="shared" ca="1" si="18"/>
        <v>577500</v>
      </c>
      <c r="U131" s="61">
        <f t="shared" ca="1" si="19"/>
        <v>40000</v>
      </c>
      <c r="V131" s="62">
        <f t="shared" ca="1" si="20"/>
        <v>117500</v>
      </c>
      <c r="W131" s="14"/>
    </row>
    <row r="132" spans="11:34" x14ac:dyDescent="0.3">
      <c r="K132" s="40">
        <v>128</v>
      </c>
      <c r="L132" s="39">
        <f t="shared" ca="1" si="11"/>
        <v>0.26133619349453485</v>
      </c>
      <c r="M132" s="39">
        <f t="shared" ca="1" si="12"/>
        <v>140</v>
      </c>
      <c r="N132" s="39">
        <f t="shared" ca="1" si="13"/>
        <v>0.51753911108719342</v>
      </c>
      <c r="O132" s="39">
        <f t="shared" ca="1" si="13"/>
        <v>0.79413211260016225</v>
      </c>
      <c r="P132" s="67">
        <f t="shared" ca="1" si="14"/>
        <v>0.33116712236873558</v>
      </c>
      <c r="Q132" s="56">
        <f t="shared" ca="1" si="15"/>
        <v>93.636602868377025</v>
      </c>
      <c r="R132" s="56">
        <f t="shared" ca="1" si="16"/>
        <v>94</v>
      </c>
      <c r="S132" s="56">
        <f t="shared" ca="1" si="17"/>
        <v>94</v>
      </c>
      <c r="T132" s="39">
        <f t="shared" ca="1" si="18"/>
        <v>517000</v>
      </c>
      <c r="U132" s="61">
        <f t="shared" ca="1" si="19"/>
        <v>62000</v>
      </c>
      <c r="V132" s="62">
        <f t="shared" ca="1" si="20"/>
        <v>79000</v>
      </c>
      <c r="W132" s="14"/>
    </row>
    <row r="133" spans="11:34" x14ac:dyDescent="0.3">
      <c r="K133" s="40">
        <v>129</v>
      </c>
      <c r="L133" s="39">
        <f t="shared" ca="1" si="11"/>
        <v>0.78906958285986495</v>
      </c>
      <c r="M133" s="39">
        <f t="shared" ca="1" si="12"/>
        <v>200</v>
      </c>
      <c r="N133" s="39">
        <f t="shared" ca="1" si="13"/>
        <v>0.45892036951795334</v>
      </c>
      <c r="O133" s="39">
        <f t="shared" ca="1" si="13"/>
        <v>0.31112242580411698</v>
      </c>
      <c r="P133" s="67">
        <f t="shared" ca="1" si="14"/>
        <v>0.27700427953220708</v>
      </c>
      <c r="Q133" s="56">
        <f t="shared" ca="1" si="15"/>
        <v>144.59914409355858</v>
      </c>
      <c r="R133" s="56">
        <f t="shared" ca="1" si="16"/>
        <v>145</v>
      </c>
      <c r="S133" s="56">
        <f t="shared" ca="1" si="17"/>
        <v>125</v>
      </c>
      <c r="T133" s="39">
        <f t="shared" ca="1" si="18"/>
        <v>687500</v>
      </c>
      <c r="U133" s="61">
        <f t="shared" ca="1" si="19"/>
        <v>0</v>
      </c>
      <c r="V133" s="62">
        <f t="shared" ca="1" si="20"/>
        <v>187500</v>
      </c>
      <c r="W133" s="14"/>
    </row>
    <row r="134" spans="11:34" x14ac:dyDescent="0.3">
      <c r="K134" s="40">
        <v>130</v>
      </c>
      <c r="L134" s="39">
        <f t="shared" ref="L134:L197" ca="1" si="27">RAND()</f>
        <v>0.86548626207968915</v>
      </c>
      <c r="M134" s="39">
        <f t="shared" ref="M134:M197" ca="1" si="28">VLOOKUP(L134,$C$5:$E$9,3,TRUE)</f>
        <v>200</v>
      </c>
      <c r="N134" s="39">
        <f t="shared" ref="N134:O197" ca="1" si="29">RAND()</f>
        <v>0.90094233323071848</v>
      </c>
      <c r="O134" s="39">
        <f t="shared" ca="1" si="29"/>
        <v>0.55186554306620583</v>
      </c>
      <c r="P134" s="67">
        <f t="shared" ref="P134:P197" ca="1" si="30">$E$11+($E$12-$E$11)/2*(N134+O134)</f>
        <v>0.34528078762969244</v>
      </c>
      <c r="Q134" s="56">
        <f t="shared" ref="Q134:Q197" ca="1" si="31">M134-(M134*P134)</f>
        <v>130.94384247406151</v>
      </c>
      <c r="R134" s="56">
        <f t="shared" ref="R134:R197" ca="1" si="32">ROUNDUP(Q134,0)</f>
        <v>131</v>
      </c>
      <c r="S134" s="56">
        <f t="shared" ref="S134:S197" ca="1" si="33">MIN(R134,$M$1)</f>
        <v>125</v>
      </c>
      <c r="T134" s="39">
        <f t="shared" ref="T134:T197" ca="1" si="34">S134*$B$14</f>
        <v>687500</v>
      </c>
      <c r="U134" s="61">
        <f t="shared" ref="U134:U197" ca="1" si="35">($M$1-S134)*$B$15</f>
        <v>0</v>
      </c>
      <c r="V134" s="62">
        <f t="shared" ref="V134:V197" ca="1" si="36">U134+T134-$M$2</f>
        <v>187500</v>
      </c>
      <c r="W134" s="14"/>
    </row>
    <row r="135" spans="11:34" x14ac:dyDescent="0.3">
      <c r="K135" s="40">
        <v>131</v>
      </c>
      <c r="L135" s="39">
        <f t="shared" ca="1" si="27"/>
        <v>0.76525710057608998</v>
      </c>
      <c r="M135" s="39">
        <f t="shared" ca="1" si="28"/>
        <v>200</v>
      </c>
      <c r="N135" s="39">
        <f t="shared" ca="1" si="29"/>
        <v>0.87807136721724732</v>
      </c>
      <c r="O135" s="39">
        <f t="shared" ca="1" si="29"/>
        <v>0.1234090856804434</v>
      </c>
      <c r="P135" s="67">
        <f t="shared" ca="1" si="30"/>
        <v>0.30014804528976913</v>
      </c>
      <c r="Q135" s="56">
        <f t="shared" ca="1" si="31"/>
        <v>139.97039094204618</v>
      </c>
      <c r="R135" s="56">
        <f t="shared" ca="1" si="32"/>
        <v>140</v>
      </c>
      <c r="S135" s="56">
        <f t="shared" ca="1" si="33"/>
        <v>125</v>
      </c>
      <c r="T135" s="39">
        <f t="shared" ca="1" si="34"/>
        <v>687500</v>
      </c>
      <c r="U135" s="61">
        <f t="shared" ca="1" si="35"/>
        <v>0</v>
      </c>
      <c r="V135" s="62">
        <f t="shared" ca="1" si="36"/>
        <v>187500</v>
      </c>
      <c r="W135" s="14"/>
    </row>
    <row r="136" spans="11:34" x14ac:dyDescent="0.3">
      <c r="K136" s="40">
        <v>132</v>
      </c>
      <c r="L136" s="39">
        <f t="shared" ca="1" si="27"/>
        <v>0.86978914430345711</v>
      </c>
      <c r="M136" s="39">
        <f t="shared" ca="1" si="28"/>
        <v>200</v>
      </c>
      <c r="N136" s="39">
        <f t="shared" ca="1" si="29"/>
        <v>0.47756611033483132</v>
      </c>
      <c r="O136" s="39">
        <f t="shared" ca="1" si="29"/>
        <v>0.93485728351302655</v>
      </c>
      <c r="P136" s="67">
        <f t="shared" ca="1" si="30"/>
        <v>0.34124233938478576</v>
      </c>
      <c r="Q136" s="56">
        <f t="shared" ca="1" si="31"/>
        <v>131.75153212304286</v>
      </c>
      <c r="R136" s="56">
        <f t="shared" ca="1" si="32"/>
        <v>132</v>
      </c>
      <c r="S136" s="56">
        <f t="shared" ca="1" si="33"/>
        <v>125</v>
      </c>
      <c r="T136" s="39">
        <f t="shared" ca="1" si="34"/>
        <v>687500</v>
      </c>
      <c r="U136" s="61">
        <f t="shared" ca="1" si="35"/>
        <v>0</v>
      </c>
      <c r="V136" s="62">
        <f t="shared" ca="1" si="36"/>
        <v>187500</v>
      </c>
      <c r="W136" s="14"/>
    </row>
    <row r="137" spans="11:34" x14ac:dyDescent="0.3">
      <c r="K137" s="40">
        <v>133</v>
      </c>
      <c r="L137" s="39">
        <f t="shared" ca="1" si="27"/>
        <v>3.3535190967640127E-2</v>
      </c>
      <c r="M137" s="39">
        <f t="shared" ca="1" si="28"/>
        <v>140</v>
      </c>
      <c r="N137" s="39">
        <f t="shared" ca="1" si="29"/>
        <v>0.5902504357662498</v>
      </c>
      <c r="O137" s="39">
        <f t="shared" ca="1" si="29"/>
        <v>0.67420343589977738</v>
      </c>
      <c r="P137" s="67">
        <f t="shared" ca="1" si="30"/>
        <v>0.32644538716660276</v>
      </c>
      <c r="Q137" s="56">
        <f t="shared" ca="1" si="31"/>
        <v>94.29764579667561</v>
      </c>
      <c r="R137" s="56">
        <f t="shared" ca="1" si="32"/>
        <v>95</v>
      </c>
      <c r="S137" s="56">
        <f t="shared" ca="1" si="33"/>
        <v>95</v>
      </c>
      <c r="T137" s="39">
        <f t="shared" ca="1" si="34"/>
        <v>522500</v>
      </c>
      <c r="U137" s="61">
        <f t="shared" ca="1" si="35"/>
        <v>60000</v>
      </c>
      <c r="V137" s="62">
        <f t="shared" ca="1" si="36"/>
        <v>82500</v>
      </c>
      <c r="W137" s="14"/>
    </row>
    <row r="138" spans="11:34" x14ac:dyDescent="0.3">
      <c r="K138" s="40">
        <v>134</v>
      </c>
      <c r="L138" s="39">
        <f t="shared" ca="1" si="27"/>
        <v>0.78096525462653588</v>
      </c>
      <c r="M138" s="39">
        <f t="shared" ca="1" si="28"/>
        <v>200</v>
      </c>
      <c r="N138" s="39">
        <f t="shared" ca="1" si="29"/>
        <v>0.37867481580452855</v>
      </c>
      <c r="O138" s="39">
        <f t="shared" ca="1" si="29"/>
        <v>0.92043537804370312</v>
      </c>
      <c r="P138" s="67">
        <f t="shared" ca="1" si="30"/>
        <v>0.32991101938482315</v>
      </c>
      <c r="Q138" s="56">
        <f t="shared" ca="1" si="31"/>
        <v>134.01779612303537</v>
      </c>
      <c r="R138" s="56">
        <f t="shared" ca="1" si="32"/>
        <v>135</v>
      </c>
      <c r="S138" s="56">
        <f t="shared" ca="1" si="33"/>
        <v>125</v>
      </c>
      <c r="T138" s="39">
        <f t="shared" ca="1" si="34"/>
        <v>687500</v>
      </c>
      <c r="U138" s="61">
        <f t="shared" ca="1" si="35"/>
        <v>0</v>
      </c>
      <c r="V138" s="62">
        <f t="shared" ca="1" si="36"/>
        <v>187500</v>
      </c>
      <c r="W138" s="14"/>
    </row>
    <row r="139" spans="11:34" x14ac:dyDescent="0.3">
      <c r="K139" s="40">
        <v>135</v>
      </c>
      <c r="L139" s="39">
        <f t="shared" ca="1" si="27"/>
        <v>0.58922982542288549</v>
      </c>
      <c r="M139" s="39">
        <f t="shared" ca="1" si="28"/>
        <v>180</v>
      </c>
      <c r="N139" s="39">
        <f t="shared" ca="1" si="29"/>
        <v>0.44262531338312794</v>
      </c>
      <c r="O139" s="39">
        <f t="shared" ca="1" si="29"/>
        <v>0.72999863151614341</v>
      </c>
      <c r="P139" s="67">
        <f t="shared" ca="1" si="30"/>
        <v>0.31726239448992716</v>
      </c>
      <c r="Q139" s="56">
        <f t="shared" ca="1" si="31"/>
        <v>122.89276899181311</v>
      </c>
      <c r="R139" s="56">
        <f t="shared" ca="1" si="32"/>
        <v>123</v>
      </c>
      <c r="S139" s="56">
        <f t="shared" ca="1" si="33"/>
        <v>123</v>
      </c>
      <c r="T139" s="39">
        <f t="shared" ca="1" si="34"/>
        <v>676500</v>
      </c>
      <c r="U139" s="61">
        <f t="shared" ca="1" si="35"/>
        <v>4000</v>
      </c>
      <c r="V139" s="62">
        <f t="shared" ca="1" si="36"/>
        <v>180500</v>
      </c>
      <c r="W139" s="14"/>
    </row>
    <row r="140" spans="11:34" x14ac:dyDescent="0.3">
      <c r="K140" s="40">
        <v>136</v>
      </c>
      <c r="L140" s="39">
        <f t="shared" ca="1" si="27"/>
        <v>0.1379711459712053</v>
      </c>
      <c r="M140" s="39">
        <f t="shared" ca="1" si="28"/>
        <v>140</v>
      </c>
      <c r="N140" s="39">
        <f t="shared" ca="1" si="29"/>
        <v>0.70896049016054596</v>
      </c>
      <c r="O140" s="39">
        <f t="shared" ca="1" si="29"/>
        <v>0.41336943545621319</v>
      </c>
      <c r="P140" s="67">
        <f t="shared" ca="1" si="30"/>
        <v>0.31223299256167591</v>
      </c>
      <c r="Q140" s="56">
        <f t="shared" ca="1" si="31"/>
        <v>96.287381041365364</v>
      </c>
      <c r="R140" s="56">
        <f t="shared" ca="1" si="32"/>
        <v>97</v>
      </c>
      <c r="S140" s="56">
        <f t="shared" ca="1" si="33"/>
        <v>97</v>
      </c>
      <c r="T140" s="39">
        <f t="shared" ca="1" si="34"/>
        <v>533500</v>
      </c>
      <c r="U140" s="61">
        <f t="shared" ca="1" si="35"/>
        <v>56000</v>
      </c>
      <c r="V140" s="62">
        <f t="shared" ca="1" si="36"/>
        <v>89500</v>
      </c>
      <c r="W140" s="14"/>
    </row>
    <row r="141" spans="11:34" x14ac:dyDescent="0.3">
      <c r="K141" s="40">
        <v>137</v>
      </c>
      <c r="L141" s="39">
        <f t="shared" ca="1" si="27"/>
        <v>0.70619388625353219</v>
      </c>
      <c r="M141" s="39">
        <f t="shared" ca="1" si="28"/>
        <v>200</v>
      </c>
      <c r="N141" s="39">
        <f t="shared" ca="1" si="29"/>
        <v>5.4307764621800314E-2</v>
      </c>
      <c r="O141" s="39">
        <f t="shared" ca="1" si="29"/>
        <v>9.6053227977701217E-2</v>
      </c>
      <c r="P141" s="67">
        <f t="shared" ca="1" si="30"/>
        <v>0.21503609925995015</v>
      </c>
      <c r="Q141" s="56">
        <f t="shared" ca="1" si="31"/>
        <v>156.99278014800996</v>
      </c>
      <c r="R141" s="56">
        <f t="shared" ca="1" si="32"/>
        <v>157</v>
      </c>
      <c r="S141" s="56">
        <f t="shared" ca="1" si="33"/>
        <v>125</v>
      </c>
      <c r="T141" s="39">
        <f t="shared" ca="1" si="34"/>
        <v>687500</v>
      </c>
      <c r="U141" s="61">
        <f t="shared" ca="1" si="35"/>
        <v>0</v>
      </c>
      <c r="V141" s="62">
        <f t="shared" ca="1" si="36"/>
        <v>187500</v>
      </c>
      <c r="W141" s="14"/>
    </row>
    <row r="142" spans="11:34" x14ac:dyDescent="0.3">
      <c r="K142" s="40">
        <v>138</v>
      </c>
      <c r="L142" s="39">
        <f t="shared" ca="1" si="27"/>
        <v>0.40722701888983637</v>
      </c>
      <c r="M142" s="39">
        <f t="shared" ca="1" si="28"/>
        <v>160</v>
      </c>
      <c r="N142" s="39">
        <f t="shared" ca="1" si="29"/>
        <v>0.26994645316633181</v>
      </c>
      <c r="O142" s="39">
        <f t="shared" ca="1" si="29"/>
        <v>0.13278135664309398</v>
      </c>
      <c r="P142" s="67">
        <f t="shared" ca="1" si="30"/>
        <v>0.2402727809809426</v>
      </c>
      <c r="Q142" s="56">
        <f t="shared" ca="1" si="31"/>
        <v>121.55635504304919</v>
      </c>
      <c r="R142" s="56">
        <f t="shared" ca="1" si="32"/>
        <v>122</v>
      </c>
      <c r="S142" s="56">
        <f t="shared" ca="1" si="33"/>
        <v>122</v>
      </c>
      <c r="T142" s="39">
        <f t="shared" ca="1" si="34"/>
        <v>671000</v>
      </c>
      <c r="U142" s="61">
        <f t="shared" ca="1" si="35"/>
        <v>6000</v>
      </c>
      <c r="V142" s="62">
        <f t="shared" ca="1" si="36"/>
        <v>177000</v>
      </c>
      <c r="W142" s="14"/>
    </row>
    <row r="143" spans="11:34" x14ac:dyDescent="0.3">
      <c r="K143" s="40">
        <v>139</v>
      </c>
      <c r="L143" s="39">
        <f t="shared" ca="1" si="27"/>
        <v>0.21565299389803094</v>
      </c>
      <c r="M143" s="39">
        <f t="shared" ca="1" si="28"/>
        <v>140</v>
      </c>
      <c r="N143" s="39">
        <f t="shared" ca="1" si="29"/>
        <v>0.62280467426296071</v>
      </c>
      <c r="O143" s="39">
        <f t="shared" ca="1" si="29"/>
        <v>0.55007050404622804</v>
      </c>
      <c r="P143" s="67">
        <f t="shared" ca="1" si="30"/>
        <v>0.31728751783091891</v>
      </c>
      <c r="Q143" s="56">
        <f t="shared" ca="1" si="31"/>
        <v>95.579747503671356</v>
      </c>
      <c r="R143" s="56">
        <f t="shared" ca="1" si="32"/>
        <v>96</v>
      </c>
      <c r="S143" s="56">
        <f t="shared" ca="1" si="33"/>
        <v>96</v>
      </c>
      <c r="T143" s="39">
        <f t="shared" ca="1" si="34"/>
        <v>528000</v>
      </c>
      <c r="U143" s="61">
        <f t="shared" ca="1" si="35"/>
        <v>58000</v>
      </c>
      <c r="V143" s="62">
        <f t="shared" ca="1" si="36"/>
        <v>86000</v>
      </c>
      <c r="W143" s="14"/>
    </row>
    <row r="144" spans="11:34" x14ac:dyDescent="0.3">
      <c r="K144" s="40">
        <v>140</v>
      </c>
      <c r="L144" s="39">
        <f t="shared" ca="1" si="27"/>
        <v>0.83759021927414545</v>
      </c>
      <c r="M144" s="39">
        <f t="shared" ca="1" si="28"/>
        <v>200</v>
      </c>
      <c r="N144" s="39">
        <f t="shared" ca="1" si="29"/>
        <v>0.1506662596819115</v>
      </c>
      <c r="O144" s="39">
        <f t="shared" ca="1" si="29"/>
        <v>0.63496939290938192</v>
      </c>
      <c r="P144" s="67">
        <f t="shared" ca="1" si="30"/>
        <v>0.27856356525912934</v>
      </c>
      <c r="Q144" s="56">
        <f t="shared" ca="1" si="31"/>
        <v>144.28728694817414</v>
      </c>
      <c r="R144" s="56">
        <f t="shared" ca="1" si="32"/>
        <v>145</v>
      </c>
      <c r="S144" s="56">
        <f t="shared" ca="1" si="33"/>
        <v>125</v>
      </c>
      <c r="T144" s="39">
        <f t="shared" ca="1" si="34"/>
        <v>687500</v>
      </c>
      <c r="U144" s="61">
        <f t="shared" ca="1" si="35"/>
        <v>0</v>
      </c>
      <c r="V144" s="62">
        <f t="shared" ca="1" si="36"/>
        <v>187500</v>
      </c>
      <c r="W144" s="14"/>
    </row>
    <row r="145" spans="11:23" x14ac:dyDescent="0.3">
      <c r="K145" s="40">
        <v>141</v>
      </c>
      <c r="L145" s="39">
        <f t="shared" ca="1" si="27"/>
        <v>0.57211846623552398</v>
      </c>
      <c r="M145" s="39">
        <f t="shared" ca="1" si="28"/>
        <v>180</v>
      </c>
      <c r="N145" s="39">
        <f t="shared" ca="1" si="29"/>
        <v>0.24537909337373076</v>
      </c>
      <c r="O145" s="39">
        <f t="shared" ca="1" si="29"/>
        <v>0.97335460257968354</v>
      </c>
      <c r="P145" s="67">
        <f t="shared" ca="1" si="30"/>
        <v>0.32187336959534146</v>
      </c>
      <c r="Q145" s="56">
        <f t="shared" ca="1" si="31"/>
        <v>122.06279347283854</v>
      </c>
      <c r="R145" s="56">
        <f t="shared" ca="1" si="32"/>
        <v>123</v>
      </c>
      <c r="S145" s="56">
        <f t="shared" ca="1" si="33"/>
        <v>123</v>
      </c>
      <c r="T145" s="39">
        <f t="shared" ca="1" si="34"/>
        <v>676500</v>
      </c>
      <c r="U145" s="61">
        <f t="shared" ca="1" si="35"/>
        <v>4000</v>
      </c>
      <c r="V145" s="62">
        <f t="shared" ca="1" si="36"/>
        <v>180500</v>
      </c>
      <c r="W145" s="14"/>
    </row>
    <row r="146" spans="11:23" x14ac:dyDescent="0.3">
      <c r="K146" s="40">
        <v>142</v>
      </c>
      <c r="L146" s="39">
        <f t="shared" ca="1" si="27"/>
        <v>0.50993627050602341</v>
      </c>
      <c r="M146" s="39">
        <f t="shared" ca="1" si="28"/>
        <v>180</v>
      </c>
      <c r="N146" s="39">
        <f t="shared" ca="1" si="29"/>
        <v>0.10435633411244816</v>
      </c>
      <c r="O146" s="39">
        <f t="shared" ca="1" si="29"/>
        <v>0.99639310115130453</v>
      </c>
      <c r="P146" s="67">
        <f t="shared" ca="1" si="30"/>
        <v>0.31007494352637527</v>
      </c>
      <c r="Q146" s="56">
        <f t="shared" ca="1" si="31"/>
        <v>124.18651016525246</v>
      </c>
      <c r="R146" s="56">
        <f t="shared" ca="1" si="32"/>
        <v>125</v>
      </c>
      <c r="S146" s="56">
        <f t="shared" ca="1" si="33"/>
        <v>125</v>
      </c>
      <c r="T146" s="39">
        <f t="shared" ca="1" si="34"/>
        <v>687500</v>
      </c>
      <c r="U146" s="61">
        <f t="shared" ca="1" si="35"/>
        <v>0</v>
      </c>
      <c r="V146" s="62">
        <f t="shared" ca="1" si="36"/>
        <v>187500</v>
      </c>
      <c r="W146" s="14"/>
    </row>
    <row r="147" spans="11:23" x14ac:dyDescent="0.3">
      <c r="K147" s="40">
        <v>143</v>
      </c>
      <c r="L147" s="39">
        <f t="shared" ca="1" si="27"/>
        <v>0.73333022944890069</v>
      </c>
      <c r="M147" s="39">
        <f t="shared" ca="1" si="28"/>
        <v>200</v>
      </c>
      <c r="N147" s="39">
        <f t="shared" ca="1" si="29"/>
        <v>0.61349802661339314</v>
      </c>
      <c r="O147" s="39">
        <f t="shared" ca="1" si="29"/>
        <v>0.54865764519370308</v>
      </c>
      <c r="P147" s="67">
        <f t="shared" ca="1" si="30"/>
        <v>0.31621556718070964</v>
      </c>
      <c r="Q147" s="56">
        <f t="shared" ca="1" si="31"/>
        <v>136.75688656385807</v>
      </c>
      <c r="R147" s="56">
        <f t="shared" ca="1" si="32"/>
        <v>137</v>
      </c>
      <c r="S147" s="56">
        <f t="shared" ca="1" si="33"/>
        <v>125</v>
      </c>
      <c r="T147" s="39">
        <f t="shared" ca="1" si="34"/>
        <v>687500</v>
      </c>
      <c r="U147" s="61">
        <f t="shared" ca="1" si="35"/>
        <v>0</v>
      </c>
      <c r="V147" s="62">
        <f t="shared" ca="1" si="36"/>
        <v>187500</v>
      </c>
      <c r="W147" s="14"/>
    </row>
    <row r="148" spans="11:23" x14ac:dyDescent="0.3">
      <c r="K148" s="40">
        <v>144</v>
      </c>
      <c r="L148" s="39">
        <f t="shared" ca="1" si="27"/>
        <v>8.1275183290623332E-2</v>
      </c>
      <c r="M148" s="39">
        <f t="shared" ca="1" si="28"/>
        <v>140</v>
      </c>
      <c r="N148" s="39">
        <f t="shared" ca="1" si="29"/>
        <v>0.25383997300806682</v>
      </c>
      <c r="O148" s="39">
        <f t="shared" ca="1" si="29"/>
        <v>0.55444062407018879</v>
      </c>
      <c r="P148" s="67">
        <f t="shared" ca="1" si="30"/>
        <v>0.28082805970782559</v>
      </c>
      <c r="Q148" s="56">
        <f t="shared" ca="1" si="31"/>
        <v>100.68407164090442</v>
      </c>
      <c r="R148" s="56">
        <f t="shared" ca="1" si="32"/>
        <v>101</v>
      </c>
      <c r="S148" s="56">
        <f t="shared" ca="1" si="33"/>
        <v>101</v>
      </c>
      <c r="T148" s="39">
        <f t="shared" ca="1" si="34"/>
        <v>555500</v>
      </c>
      <c r="U148" s="61">
        <f t="shared" ca="1" si="35"/>
        <v>48000</v>
      </c>
      <c r="V148" s="62">
        <f t="shared" ca="1" si="36"/>
        <v>103500</v>
      </c>
      <c r="W148" s="14"/>
    </row>
    <row r="149" spans="11:23" x14ac:dyDescent="0.3">
      <c r="K149" s="40">
        <v>145</v>
      </c>
      <c r="L149" s="39">
        <f t="shared" ca="1" si="27"/>
        <v>0.21513100424751663</v>
      </c>
      <c r="M149" s="39">
        <f t="shared" ca="1" si="28"/>
        <v>140</v>
      </c>
      <c r="N149" s="39">
        <f t="shared" ca="1" si="29"/>
        <v>0.55492245943408736</v>
      </c>
      <c r="O149" s="39">
        <f t="shared" ca="1" si="29"/>
        <v>0.94949287553317918</v>
      </c>
      <c r="P149" s="67">
        <f t="shared" ca="1" si="30"/>
        <v>0.35044153349672669</v>
      </c>
      <c r="Q149" s="56">
        <f t="shared" ca="1" si="31"/>
        <v>90.938185310458266</v>
      </c>
      <c r="R149" s="56">
        <f t="shared" ca="1" si="32"/>
        <v>91</v>
      </c>
      <c r="S149" s="56">
        <f t="shared" ca="1" si="33"/>
        <v>91</v>
      </c>
      <c r="T149" s="39">
        <f t="shared" ca="1" si="34"/>
        <v>500500</v>
      </c>
      <c r="U149" s="61">
        <f t="shared" ca="1" si="35"/>
        <v>68000</v>
      </c>
      <c r="V149" s="62">
        <f t="shared" ca="1" si="36"/>
        <v>68500</v>
      </c>
      <c r="W149" s="14"/>
    </row>
    <row r="150" spans="11:23" x14ac:dyDescent="0.3">
      <c r="K150" s="40">
        <v>146</v>
      </c>
      <c r="L150" s="39">
        <f t="shared" ca="1" si="27"/>
        <v>0.41969281206916165</v>
      </c>
      <c r="M150" s="39">
        <f t="shared" ca="1" si="28"/>
        <v>160</v>
      </c>
      <c r="N150" s="39">
        <f t="shared" ca="1" si="29"/>
        <v>0.99535818385363639</v>
      </c>
      <c r="O150" s="39">
        <f t="shared" ca="1" si="29"/>
        <v>0.66866418922582938</v>
      </c>
      <c r="P150" s="67">
        <f t="shared" ca="1" si="30"/>
        <v>0.36640223730794658</v>
      </c>
      <c r="Q150" s="56">
        <f t="shared" ca="1" si="31"/>
        <v>101.37564203072856</v>
      </c>
      <c r="R150" s="56">
        <f t="shared" ca="1" si="32"/>
        <v>102</v>
      </c>
      <c r="S150" s="56">
        <f t="shared" ca="1" si="33"/>
        <v>102</v>
      </c>
      <c r="T150" s="39">
        <f t="shared" ca="1" si="34"/>
        <v>561000</v>
      </c>
      <c r="U150" s="61">
        <f t="shared" ca="1" si="35"/>
        <v>46000</v>
      </c>
      <c r="V150" s="62">
        <f t="shared" ca="1" si="36"/>
        <v>107000</v>
      </c>
      <c r="W150" s="14"/>
    </row>
    <row r="151" spans="11:23" x14ac:dyDescent="0.3">
      <c r="K151" s="40">
        <v>147</v>
      </c>
      <c r="L151" s="39">
        <f t="shared" ca="1" si="27"/>
        <v>0.9084202935264164</v>
      </c>
      <c r="M151" s="39">
        <f t="shared" ca="1" si="28"/>
        <v>220</v>
      </c>
      <c r="N151" s="39">
        <f t="shared" ca="1" si="29"/>
        <v>7.1190434821144288E-2</v>
      </c>
      <c r="O151" s="39">
        <f t="shared" ca="1" si="29"/>
        <v>9.7520749554848463E-2</v>
      </c>
      <c r="P151" s="67">
        <f t="shared" ca="1" si="30"/>
        <v>0.21687111843759929</v>
      </c>
      <c r="Q151" s="56">
        <f t="shared" ca="1" si="31"/>
        <v>172.28835394372817</v>
      </c>
      <c r="R151" s="56">
        <f t="shared" ca="1" si="32"/>
        <v>173</v>
      </c>
      <c r="S151" s="56">
        <f t="shared" ca="1" si="33"/>
        <v>125</v>
      </c>
      <c r="T151" s="39">
        <f t="shared" ca="1" si="34"/>
        <v>687500</v>
      </c>
      <c r="U151" s="61">
        <f t="shared" ca="1" si="35"/>
        <v>0</v>
      </c>
      <c r="V151" s="62">
        <f t="shared" ca="1" si="36"/>
        <v>187500</v>
      </c>
      <c r="W151" s="14"/>
    </row>
    <row r="152" spans="11:23" x14ac:dyDescent="0.3">
      <c r="K152" s="40">
        <v>148</v>
      </c>
      <c r="L152" s="39">
        <f t="shared" ca="1" si="27"/>
        <v>2.1430522910073524E-2</v>
      </c>
      <c r="M152" s="39">
        <f t="shared" ca="1" si="28"/>
        <v>140</v>
      </c>
      <c r="N152" s="39">
        <f t="shared" ca="1" si="29"/>
        <v>8.0439619315319733E-2</v>
      </c>
      <c r="O152" s="39">
        <f t="shared" ca="1" si="29"/>
        <v>0.14192796159020471</v>
      </c>
      <c r="P152" s="67">
        <f t="shared" ca="1" si="30"/>
        <v>0.22223675809055246</v>
      </c>
      <c r="Q152" s="56">
        <f t="shared" ca="1" si="31"/>
        <v>108.88685386732266</v>
      </c>
      <c r="R152" s="56">
        <f t="shared" ca="1" si="32"/>
        <v>109</v>
      </c>
      <c r="S152" s="56">
        <f t="shared" ca="1" si="33"/>
        <v>109</v>
      </c>
      <c r="T152" s="39">
        <f t="shared" ca="1" si="34"/>
        <v>599500</v>
      </c>
      <c r="U152" s="61">
        <f t="shared" ca="1" si="35"/>
        <v>32000</v>
      </c>
      <c r="V152" s="62">
        <f t="shared" ca="1" si="36"/>
        <v>131500</v>
      </c>
      <c r="W152" s="14"/>
    </row>
    <row r="153" spans="11:23" x14ac:dyDescent="0.3">
      <c r="K153" s="40">
        <v>149</v>
      </c>
      <c r="L153" s="39">
        <f t="shared" ca="1" si="27"/>
        <v>0.80387695961999084</v>
      </c>
      <c r="M153" s="39">
        <f t="shared" ca="1" si="28"/>
        <v>200</v>
      </c>
      <c r="N153" s="39">
        <f t="shared" ca="1" si="29"/>
        <v>3.267834752877552E-2</v>
      </c>
      <c r="O153" s="39">
        <f t="shared" ca="1" si="29"/>
        <v>0.96986439479770292</v>
      </c>
      <c r="P153" s="67">
        <f t="shared" ca="1" si="30"/>
        <v>0.30025427423264789</v>
      </c>
      <c r="Q153" s="56">
        <f t="shared" ca="1" si="31"/>
        <v>139.94914515347043</v>
      </c>
      <c r="R153" s="56">
        <f t="shared" ca="1" si="32"/>
        <v>140</v>
      </c>
      <c r="S153" s="56">
        <f t="shared" ca="1" si="33"/>
        <v>125</v>
      </c>
      <c r="T153" s="39">
        <f t="shared" ca="1" si="34"/>
        <v>687500</v>
      </c>
      <c r="U153" s="61">
        <f t="shared" ca="1" si="35"/>
        <v>0</v>
      </c>
      <c r="V153" s="62">
        <f t="shared" ca="1" si="36"/>
        <v>187500</v>
      </c>
      <c r="W153" s="14"/>
    </row>
    <row r="154" spans="11:23" x14ac:dyDescent="0.3">
      <c r="K154" s="40">
        <v>150</v>
      </c>
      <c r="L154" s="39">
        <f t="shared" ca="1" si="27"/>
        <v>0.28635552354808125</v>
      </c>
      <c r="M154" s="39">
        <f t="shared" ca="1" si="28"/>
        <v>140</v>
      </c>
      <c r="N154" s="39">
        <f t="shared" ca="1" si="29"/>
        <v>0.22148294708594152</v>
      </c>
      <c r="O154" s="39">
        <f t="shared" ca="1" si="29"/>
        <v>0.63363784267022316</v>
      </c>
      <c r="P154" s="67">
        <f t="shared" ca="1" si="30"/>
        <v>0.28551207897561648</v>
      </c>
      <c r="Q154" s="56">
        <f t="shared" ca="1" si="31"/>
        <v>100.02830894341369</v>
      </c>
      <c r="R154" s="56">
        <f t="shared" ca="1" si="32"/>
        <v>101</v>
      </c>
      <c r="S154" s="56">
        <f t="shared" ca="1" si="33"/>
        <v>101</v>
      </c>
      <c r="T154" s="39">
        <f t="shared" ca="1" si="34"/>
        <v>555500</v>
      </c>
      <c r="U154" s="61">
        <f t="shared" ca="1" si="35"/>
        <v>48000</v>
      </c>
      <c r="V154" s="62">
        <f t="shared" ca="1" si="36"/>
        <v>103500</v>
      </c>
      <c r="W154" s="14"/>
    </row>
    <row r="155" spans="11:23" x14ac:dyDescent="0.3">
      <c r="K155" s="40">
        <v>151</v>
      </c>
      <c r="L155" s="39">
        <f t="shared" ca="1" si="27"/>
        <v>0.84793183359648083</v>
      </c>
      <c r="M155" s="39">
        <f t="shared" ca="1" si="28"/>
        <v>200</v>
      </c>
      <c r="N155" s="39">
        <f t="shared" ca="1" si="29"/>
        <v>0.11568640015013487</v>
      </c>
      <c r="O155" s="39">
        <f t="shared" ca="1" si="29"/>
        <v>0.36202436787831715</v>
      </c>
      <c r="P155" s="67">
        <f t="shared" ca="1" si="30"/>
        <v>0.24777107680284521</v>
      </c>
      <c r="Q155" s="56">
        <f t="shared" ca="1" si="31"/>
        <v>150.44578463943094</v>
      </c>
      <c r="R155" s="56">
        <f t="shared" ca="1" si="32"/>
        <v>151</v>
      </c>
      <c r="S155" s="56">
        <f t="shared" ca="1" si="33"/>
        <v>125</v>
      </c>
      <c r="T155" s="39">
        <f t="shared" ca="1" si="34"/>
        <v>687500</v>
      </c>
      <c r="U155" s="61">
        <f t="shared" ca="1" si="35"/>
        <v>0</v>
      </c>
      <c r="V155" s="62">
        <f t="shared" ca="1" si="36"/>
        <v>187500</v>
      </c>
      <c r="W155" s="14"/>
    </row>
    <row r="156" spans="11:23" x14ac:dyDescent="0.3">
      <c r="K156" s="40">
        <v>152</v>
      </c>
      <c r="L156" s="39">
        <f t="shared" ca="1" si="27"/>
        <v>0.46492528867648131</v>
      </c>
      <c r="M156" s="39">
        <f t="shared" ca="1" si="28"/>
        <v>160</v>
      </c>
      <c r="N156" s="39">
        <f t="shared" ca="1" si="29"/>
        <v>0.69660990868129258</v>
      </c>
      <c r="O156" s="39">
        <f t="shared" ca="1" si="29"/>
        <v>0.71036136429362684</v>
      </c>
      <c r="P156" s="67">
        <f t="shared" ca="1" si="30"/>
        <v>0.34069712729749196</v>
      </c>
      <c r="Q156" s="56">
        <f t="shared" ca="1" si="31"/>
        <v>105.48845963240129</v>
      </c>
      <c r="R156" s="56">
        <f t="shared" ca="1" si="32"/>
        <v>106</v>
      </c>
      <c r="S156" s="56">
        <f t="shared" ca="1" si="33"/>
        <v>106</v>
      </c>
      <c r="T156" s="39">
        <f t="shared" ca="1" si="34"/>
        <v>583000</v>
      </c>
      <c r="U156" s="61">
        <f t="shared" ca="1" si="35"/>
        <v>38000</v>
      </c>
      <c r="V156" s="62">
        <f t="shared" ca="1" si="36"/>
        <v>121000</v>
      </c>
      <c r="W156" s="14"/>
    </row>
    <row r="157" spans="11:23" x14ac:dyDescent="0.3">
      <c r="K157" s="40">
        <v>153</v>
      </c>
      <c r="L157" s="39">
        <f t="shared" ca="1" si="27"/>
        <v>0.47583180546034753</v>
      </c>
      <c r="M157" s="39">
        <f t="shared" ca="1" si="28"/>
        <v>160</v>
      </c>
      <c r="N157" s="39">
        <f t="shared" ca="1" si="29"/>
        <v>0.76198149459535058</v>
      </c>
      <c r="O157" s="39">
        <f t="shared" ca="1" si="29"/>
        <v>0.34433224330642509</v>
      </c>
      <c r="P157" s="67">
        <f t="shared" ca="1" si="30"/>
        <v>0.31063137379017758</v>
      </c>
      <c r="Q157" s="56">
        <f t="shared" ca="1" si="31"/>
        <v>110.29898019357159</v>
      </c>
      <c r="R157" s="56">
        <f t="shared" ca="1" si="32"/>
        <v>111</v>
      </c>
      <c r="S157" s="56">
        <f t="shared" ca="1" si="33"/>
        <v>111</v>
      </c>
      <c r="T157" s="39">
        <f t="shared" ca="1" si="34"/>
        <v>610500</v>
      </c>
      <c r="U157" s="61">
        <f t="shared" ca="1" si="35"/>
        <v>28000</v>
      </c>
      <c r="V157" s="62">
        <f t="shared" ca="1" si="36"/>
        <v>138500</v>
      </c>
      <c r="W157" s="14"/>
    </row>
    <row r="158" spans="11:23" x14ac:dyDescent="0.3">
      <c r="K158" s="40">
        <v>154</v>
      </c>
      <c r="L158" s="39">
        <f t="shared" ca="1" si="27"/>
        <v>0.53705596179692283</v>
      </c>
      <c r="M158" s="39">
        <f t="shared" ca="1" si="28"/>
        <v>180</v>
      </c>
      <c r="N158" s="39">
        <f t="shared" ca="1" si="29"/>
        <v>0.2282772996603013</v>
      </c>
      <c r="O158" s="39">
        <f t="shared" ca="1" si="29"/>
        <v>0.25949759377596315</v>
      </c>
      <c r="P158" s="67">
        <f t="shared" ca="1" si="30"/>
        <v>0.24877748934362645</v>
      </c>
      <c r="Q158" s="56">
        <f t="shared" ca="1" si="31"/>
        <v>135.22005191814725</v>
      </c>
      <c r="R158" s="56">
        <f t="shared" ca="1" si="32"/>
        <v>136</v>
      </c>
      <c r="S158" s="56">
        <f t="shared" ca="1" si="33"/>
        <v>125</v>
      </c>
      <c r="T158" s="39">
        <f t="shared" ca="1" si="34"/>
        <v>687500</v>
      </c>
      <c r="U158" s="61">
        <f t="shared" ca="1" si="35"/>
        <v>0</v>
      </c>
      <c r="V158" s="62">
        <f t="shared" ca="1" si="36"/>
        <v>187500</v>
      </c>
      <c r="W158" s="14"/>
    </row>
    <row r="159" spans="11:23" x14ac:dyDescent="0.3">
      <c r="K159" s="40">
        <v>155</v>
      </c>
      <c r="L159" s="39">
        <f t="shared" ca="1" si="27"/>
        <v>0.48102417533066266</v>
      </c>
      <c r="M159" s="39">
        <f t="shared" ca="1" si="28"/>
        <v>160</v>
      </c>
      <c r="N159" s="39">
        <f t="shared" ca="1" si="29"/>
        <v>0.4584231184901888</v>
      </c>
      <c r="O159" s="39">
        <f t="shared" ca="1" si="29"/>
        <v>0.19386294254982928</v>
      </c>
      <c r="P159" s="67">
        <f t="shared" ca="1" si="30"/>
        <v>0.26522860610400184</v>
      </c>
      <c r="Q159" s="56">
        <f t="shared" ca="1" si="31"/>
        <v>117.5634230233597</v>
      </c>
      <c r="R159" s="56">
        <f t="shared" ca="1" si="32"/>
        <v>118</v>
      </c>
      <c r="S159" s="56">
        <f t="shared" ca="1" si="33"/>
        <v>118</v>
      </c>
      <c r="T159" s="39">
        <f t="shared" ca="1" si="34"/>
        <v>649000</v>
      </c>
      <c r="U159" s="61">
        <f t="shared" ca="1" si="35"/>
        <v>14000</v>
      </c>
      <c r="V159" s="62">
        <f t="shared" ca="1" si="36"/>
        <v>163000</v>
      </c>
      <c r="W159" s="14"/>
    </row>
    <row r="160" spans="11:23" x14ac:dyDescent="0.3">
      <c r="K160" s="40">
        <v>156</v>
      </c>
      <c r="L160" s="39">
        <f t="shared" ca="1" si="27"/>
        <v>0.90783377790453978</v>
      </c>
      <c r="M160" s="39">
        <f t="shared" ca="1" si="28"/>
        <v>220</v>
      </c>
      <c r="N160" s="39">
        <f t="shared" ca="1" si="29"/>
        <v>0.40333559987891854</v>
      </c>
      <c r="O160" s="39">
        <f t="shared" ca="1" si="29"/>
        <v>0.22546617389911627</v>
      </c>
      <c r="P160" s="67">
        <f t="shared" ca="1" si="30"/>
        <v>0.2628801773778035</v>
      </c>
      <c r="Q160" s="56">
        <f t="shared" ca="1" si="31"/>
        <v>162.16636097688323</v>
      </c>
      <c r="R160" s="56">
        <f t="shared" ca="1" si="32"/>
        <v>163</v>
      </c>
      <c r="S160" s="56">
        <f t="shared" ca="1" si="33"/>
        <v>125</v>
      </c>
      <c r="T160" s="39">
        <f t="shared" ca="1" si="34"/>
        <v>687500</v>
      </c>
      <c r="U160" s="61">
        <f t="shared" ca="1" si="35"/>
        <v>0</v>
      </c>
      <c r="V160" s="62">
        <f t="shared" ca="1" si="36"/>
        <v>187500</v>
      </c>
      <c r="W160" s="14"/>
    </row>
    <row r="161" spans="11:23" x14ac:dyDescent="0.3">
      <c r="K161" s="40">
        <v>157</v>
      </c>
      <c r="L161" s="39">
        <f t="shared" ca="1" si="27"/>
        <v>0.66362889702536343</v>
      </c>
      <c r="M161" s="39">
        <f t="shared" ca="1" si="28"/>
        <v>200</v>
      </c>
      <c r="N161" s="39">
        <f t="shared" ca="1" si="29"/>
        <v>0.16658623957612351</v>
      </c>
      <c r="O161" s="39">
        <f t="shared" ca="1" si="29"/>
        <v>0.39109748933366284</v>
      </c>
      <c r="P161" s="67">
        <f t="shared" ca="1" si="30"/>
        <v>0.25576837289097865</v>
      </c>
      <c r="Q161" s="56">
        <f t="shared" ca="1" si="31"/>
        <v>148.84632542180427</v>
      </c>
      <c r="R161" s="56">
        <f t="shared" ca="1" si="32"/>
        <v>149</v>
      </c>
      <c r="S161" s="56">
        <f t="shared" ca="1" si="33"/>
        <v>125</v>
      </c>
      <c r="T161" s="39">
        <f t="shared" ca="1" si="34"/>
        <v>687500</v>
      </c>
      <c r="U161" s="61">
        <f t="shared" ca="1" si="35"/>
        <v>0</v>
      </c>
      <c r="V161" s="62">
        <f t="shared" ca="1" si="36"/>
        <v>187500</v>
      </c>
      <c r="W161" s="14"/>
    </row>
    <row r="162" spans="11:23" x14ac:dyDescent="0.3">
      <c r="K162" s="40">
        <v>158</v>
      </c>
      <c r="L162" s="39">
        <f t="shared" ca="1" si="27"/>
        <v>0.99843246630765359</v>
      </c>
      <c r="M162" s="39">
        <f t="shared" ca="1" si="28"/>
        <v>220</v>
      </c>
      <c r="N162" s="39">
        <f t="shared" ca="1" si="29"/>
        <v>0.18510063894362461</v>
      </c>
      <c r="O162" s="39">
        <f t="shared" ca="1" si="29"/>
        <v>0.97424057364257166</v>
      </c>
      <c r="P162" s="67">
        <f t="shared" ca="1" si="30"/>
        <v>0.31593412125861964</v>
      </c>
      <c r="Q162" s="56">
        <f t="shared" ca="1" si="31"/>
        <v>150.49449332310368</v>
      </c>
      <c r="R162" s="56">
        <f t="shared" ca="1" si="32"/>
        <v>151</v>
      </c>
      <c r="S162" s="56">
        <f t="shared" ca="1" si="33"/>
        <v>125</v>
      </c>
      <c r="T162" s="39">
        <f t="shared" ca="1" si="34"/>
        <v>687500</v>
      </c>
      <c r="U162" s="61">
        <f t="shared" ca="1" si="35"/>
        <v>0</v>
      </c>
      <c r="V162" s="62">
        <f t="shared" ca="1" si="36"/>
        <v>187500</v>
      </c>
      <c r="W162" s="14"/>
    </row>
    <row r="163" spans="11:23" x14ac:dyDescent="0.3">
      <c r="K163" s="40">
        <v>159</v>
      </c>
      <c r="L163" s="39">
        <f t="shared" ca="1" si="27"/>
        <v>0.22907676569867863</v>
      </c>
      <c r="M163" s="39">
        <f t="shared" ca="1" si="28"/>
        <v>140</v>
      </c>
      <c r="N163" s="39">
        <f t="shared" ca="1" si="29"/>
        <v>0.78786146062926166</v>
      </c>
      <c r="O163" s="39">
        <f t="shared" ca="1" si="29"/>
        <v>0.23659992307579136</v>
      </c>
      <c r="P163" s="67">
        <f t="shared" ca="1" si="30"/>
        <v>0.30244613837050532</v>
      </c>
      <c r="Q163" s="56">
        <f t="shared" ca="1" si="31"/>
        <v>97.657540628129254</v>
      </c>
      <c r="R163" s="56">
        <f t="shared" ca="1" si="32"/>
        <v>98</v>
      </c>
      <c r="S163" s="56">
        <f t="shared" ca="1" si="33"/>
        <v>98</v>
      </c>
      <c r="T163" s="39">
        <f t="shared" ca="1" si="34"/>
        <v>539000</v>
      </c>
      <c r="U163" s="61">
        <f t="shared" ca="1" si="35"/>
        <v>54000</v>
      </c>
      <c r="V163" s="62">
        <f t="shared" ca="1" si="36"/>
        <v>93000</v>
      </c>
      <c r="W163" s="14"/>
    </row>
    <row r="164" spans="11:23" x14ac:dyDescent="0.3">
      <c r="K164" s="40">
        <v>160</v>
      </c>
      <c r="L164" s="39">
        <f t="shared" ca="1" si="27"/>
        <v>0.11321546323066389</v>
      </c>
      <c r="M164" s="39">
        <f t="shared" ca="1" si="28"/>
        <v>140</v>
      </c>
      <c r="N164" s="39">
        <f t="shared" ca="1" si="29"/>
        <v>0.84845279804139673</v>
      </c>
      <c r="O164" s="39">
        <f t="shared" ca="1" si="29"/>
        <v>0.98627288323861273</v>
      </c>
      <c r="P164" s="67">
        <f t="shared" ca="1" si="30"/>
        <v>0.38347256812800096</v>
      </c>
      <c r="Q164" s="56">
        <f t="shared" ca="1" si="31"/>
        <v>86.313840462079867</v>
      </c>
      <c r="R164" s="56">
        <f t="shared" ca="1" si="32"/>
        <v>87</v>
      </c>
      <c r="S164" s="56">
        <f t="shared" ca="1" si="33"/>
        <v>87</v>
      </c>
      <c r="T164" s="39">
        <f t="shared" ca="1" si="34"/>
        <v>478500</v>
      </c>
      <c r="U164" s="61">
        <f t="shared" ca="1" si="35"/>
        <v>76000</v>
      </c>
      <c r="V164" s="62">
        <f t="shared" ca="1" si="36"/>
        <v>54500</v>
      </c>
      <c r="W164" s="14"/>
    </row>
    <row r="165" spans="11:23" x14ac:dyDescent="0.3">
      <c r="K165" s="40">
        <v>161</v>
      </c>
      <c r="L165" s="39">
        <f t="shared" ca="1" si="27"/>
        <v>0.78945944557524583</v>
      </c>
      <c r="M165" s="39">
        <f t="shared" ca="1" si="28"/>
        <v>200</v>
      </c>
      <c r="N165" s="39">
        <f t="shared" ca="1" si="29"/>
        <v>0.99768189227252146</v>
      </c>
      <c r="O165" s="39">
        <f t="shared" ca="1" si="29"/>
        <v>0.57713196331483796</v>
      </c>
      <c r="P165" s="67">
        <f t="shared" ca="1" si="30"/>
        <v>0.35748138555873599</v>
      </c>
      <c r="Q165" s="56">
        <f t="shared" ca="1" si="31"/>
        <v>128.50372288825281</v>
      </c>
      <c r="R165" s="56">
        <f t="shared" ca="1" si="32"/>
        <v>129</v>
      </c>
      <c r="S165" s="56">
        <f t="shared" ca="1" si="33"/>
        <v>125</v>
      </c>
      <c r="T165" s="39">
        <f t="shared" ca="1" si="34"/>
        <v>687500</v>
      </c>
      <c r="U165" s="61">
        <f t="shared" ca="1" si="35"/>
        <v>0</v>
      </c>
      <c r="V165" s="62">
        <f t="shared" ca="1" si="36"/>
        <v>187500</v>
      </c>
      <c r="W165" s="14"/>
    </row>
    <row r="166" spans="11:23" x14ac:dyDescent="0.3">
      <c r="K166" s="40">
        <v>162</v>
      </c>
      <c r="L166" s="39">
        <f t="shared" ca="1" si="27"/>
        <v>0.24197424011757285</v>
      </c>
      <c r="M166" s="39">
        <f t="shared" ca="1" si="28"/>
        <v>140</v>
      </c>
      <c r="N166" s="39">
        <f t="shared" ca="1" si="29"/>
        <v>0.78363231383075627</v>
      </c>
      <c r="O166" s="39">
        <f t="shared" ca="1" si="29"/>
        <v>7.0764093337405631E-2</v>
      </c>
      <c r="P166" s="67">
        <f t="shared" ca="1" si="30"/>
        <v>0.28543964071681621</v>
      </c>
      <c r="Q166" s="56">
        <f t="shared" ca="1" si="31"/>
        <v>100.03845029964573</v>
      </c>
      <c r="R166" s="56">
        <f t="shared" ca="1" si="32"/>
        <v>101</v>
      </c>
      <c r="S166" s="56">
        <f t="shared" ca="1" si="33"/>
        <v>101</v>
      </c>
      <c r="T166" s="39">
        <f t="shared" ca="1" si="34"/>
        <v>555500</v>
      </c>
      <c r="U166" s="61">
        <f t="shared" ca="1" si="35"/>
        <v>48000</v>
      </c>
      <c r="V166" s="62">
        <f t="shared" ca="1" si="36"/>
        <v>103500</v>
      </c>
      <c r="W166" s="14"/>
    </row>
    <row r="167" spans="11:23" x14ac:dyDescent="0.3">
      <c r="K167" s="40">
        <v>163</v>
      </c>
      <c r="L167" s="39">
        <f t="shared" ca="1" si="27"/>
        <v>0.8890187483187405</v>
      </c>
      <c r="M167" s="39">
        <f t="shared" ca="1" si="28"/>
        <v>200</v>
      </c>
      <c r="N167" s="39">
        <f t="shared" ca="1" si="29"/>
        <v>0.50008640609611399</v>
      </c>
      <c r="O167" s="39">
        <f t="shared" ca="1" si="29"/>
        <v>0.95591904198470001</v>
      </c>
      <c r="P167" s="67">
        <f t="shared" ca="1" si="30"/>
        <v>0.34560054480808144</v>
      </c>
      <c r="Q167" s="56">
        <f t="shared" ca="1" si="31"/>
        <v>130.8798910383837</v>
      </c>
      <c r="R167" s="56">
        <f t="shared" ca="1" si="32"/>
        <v>131</v>
      </c>
      <c r="S167" s="56">
        <f t="shared" ca="1" si="33"/>
        <v>125</v>
      </c>
      <c r="T167" s="39">
        <f t="shared" ca="1" si="34"/>
        <v>687500</v>
      </c>
      <c r="U167" s="61">
        <f t="shared" ca="1" si="35"/>
        <v>0</v>
      </c>
      <c r="V167" s="62">
        <f t="shared" ca="1" si="36"/>
        <v>187500</v>
      </c>
      <c r="W167" s="14"/>
    </row>
    <row r="168" spans="11:23" x14ac:dyDescent="0.3">
      <c r="K168" s="40">
        <v>164</v>
      </c>
      <c r="L168" s="39">
        <f t="shared" ca="1" si="27"/>
        <v>0.26527423601634859</v>
      </c>
      <c r="M168" s="39">
        <f t="shared" ca="1" si="28"/>
        <v>140</v>
      </c>
      <c r="N168" s="39">
        <f t="shared" ca="1" si="29"/>
        <v>0.47184940196640246</v>
      </c>
      <c r="O168" s="39">
        <f t="shared" ca="1" si="29"/>
        <v>0.94180317354445553</v>
      </c>
      <c r="P168" s="67">
        <f t="shared" ca="1" si="30"/>
        <v>0.34136525755108582</v>
      </c>
      <c r="Q168" s="56">
        <f t="shared" ca="1" si="31"/>
        <v>92.208863942847984</v>
      </c>
      <c r="R168" s="56">
        <f t="shared" ca="1" si="32"/>
        <v>93</v>
      </c>
      <c r="S168" s="56">
        <f t="shared" ca="1" si="33"/>
        <v>93</v>
      </c>
      <c r="T168" s="39">
        <f t="shared" ca="1" si="34"/>
        <v>511500</v>
      </c>
      <c r="U168" s="61">
        <f t="shared" ca="1" si="35"/>
        <v>64000</v>
      </c>
      <c r="V168" s="62">
        <f t="shared" ca="1" si="36"/>
        <v>75500</v>
      </c>
      <c r="W168" s="14"/>
    </row>
    <row r="169" spans="11:23" x14ac:dyDescent="0.3">
      <c r="K169" s="40">
        <v>165</v>
      </c>
      <c r="L169" s="39">
        <f t="shared" ca="1" si="27"/>
        <v>0.72314567371603666</v>
      </c>
      <c r="M169" s="39">
        <f t="shared" ca="1" si="28"/>
        <v>200</v>
      </c>
      <c r="N169" s="39">
        <f t="shared" ca="1" si="29"/>
        <v>0.73890417662191588</v>
      </c>
      <c r="O169" s="39">
        <f t="shared" ca="1" si="29"/>
        <v>0.57220797721237082</v>
      </c>
      <c r="P169" s="67">
        <f t="shared" ca="1" si="30"/>
        <v>0.33111121538342869</v>
      </c>
      <c r="Q169" s="56">
        <f t="shared" ca="1" si="31"/>
        <v>133.77775692331426</v>
      </c>
      <c r="R169" s="56">
        <f t="shared" ca="1" si="32"/>
        <v>134</v>
      </c>
      <c r="S169" s="56">
        <f t="shared" ca="1" si="33"/>
        <v>125</v>
      </c>
      <c r="T169" s="39">
        <f t="shared" ca="1" si="34"/>
        <v>687500</v>
      </c>
      <c r="U169" s="61">
        <f t="shared" ca="1" si="35"/>
        <v>0</v>
      </c>
      <c r="V169" s="62">
        <f t="shared" ca="1" si="36"/>
        <v>187500</v>
      </c>
      <c r="W169" s="14"/>
    </row>
    <row r="170" spans="11:23" x14ac:dyDescent="0.3">
      <c r="K170" s="40">
        <v>166</v>
      </c>
      <c r="L170" s="39">
        <f t="shared" ca="1" si="27"/>
        <v>0.54216496110734369</v>
      </c>
      <c r="M170" s="39">
        <f t="shared" ca="1" si="28"/>
        <v>180</v>
      </c>
      <c r="N170" s="39">
        <f t="shared" ca="1" si="29"/>
        <v>0.60022933619963048</v>
      </c>
      <c r="O170" s="39">
        <f t="shared" ca="1" si="29"/>
        <v>0.26526151219171534</v>
      </c>
      <c r="P170" s="67">
        <f t="shared" ca="1" si="30"/>
        <v>0.2865490848391346</v>
      </c>
      <c r="Q170" s="56">
        <f t="shared" ca="1" si="31"/>
        <v>128.42116472895577</v>
      </c>
      <c r="R170" s="56">
        <f t="shared" ca="1" si="32"/>
        <v>129</v>
      </c>
      <c r="S170" s="56">
        <f t="shared" ca="1" si="33"/>
        <v>125</v>
      </c>
      <c r="T170" s="39">
        <f t="shared" ca="1" si="34"/>
        <v>687500</v>
      </c>
      <c r="U170" s="61">
        <f t="shared" ca="1" si="35"/>
        <v>0</v>
      </c>
      <c r="V170" s="62">
        <f t="shared" ca="1" si="36"/>
        <v>187500</v>
      </c>
      <c r="W170" s="14"/>
    </row>
    <row r="171" spans="11:23" x14ac:dyDescent="0.3">
      <c r="K171" s="40">
        <v>167</v>
      </c>
      <c r="L171" s="39">
        <f t="shared" ca="1" si="27"/>
        <v>0.55051561711088293</v>
      </c>
      <c r="M171" s="39">
        <f t="shared" ca="1" si="28"/>
        <v>180</v>
      </c>
      <c r="N171" s="39">
        <f t="shared" ca="1" si="29"/>
        <v>0.81865993428445416</v>
      </c>
      <c r="O171" s="39">
        <f t="shared" ca="1" si="29"/>
        <v>0.67734030545723889</v>
      </c>
      <c r="P171" s="67">
        <f t="shared" ca="1" si="30"/>
        <v>0.34960002397416934</v>
      </c>
      <c r="Q171" s="56">
        <f t="shared" ca="1" si="31"/>
        <v>117.07199568464952</v>
      </c>
      <c r="R171" s="56">
        <f t="shared" ca="1" si="32"/>
        <v>118</v>
      </c>
      <c r="S171" s="56">
        <f t="shared" ca="1" si="33"/>
        <v>118</v>
      </c>
      <c r="T171" s="39">
        <f t="shared" ca="1" si="34"/>
        <v>649000</v>
      </c>
      <c r="U171" s="61">
        <f t="shared" ca="1" si="35"/>
        <v>14000</v>
      </c>
      <c r="V171" s="62">
        <f t="shared" ca="1" si="36"/>
        <v>163000</v>
      </c>
      <c r="W171" s="14"/>
    </row>
    <row r="172" spans="11:23" x14ac:dyDescent="0.3">
      <c r="K172" s="40">
        <v>168</v>
      </c>
      <c r="L172" s="39">
        <f t="shared" ca="1" si="27"/>
        <v>0.96657695147882683</v>
      </c>
      <c r="M172" s="39">
        <f t="shared" ca="1" si="28"/>
        <v>220</v>
      </c>
      <c r="N172" s="39">
        <f t="shared" ca="1" si="29"/>
        <v>0.98110986178573933</v>
      </c>
      <c r="O172" s="39">
        <f t="shared" ca="1" si="29"/>
        <v>0.26272924482214555</v>
      </c>
      <c r="P172" s="67">
        <f t="shared" ca="1" si="30"/>
        <v>0.32438391066078853</v>
      </c>
      <c r="Q172" s="56">
        <f t="shared" ca="1" si="31"/>
        <v>148.63553965462654</v>
      </c>
      <c r="R172" s="56">
        <f t="shared" ca="1" si="32"/>
        <v>149</v>
      </c>
      <c r="S172" s="56">
        <f t="shared" ca="1" si="33"/>
        <v>125</v>
      </c>
      <c r="T172" s="39">
        <f t="shared" ca="1" si="34"/>
        <v>687500</v>
      </c>
      <c r="U172" s="61">
        <f t="shared" ca="1" si="35"/>
        <v>0</v>
      </c>
      <c r="V172" s="62">
        <f t="shared" ca="1" si="36"/>
        <v>187500</v>
      </c>
      <c r="W172" s="14"/>
    </row>
    <row r="173" spans="11:23" x14ac:dyDescent="0.3">
      <c r="K173" s="40">
        <v>169</v>
      </c>
      <c r="L173" s="39">
        <f t="shared" ca="1" si="27"/>
        <v>0.31128404923137765</v>
      </c>
      <c r="M173" s="39">
        <f t="shared" ca="1" si="28"/>
        <v>160</v>
      </c>
      <c r="N173" s="39">
        <f t="shared" ca="1" si="29"/>
        <v>0.34595350618048881</v>
      </c>
      <c r="O173" s="39">
        <f t="shared" ca="1" si="29"/>
        <v>0.72582880184611176</v>
      </c>
      <c r="P173" s="67">
        <f t="shared" ca="1" si="30"/>
        <v>0.30717823080266005</v>
      </c>
      <c r="Q173" s="56">
        <f t="shared" ca="1" si="31"/>
        <v>110.85148307157439</v>
      </c>
      <c r="R173" s="56">
        <f t="shared" ca="1" si="32"/>
        <v>111</v>
      </c>
      <c r="S173" s="56">
        <f t="shared" ca="1" si="33"/>
        <v>111</v>
      </c>
      <c r="T173" s="39">
        <f t="shared" ca="1" si="34"/>
        <v>610500</v>
      </c>
      <c r="U173" s="61">
        <f t="shared" ca="1" si="35"/>
        <v>28000</v>
      </c>
      <c r="V173" s="62">
        <f t="shared" ca="1" si="36"/>
        <v>138500</v>
      </c>
      <c r="W173" s="14"/>
    </row>
    <row r="174" spans="11:23" x14ac:dyDescent="0.3">
      <c r="K174" s="40">
        <v>170</v>
      </c>
      <c r="L174" s="39">
        <f t="shared" ca="1" si="27"/>
        <v>0.48878504830225356</v>
      </c>
      <c r="M174" s="39">
        <f t="shared" ca="1" si="28"/>
        <v>160</v>
      </c>
      <c r="N174" s="39">
        <f t="shared" ca="1" si="29"/>
        <v>0.23858544473104837</v>
      </c>
      <c r="O174" s="39">
        <f t="shared" ca="1" si="29"/>
        <v>0.61759402591186596</v>
      </c>
      <c r="P174" s="67">
        <f t="shared" ca="1" si="30"/>
        <v>0.28561794706429144</v>
      </c>
      <c r="Q174" s="56">
        <f t="shared" ca="1" si="31"/>
        <v>114.30112846971338</v>
      </c>
      <c r="R174" s="56">
        <f t="shared" ca="1" si="32"/>
        <v>115</v>
      </c>
      <c r="S174" s="56">
        <f t="shared" ca="1" si="33"/>
        <v>115</v>
      </c>
      <c r="T174" s="39">
        <f t="shared" ca="1" si="34"/>
        <v>632500</v>
      </c>
      <c r="U174" s="61">
        <f t="shared" ca="1" si="35"/>
        <v>20000</v>
      </c>
      <c r="V174" s="62">
        <f t="shared" ca="1" si="36"/>
        <v>152500</v>
      </c>
      <c r="W174" s="14"/>
    </row>
    <row r="175" spans="11:23" x14ac:dyDescent="0.3">
      <c r="K175" s="40">
        <v>171</v>
      </c>
      <c r="L175" s="39">
        <f t="shared" ca="1" si="27"/>
        <v>0.55066245050535945</v>
      </c>
      <c r="M175" s="39">
        <f t="shared" ca="1" si="28"/>
        <v>180</v>
      </c>
      <c r="N175" s="39">
        <f t="shared" ca="1" si="29"/>
        <v>1.2792908875645659E-2</v>
      </c>
      <c r="O175" s="39">
        <f t="shared" ca="1" si="29"/>
        <v>9.8812232460292249E-2</v>
      </c>
      <c r="P175" s="67">
        <f t="shared" ca="1" si="30"/>
        <v>0.2111605141335938</v>
      </c>
      <c r="Q175" s="56">
        <f t="shared" ca="1" si="31"/>
        <v>141.99110745595311</v>
      </c>
      <c r="R175" s="56">
        <f t="shared" ca="1" si="32"/>
        <v>142</v>
      </c>
      <c r="S175" s="56">
        <f t="shared" ca="1" si="33"/>
        <v>125</v>
      </c>
      <c r="T175" s="39">
        <f t="shared" ca="1" si="34"/>
        <v>687500</v>
      </c>
      <c r="U175" s="61">
        <f t="shared" ca="1" si="35"/>
        <v>0</v>
      </c>
      <c r="V175" s="62">
        <f t="shared" ca="1" si="36"/>
        <v>187500</v>
      </c>
      <c r="W175" s="14"/>
    </row>
    <row r="176" spans="11:23" x14ac:dyDescent="0.3">
      <c r="K176" s="40">
        <v>172</v>
      </c>
      <c r="L176" s="39">
        <f t="shared" ca="1" si="27"/>
        <v>0.71641282556613728</v>
      </c>
      <c r="M176" s="39">
        <f t="shared" ca="1" si="28"/>
        <v>200</v>
      </c>
      <c r="N176" s="39">
        <f t="shared" ca="1" si="29"/>
        <v>0.30313039582144574</v>
      </c>
      <c r="O176" s="39">
        <f t="shared" ca="1" si="29"/>
        <v>0.50697099975320081</v>
      </c>
      <c r="P176" s="67">
        <f t="shared" ca="1" si="30"/>
        <v>0.28101013955746468</v>
      </c>
      <c r="Q176" s="56">
        <f t="shared" ca="1" si="31"/>
        <v>143.79797208850707</v>
      </c>
      <c r="R176" s="56">
        <f t="shared" ca="1" si="32"/>
        <v>144</v>
      </c>
      <c r="S176" s="56">
        <f t="shared" ca="1" si="33"/>
        <v>125</v>
      </c>
      <c r="T176" s="39">
        <f t="shared" ca="1" si="34"/>
        <v>687500</v>
      </c>
      <c r="U176" s="61">
        <f t="shared" ca="1" si="35"/>
        <v>0</v>
      </c>
      <c r="V176" s="62">
        <f t="shared" ca="1" si="36"/>
        <v>187500</v>
      </c>
      <c r="W176" s="14"/>
    </row>
    <row r="177" spans="11:23" x14ac:dyDescent="0.3">
      <c r="K177" s="40">
        <v>173</v>
      </c>
      <c r="L177" s="39">
        <f t="shared" ca="1" si="27"/>
        <v>4.7830851936901508E-2</v>
      </c>
      <c r="M177" s="39">
        <f t="shared" ca="1" si="28"/>
        <v>140</v>
      </c>
      <c r="N177" s="39">
        <f t="shared" ca="1" si="29"/>
        <v>0.53418912801494134</v>
      </c>
      <c r="O177" s="39">
        <f t="shared" ca="1" si="29"/>
        <v>0.28475577827456877</v>
      </c>
      <c r="P177" s="67">
        <f t="shared" ca="1" si="30"/>
        <v>0.281894490628951</v>
      </c>
      <c r="Q177" s="56">
        <f t="shared" ca="1" si="31"/>
        <v>100.53477131194686</v>
      </c>
      <c r="R177" s="56">
        <f t="shared" ca="1" si="32"/>
        <v>101</v>
      </c>
      <c r="S177" s="56">
        <f t="shared" ca="1" si="33"/>
        <v>101</v>
      </c>
      <c r="T177" s="39">
        <f t="shared" ca="1" si="34"/>
        <v>555500</v>
      </c>
      <c r="U177" s="61">
        <f t="shared" ca="1" si="35"/>
        <v>48000</v>
      </c>
      <c r="V177" s="62">
        <f t="shared" ca="1" si="36"/>
        <v>103500</v>
      </c>
      <c r="W177" s="14"/>
    </row>
    <row r="178" spans="11:23" x14ac:dyDescent="0.3">
      <c r="K178" s="40">
        <v>174</v>
      </c>
      <c r="L178" s="39">
        <f t="shared" ca="1" si="27"/>
        <v>0.82521940135361926</v>
      </c>
      <c r="M178" s="39">
        <f t="shared" ca="1" si="28"/>
        <v>200</v>
      </c>
      <c r="N178" s="39">
        <f t="shared" ca="1" si="29"/>
        <v>0.95045847422833085</v>
      </c>
      <c r="O178" s="39">
        <f t="shared" ca="1" si="29"/>
        <v>0.64592244125463216</v>
      </c>
      <c r="P178" s="67">
        <f t="shared" ca="1" si="30"/>
        <v>0.35963809154829635</v>
      </c>
      <c r="Q178" s="56">
        <f t="shared" ca="1" si="31"/>
        <v>128.07238169034073</v>
      </c>
      <c r="R178" s="56">
        <f t="shared" ca="1" si="32"/>
        <v>129</v>
      </c>
      <c r="S178" s="56">
        <f t="shared" ca="1" si="33"/>
        <v>125</v>
      </c>
      <c r="T178" s="39">
        <f t="shared" ca="1" si="34"/>
        <v>687500</v>
      </c>
      <c r="U178" s="61">
        <f t="shared" ca="1" si="35"/>
        <v>0</v>
      </c>
      <c r="V178" s="62">
        <f t="shared" ca="1" si="36"/>
        <v>187500</v>
      </c>
      <c r="W178" s="14"/>
    </row>
    <row r="179" spans="11:23" x14ac:dyDescent="0.3">
      <c r="K179" s="40">
        <v>175</v>
      </c>
      <c r="L179" s="39">
        <f t="shared" ca="1" si="27"/>
        <v>0.22142492536821712</v>
      </c>
      <c r="M179" s="39">
        <f t="shared" ca="1" si="28"/>
        <v>140</v>
      </c>
      <c r="N179" s="39">
        <f t="shared" ca="1" si="29"/>
        <v>0.97985486202426719</v>
      </c>
      <c r="O179" s="39">
        <f t="shared" ca="1" si="29"/>
        <v>0.30370352914142329</v>
      </c>
      <c r="P179" s="67">
        <f t="shared" ca="1" si="30"/>
        <v>0.32835583911656907</v>
      </c>
      <c r="Q179" s="56">
        <f t="shared" ca="1" si="31"/>
        <v>94.030182523680338</v>
      </c>
      <c r="R179" s="56">
        <f t="shared" ca="1" si="32"/>
        <v>95</v>
      </c>
      <c r="S179" s="56">
        <f t="shared" ca="1" si="33"/>
        <v>95</v>
      </c>
      <c r="T179" s="39">
        <f t="shared" ca="1" si="34"/>
        <v>522500</v>
      </c>
      <c r="U179" s="61">
        <f t="shared" ca="1" si="35"/>
        <v>60000</v>
      </c>
      <c r="V179" s="62">
        <f t="shared" ca="1" si="36"/>
        <v>82500</v>
      </c>
      <c r="W179" s="14"/>
    </row>
    <row r="180" spans="11:23" x14ac:dyDescent="0.3">
      <c r="K180" s="40">
        <v>176</v>
      </c>
      <c r="L180" s="39">
        <f t="shared" ca="1" si="27"/>
        <v>0.91636477595654864</v>
      </c>
      <c r="M180" s="39">
        <f t="shared" ca="1" si="28"/>
        <v>220</v>
      </c>
      <c r="N180" s="39">
        <f t="shared" ca="1" si="29"/>
        <v>0.68932446830633731</v>
      </c>
      <c r="O180" s="39">
        <f t="shared" ca="1" si="29"/>
        <v>0.70898223397136495</v>
      </c>
      <c r="P180" s="67">
        <f t="shared" ca="1" si="30"/>
        <v>0.33983067022777025</v>
      </c>
      <c r="Q180" s="56">
        <f t="shared" ca="1" si="31"/>
        <v>145.23725254989054</v>
      </c>
      <c r="R180" s="56">
        <f t="shared" ca="1" si="32"/>
        <v>146</v>
      </c>
      <c r="S180" s="56">
        <f t="shared" ca="1" si="33"/>
        <v>125</v>
      </c>
      <c r="T180" s="39">
        <f t="shared" ca="1" si="34"/>
        <v>687500</v>
      </c>
      <c r="U180" s="61">
        <f t="shared" ca="1" si="35"/>
        <v>0</v>
      </c>
      <c r="V180" s="62">
        <f t="shared" ca="1" si="36"/>
        <v>187500</v>
      </c>
      <c r="W180" s="14"/>
    </row>
    <row r="181" spans="11:23" x14ac:dyDescent="0.3">
      <c r="K181" s="40">
        <v>177</v>
      </c>
      <c r="L181" s="39">
        <f t="shared" ca="1" si="27"/>
        <v>0.89420076357639711</v>
      </c>
      <c r="M181" s="39">
        <f t="shared" ca="1" si="28"/>
        <v>200</v>
      </c>
      <c r="N181" s="39">
        <f t="shared" ca="1" si="29"/>
        <v>0.9884523550821519</v>
      </c>
      <c r="O181" s="39">
        <f t="shared" ca="1" si="29"/>
        <v>0.42936624599895867</v>
      </c>
      <c r="P181" s="67">
        <f t="shared" ca="1" si="30"/>
        <v>0.34178186010811107</v>
      </c>
      <c r="Q181" s="56">
        <f t="shared" ca="1" si="31"/>
        <v>131.64362797837779</v>
      </c>
      <c r="R181" s="56">
        <f t="shared" ca="1" si="32"/>
        <v>132</v>
      </c>
      <c r="S181" s="56">
        <f t="shared" ca="1" si="33"/>
        <v>125</v>
      </c>
      <c r="T181" s="39">
        <f t="shared" ca="1" si="34"/>
        <v>687500</v>
      </c>
      <c r="U181" s="61">
        <f t="shared" ca="1" si="35"/>
        <v>0</v>
      </c>
      <c r="V181" s="62">
        <f t="shared" ca="1" si="36"/>
        <v>187500</v>
      </c>
      <c r="W181" s="14"/>
    </row>
    <row r="182" spans="11:23" x14ac:dyDescent="0.3">
      <c r="K182" s="40">
        <v>178</v>
      </c>
      <c r="L182" s="39">
        <f t="shared" ca="1" si="27"/>
        <v>0.71379997383724547</v>
      </c>
      <c r="M182" s="39">
        <f t="shared" ca="1" si="28"/>
        <v>200</v>
      </c>
      <c r="N182" s="39">
        <f t="shared" ca="1" si="29"/>
        <v>0.75553859106189947</v>
      </c>
      <c r="O182" s="39">
        <f t="shared" ca="1" si="29"/>
        <v>0.15199876522635358</v>
      </c>
      <c r="P182" s="67">
        <f t="shared" ca="1" si="30"/>
        <v>0.29075373562882534</v>
      </c>
      <c r="Q182" s="56">
        <f t="shared" ca="1" si="31"/>
        <v>141.84925287423494</v>
      </c>
      <c r="R182" s="56">
        <f t="shared" ca="1" si="32"/>
        <v>142</v>
      </c>
      <c r="S182" s="56">
        <f t="shared" ca="1" si="33"/>
        <v>125</v>
      </c>
      <c r="T182" s="39">
        <f t="shared" ca="1" si="34"/>
        <v>687500</v>
      </c>
      <c r="U182" s="61">
        <f t="shared" ca="1" si="35"/>
        <v>0</v>
      </c>
      <c r="V182" s="62">
        <f t="shared" ca="1" si="36"/>
        <v>187500</v>
      </c>
      <c r="W182" s="14"/>
    </row>
    <row r="183" spans="11:23" x14ac:dyDescent="0.3">
      <c r="K183" s="40">
        <v>179</v>
      </c>
      <c r="L183" s="39">
        <f t="shared" ca="1" si="27"/>
        <v>0.53908006952438003</v>
      </c>
      <c r="M183" s="39">
        <f t="shared" ca="1" si="28"/>
        <v>180</v>
      </c>
      <c r="N183" s="39">
        <f t="shared" ca="1" si="29"/>
        <v>0.29098549712537503</v>
      </c>
      <c r="O183" s="39">
        <f t="shared" ca="1" si="29"/>
        <v>0.6153914541343487</v>
      </c>
      <c r="P183" s="67">
        <f t="shared" ca="1" si="30"/>
        <v>0.29063769512597237</v>
      </c>
      <c r="Q183" s="56">
        <f t="shared" ca="1" si="31"/>
        <v>127.68521487732497</v>
      </c>
      <c r="R183" s="56">
        <f t="shared" ca="1" si="32"/>
        <v>128</v>
      </c>
      <c r="S183" s="56">
        <f t="shared" ca="1" si="33"/>
        <v>125</v>
      </c>
      <c r="T183" s="39">
        <f t="shared" ca="1" si="34"/>
        <v>687500</v>
      </c>
      <c r="U183" s="61">
        <f t="shared" ca="1" si="35"/>
        <v>0</v>
      </c>
      <c r="V183" s="62">
        <f t="shared" ca="1" si="36"/>
        <v>187500</v>
      </c>
      <c r="W183" s="14"/>
    </row>
    <row r="184" spans="11:23" x14ac:dyDescent="0.3">
      <c r="K184" s="40">
        <v>180</v>
      </c>
      <c r="L184" s="39">
        <f t="shared" ca="1" si="27"/>
        <v>0.96245019412279087</v>
      </c>
      <c r="M184" s="39">
        <f t="shared" ca="1" si="28"/>
        <v>220</v>
      </c>
      <c r="N184" s="39">
        <f t="shared" ca="1" si="29"/>
        <v>0.99217898117781844</v>
      </c>
      <c r="O184" s="39">
        <f t="shared" ca="1" si="29"/>
        <v>0.25548359003892485</v>
      </c>
      <c r="P184" s="67">
        <f t="shared" ca="1" si="30"/>
        <v>0.32476625712167434</v>
      </c>
      <c r="Q184" s="56">
        <f t="shared" ca="1" si="31"/>
        <v>148.55142343323166</v>
      </c>
      <c r="R184" s="56">
        <f t="shared" ca="1" si="32"/>
        <v>149</v>
      </c>
      <c r="S184" s="56">
        <f t="shared" ca="1" si="33"/>
        <v>125</v>
      </c>
      <c r="T184" s="39">
        <f t="shared" ca="1" si="34"/>
        <v>687500</v>
      </c>
      <c r="U184" s="61">
        <f t="shared" ca="1" si="35"/>
        <v>0</v>
      </c>
      <c r="V184" s="62">
        <f t="shared" ca="1" si="36"/>
        <v>187500</v>
      </c>
      <c r="W184" s="14"/>
    </row>
    <row r="185" spans="11:23" x14ac:dyDescent="0.3">
      <c r="K185" s="40">
        <v>181</v>
      </c>
      <c r="L185" s="39">
        <f t="shared" ca="1" si="27"/>
        <v>0.69433325425648973</v>
      </c>
      <c r="M185" s="39">
        <f t="shared" ca="1" si="28"/>
        <v>200</v>
      </c>
      <c r="N185" s="39">
        <f t="shared" ca="1" si="29"/>
        <v>4.9726806824071712E-2</v>
      </c>
      <c r="O185" s="39">
        <f t="shared" ca="1" si="29"/>
        <v>0.69431735350781809</v>
      </c>
      <c r="P185" s="67">
        <f t="shared" ca="1" si="30"/>
        <v>0.27440441603318899</v>
      </c>
      <c r="Q185" s="56">
        <f t="shared" ca="1" si="31"/>
        <v>145.1191167933622</v>
      </c>
      <c r="R185" s="56">
        <f t="shared" ca="1" si="32"/>
        <v>146</v>
      </c>
      <c r="S185" s="56">
        <f t="shared" ca="1" si="33"/>
        <v>125</v>
      </c>
      <c r="T185" s="39">
        <f t="shared" ca="1" si="34"/>
        <v>687500</v>
      </c>
      <c r="U185" s="61">
        <f t="shared" ca="1" si="35"/>
        <v>0</v>
      </c>
      <c r="V185" s="62">
        <f t="shared" ca="1" si="36"/>
        <v>187500</v>
      </c>
      <c r="W185" s="14"/>
    </row>
    <row r="186" spans="11:23" x14ac:dyDescent="0.3">
      <c r="K186" s="40">
        <v>182</v>
      </c>
      <c r="L186" s="39">
        <f t="shared" ca="1" si="27"/>
        <v>9.3855442324268679E-2</v>
      </c>
      <c r="M186" s="39">
        <f t="shared" ca="1" si="28"/>
        <v>140</v>
      </c>
      <c r="N186" s="39">
        <f t="shared" ca="1" si="29"/>
        <v>0.46217503607433896</v>
      </c>
      <c r="O186" s="39">
        <f t="shared" ca="1" si="29"/>
        <v>0.87731795306809768</v>
      </c>
      <c r="P186" s="67">
        <f t="shared" ca="1" si="30"/>
        <v>0.33394929891424369</v>
      </c>
      <c r="Q186" s="56">
        <f t="shared" ca="1" si="31"/>
        <v>93.24709815200589</v>
      </c>
      <c r="R186" s="56">
        <f t="shared" ca="1" si="32"/>
        <v>94</v>
      </c>
      <c r="S186" s="56">
        <f t="shared" ca="1" si="33"/>
        <v>94</v>
      </c>
      <c r="T186" s="39">
        <f t="shared" ca="1" si="34"/>
        <v>517000</v>
      </c>
      <c r="U186" s="61">
        <f t="shared" ca="1" si="35"/>
        <v>62000</v>
      </c>
      <c r="V186" s="62">
        <f t="shared" ca="1" si="36"/>
        <v>79000</v>
      </c>
      <c r="W186" s="14"/>
    </row>
    <row r="187" spans="11:23" x14ac:dyDescent="0.3">
      <c r="K187" s="40">
        <v>183</v>
      </c>
      <c r="L187" s="39">
        <f t="shared" ca="1" si="27"/>
        <v>0.90489371022947374</v>
      </c>
      <c r="M187" s="39">
        <f t="shared" ca="1" si="28"/>
        <v>220</v>
      </c>
      <c r="N187" s="39">
        <f t="shared" ca="1" si="29"/>
        <v>0.76169976751834845</v>
      </c>
      <c r="O187" s="39">
        <f t="shared" ca="1" si="29"/>
        <v>0.75986692205744732</v>
      </c>
      <c r="P187" s="67">
        <f t="shared" ca="1" si="30"/>
        <v>0.35215666895757958</v>
      </c>
      <c r="Q187" s="56">
        <f t="shared" ca="1" si="31"/>
        <v>142.52553282933249</v>
      </c>
      <c r="R187" s="56">
        <f t="shared" ca="1" si="32"/>
        <v>143</v>
      </c>
      <c r="S187" s="56">
        <f t="shared" ca="1" si="33"/>
        <v>125</v>
      </c>
      <c r="T187" s="39">
        <f t="shared" ca="1" si="34"/>
        <v>687500</v>
      </c>
      <c r="U187" s="61">
        <f t="shared" ca="1" si="35"/>
        <v>0</v>
      </c>
      <c r="V187" s="62">
        <f t="shared" ca="1" si="36"/>
        <v>187500</v>
      </c>
      <c r="W187" s="14"/>
    </row>
    <row r="188" spans="11:23" x14ac:dyDescent="0.3">
      <c r="K188" s="40">
        <v>184</v>
      </c>
      <c r="L188" s="39">
        <f t="shared" ca="1" si="27"/>
        <v>0.31521928930507737</v>
      </c>
      <c r="M188" s="39">
        <f t="shared" ca="1" si="28"/>
        <v>160</v>
      </c>
      <c r="N188" s="39">
        <f t="shared" ca="1" si="29"/>
        <v>0.88111495699879638</v>
      </c>
      <c r="O188" s="39">
        <f t="shared" ca="1" si="29"/>
        <v>0.7187214943836997</v>
      </c>
      <c r="P188" s="67">
        <f t="shared" ca="1" si="30"/>
        <v>0.35998364513824965</v>
      </c>
      <c r="Q188" s="56">
        <f t="shared" ca="1" si="31"/>
        <v>102.40261677788006</v>
      </c>
      <c r="R188" s="56">
        <f t="shared" ca="1" si="32"/>
        <v>103</v>
      </c>
      <c r="S188" s="56">
        <f t="shared" ca="1" si="33"/>
        <v>103</v>
      </c>
      <c r="T188" s="39">
        <f t="shared" ca="1" si="34"/>
        <v>566500</v>
      </c>
      <c r="U188" s="61">
        <f t="shared" ca="1" si="35"/>
        <v>44000</v>
      </c>
      <c r="V188" s="62">
        <f t="shared" ca="1" si="36"/>
        <v>110500</v>
      </c>
      <c r="W188" s="14"/>
    </row>
    <row r="189" spans="11:23" x14ac:dyDescent="0.3">
      <c r="K189" s="40">
        <v>185</v>
      </c>
      <c r="L189" s="39">
        <f t="shared" ca="1" si="27"/>
        <v>0.58714346197183642</v>
      </c>
      <c r="M189" s="39">
        <f t="shared" ca="1" si="28"/>
        <v>180</v>
      </c>
      <c r="N189" s="39">
        <f t="shared" ca="1" si="29"/>
        <v>5.2669362218545901E-2</v>
      </c>
      <c r="O189" s="39">
        <f t="shared" ca="1" si="29"/>
        <v>0.98017115580757874</v>
      </c>
      <c r="P189" s="67">
        <f t="shared" ca="1" si="30"/>
        <v>0.30328405180261248</v>
      </c>
      <c r="Q189" s="56">
        <f t="shared" ca="1" si="31"/>
        <v>125.40887067552976</v>
      </c>
      <c r="R189" s="56">
        <f t="shared" ca="1" si="32"/>
        <v>126</v>
      </c>
      <c r="S189" s="56">
        <f t="shared" ca="1" si="33"/>
        <v>125</v>
      </c>
      <c r="T189" s="39">
        <f t="shared" ca="1" si="34"/>
        <v>687500</v>
      </c>
      <c r="U189" s="61">
        <f t="shared" ca="1" si="35"/>
        <v>0</v>
      </c>
      <c r="V189" s="62">
        <f t="shared" ca="1" si="36"/>
        <v>187500</v>
      </c>
      <c r="W189" s="14"/>
    </row>
    <row r="190" spans="11:23" x14ac:dyDescent="0.3">
      <c r="K190" s="40">
        <v>186</v>
      </c>
      <c r="L190" s="39">
        <f t="shared" ca="1" si="27"/>
        <v>0.14460331358858391</v>
      </c>
      <c r="M190" s="39">
        <f t="shared" ca="1" si="28"/>
        <v>140</v>
      </c>
      <c r="N190" s="39">
        <f t="shared" ca="1" si="29"/>
        <v>0.35614457022805723</v>
      </c>
      <c r="O190" s="39">
        <f t="shared" ca="1" si="29"/>
        <v>0.71332848059207621</v>
      </c>
      <c r="P190" s="67">
        <f t="shared" ca="1" si="30"/>
        <v>0.30694730508201334</v>
      </c>
      <c r="Q190" s="56">
        <f t="shared" ca="1" si="31"/>
        <v>97.027377288518124</v>
      </c>
      <c r="R190" s="56">
        <f t="shared" ca="1" si="32"/>
        <v>98</v>
      </c>
      <c r="S190" s="56">
        <f t="shared" ca="1" si="33"/>
        <v>98</v>
      </c>
      <c r="T190" s="39">
        <f t="shared" ca="1" si="34"/>
        <v>539000</v>
      </c>
      <c r="U190" s="61">
        <f t="shared" ca="1" si="35"/>
        <v>54000</v>
      </c>
      <c r="V190" s="62">
        <f t="shared" ca="1" si="36"/>
        <v>93000</v>
      </c>
      <c r="W190" s="14"/>
    </row>
    <row r="191" spans="11:23" x14ac:dyDescent="0.3">
      <c r="K191" s="40">
        <v>187</v>
      </c>
      <c r="L191" s="39">
        <f t="shared" ca="1" si="27"/>
        <v>0.30990500311174507</v>
      </c>
      <c r="M191" s="39">
        <f t="shared" ca="1" si="28"/>
        <v>160</v>
      </c>
      <c r="N191" s="39">
        <f t="shared" ca="1" si="29"/>
        <v>0.55334311773569156</v>
      </c>
      <c r="O191" s="39">
        <f t="shared" ca="1" si="29"/>
        <v>0.41589419197470456</v>
      </c>
      <c r="P191" s="67">
        <f t="shared" ca="1" si="30"/>
        <v>0.29692373097103963</v>
      </c>
      <c r="Q191" s="56">
        <f t="shared" ca="1" si="31"/>
        <v>112.49220304463365</v>
      </c>
      <c r="R191" s="56">
        <f t="shared" ca="1" si="32"/>
        <v>113</v>
      </c>
      <c r="S191" s="56">
        <f t="shared" ca="1" si="33"/>
        <v>113</v>
      </c>
      <c r="T191" s="39">
        <f t="shared" ca="1" si="34"/>
        <v>621500</v>
      </c>
      <c r="U191" s="61">
        <f t="shared" ca="1" si="35"/>
        <v>24000</v>
      </c>
      <c r="V191" s="62">
        <f t="shared" ca="1" si="36"/>
        <v>145500</v>
      </c>
      <c r="W191" s="14"/>
    </row>
    <row r="192" spans="11:23" x14ac:dyDescent="0.3">
      <c r="K192" s="40">
        <v>188</v>
      </c>
      <c r="L192" s="39">
        <f t="shared" ca="1" si="27"/>
        <v>0.29208623671176925</v>
      </c>
      <c r="M192" s="39">
        <f t="shared" ca="1" si="28"/>
        <v>140</v>
      </c>
      <c r="N192" s="39">
        <f t="shared" ca="1" si="29"/>
        <v>0.60695413437854839</v>
      </c>
      <c r="O192" s="39">
        <f t="shared" ca="1" si="29"/>
        <v>0.89797178497816665</v>
      </c>
      <c r="P192" s="67">
        <f t="shared" ca="1" si="30"/>
        <v>0.3504925919356715</v>
      </c>
      <c r="Q192" s="56">
        <f t="shared" ca="1" si="31"/>
        <v>90.931037129005986</v>
      </c>
      <c r="R192" s="56">
        <f t="shared" ca="1" si="32"/>
        <v>91</v>
      </c>
      <c r="S192" s="56">
        <f t="shared" ca="1" si="33"/>
        <v>91</v>
      </c>
      <c r="T192" s="39">
        <f t="shared" ca="1" si="34"/>
        <v>500500</v>
      </c>
      <c r="U192" s="61">
        <f t="shared" ca="1" si="35"/>
        <v>68000</v>
      </c>
      <c r="V192" s="62">
        <f t="shared" ca="1" si="36"/>
        <v>68500</v>
      </c>
      <c r="W192" s="14"/>
    </row>
    <row r="193" spans="11:23" x14ac:dyDescent="0.3">
      <c r="K193" s="40">
        <v>189</v>
      </c>
      <c r="L193" s="39">
        <f t="shared" ca="1" si="27"/>
        <v>0.73262452521191024</v>
      </c>
      <c r="M193" s="39">
        <f t="shared" ca="1" si="28"/>
        <v>200</v>
      </c>
      <c r="N193" s="39">
        <f t="shared" ca="1" si="29"/>
        <v>0.79456106929677195</v>
      </c>
      <c r="O193" s="39">
        <f t="shared" ca="1" si="29"/>
        <v>0.44422676624818414</v>
      </c>
      <c r="P193" s="67">
        <f t="shared" ca="1" si="30"/>
        <v>0.32387878355449562</v>
      </c>
      <c r="Q193" s="56">
        <f t="shared" ca="1" si="31"/>
        <v>135.22424328910088</v>
      </c>
      <c r="R193" s="56">
        <f t="shared" ca="1" si="32"/>
        <v>136</v>
      </c>
      <c r="S193" s="56">
        <f t="shared" ca="1" si="33"/>
        <v>125</v>
      </c>
      <c r="T193" s="39">
        <f t="shared" ca="1" si="34"/>
        <v>687500</v>
      </c>
      <c r="U193" s="61">
        <f t="shared" ca="1" si="35"/>
        <v>0</v>
      </c>
      <c r="V193" s="62">
        <f t="shared" ca="1" si="36"/>
        <v>187500</v>
      </c>
      <c r="W193" s="14"/>
    </row>
    <row r="194" spans="11:23" x14ac:dyDescent="0.3">
      <c r="K194" s="40">
        <v>190</v>
      </c>
      <c r="L194" s="39">
        <f t="shared" ca="1" si="27"/>
        <v>0.58578634173827959</v>
      </c>
      <c r="M194" s="39">
        <f t="shared" ca="1" si="28"/>
        <v>180</v>
      </c>
      <c r="N194" s="39">
        <f t="shared" ca="1" si="29"/>
        <v>0.12152597954885247</v>
      </c>
      <c r="O194" s="39">
        <f t="shared" ca="1" si="29"/>
        <v>0.21445935343563438</v>
      </c>
      <c r="P194" s="67">
        <f t="shared" ca="1" si="30"/>
        <v>0.23359853329844871</v>
      </c>
      <c r="Q194" s="56">
        <f t="shared" ca="1" si="31"/>
        <v>137.95226400627922</v>
      </c>
      <c r="R194" s="56">
        <f t="shared" ca="1" si="32"/>
        <v>138</v>
      </c>
      <c r="S194" s="56">
        <f t="shared" ca="1" si="33"/>
        <v>125</v>
      </c>
      <c r="T194" s="39">
        <f t="shared" ca="1" si="34"/>
        <v>687500</v>
      </c>
      <c r="U194" s="61">
        <f t="shared" ca="1" si="35"/>
        <v>0</v>
      </c>
      <c r="V194" s="62">
        <f t="shared" ca="1" si="36"/>
        <v>187500</v>
      </c>
      <c r="W194" s="14"/>
    </row>
    <row r="195" spans="11:23" x14ac:dyDescent="0.3">
      <c r="K195" s="40">
        <v>191</v>
      </c>
      <c r="L195" s="39">
        <f t="shared" ca="1" si="27"/>
        <v>0.85192146334854102</v>
      </c>
      <c r="M195" s="39">
        <f t="shared" ca="1" si="28"/>
        <v>200</v>
      </c>
      <c r="N195" s="39">
        <f t="shared" ca="1" si="29"/>
        <v>0.24897415731745964</v>
      </c>
      <c r="O195" s="39">
        <f t="shared" ca="1" si="29"/>
        <v>0.73823651406052404</v>
      </c>
      <c r="P195" s="67">
        <f t="shared" ca="1" si="30"/>
        <v>0.29872106713779839</v>
      </c>
      <c r="Q195" s="56">
        <f t="shared" ca="1" si="31"/>
        <v>140.25578657244031</v>
      </c>
      <c r="R195" s="56">
        <f t="shared" ca="1" si="32"/>
        <v>141</v>
      </c>
      <c r="S195" s="56">
        <f t="shared" ca="1" si="33"/>
        <v>125</v>
      </c>
      <c r="T195" s="39">
        <f t="shared" ca="1" si="34"/>
        <v>687500</v>
      </c>
      <c r="U195" s="61">
        <f t="shared" ca="1" si="35"/>
        <v>0</v>
      </c>
      <c r="V195" s="62">
        <f t="shared" ca="1" si="36"/>
        <v>187500</v>
      </c>
      <c r="W195" s="14"/>
    </row>
    <row r="196" spans="11:23" x14ac:dyDescent="0.3">
      <c r="K196" s="40">
        <v>192</v>
      </c>
      <c r="L196" s="39">
        <f t="shared" ca="1" si="27"/>
        <v>0.51220862464664807</v>
      </c>
      <c r="M196" s="39">
        <f t="shared" ca="1" si="28"/>
        <v>180</v>
      </c>
      <c r="N196" s="39">
        <f t="shared" ca="1" si="29"/>
        <v>0.62751527383020589</v>
      </c>
      <c r="O196" s="39">
        <f t="shared" ca="1" si="29"/>
        <v>0.20461648707940716</v>
      </c>
      <c r="P196" s="67">
        <f t="shared" ca="1" si="30"/>
        <v>0.2832131760909613</v>
      </c>
      <c r="Q196" s="56">
        <f t="shared" ca="1" si="31"/>
        <v>129.02162830362698</v>
      </c>
      <c r="R196" s="56">
        <f t="shared" ca="1" si="32"/>
        <v>130</v>
      </c>
      <c r="S196" s="56">
        <f t="shared" ca="1" si="33"/>
        <v>125</v>
      </c>
      <c r="T196" s="39">
        <f t="shared" ca="1" si="34"/>
        <v>687500</v>
      </c>
      <c r="U196" s="61">
        <f t="shared" ca="1" si="35"/>
        <v>0</v>
      </c>
      <c r="V196" s="62">
        <f t="shared" ca="1" si="36"/>
        <v>187500</v>
      </c>
      <c r="W196" s="14"/>
    </row>
    <row r="197" spans="11:23" x14ac:dyDescent="0.3">
      <c r="K197" s="40">
        <v>193</v>
      </c>
      <c r="L197" s="39">
        <f t="shared" ca="1" si="27"/>
        <v>0.33288794348696549</v>
      </c>
      <c r="M197" s="39">
        <f t="shared" ca="1" si="28"/>
        <v>160</v>
      </c>
      <c r="N197" s="39">
        <f t="shared" ca="1" si="29"/>
        <v>0.79983496453814829</v>
      </c>
      <c r="O197" s="39">
        <f t="shared" ca="1" si="29"/>
        <v>0.54041786507295275</v>
      </c>
      <c r="P197" s="67">
        <f t="shared" ca="1" si="30"/>
        <v>0.33402528296111011</v>
      </c>
      <c r="Q197" s="56">
        <f t="shared" ca="1" si="31"/>
        <v>106.55595472622238</v>
      </c>
      <c r="R197" s="56">
        <f t="shared" ca="1" si="32"/>
        <v>107</v>
      </c>
      <c r="S197" s="56">
        <f t="shared" ca="1" si="33"/>
        <v>107</v>
      </c>
      <c r="T197" s="39">
        <f t="shared" ca="1" si="34"/>
        <v>588500</v>
      </c>
      <c r="U197" s="61">
        <f t="shared" ca="1" si="35"/>
        <v>36000</v>
      </c>
      <c r="V197" s="62">
        <f t="shared" ca="1" si="36"/>
        <v>124500</v>
      </c>
      <c r="W197" s="14"/>
    </row>
    <row r="198" spans="11:23" x14ac:dyDescent="0.3">
      <c r="K198" s="40">
        <v>194</v>
      </c>
      <c r="L198" s="39">
        <f t="shared" ref="L198:L204" ca="1" si="37">RAND()</f>
        <v>0.96785969152919815</v>
      </c>
      <c r="M198" s="39">
        <f t="shared" ref="M198:M204" ca="1" si="38">VLOOKUP(L198,$C$5:$E$9,3,TRUE)</f>
        <v>220</v>
      </c>
      <c r="N198" s="39">
        <f t="shared" ref="N198:O204" ca="1" si="39">RAND()</f>
        <v>0.32400696734599155</v>
      </c>
      <c r="O198" s="39">
        <f t="shared" ca="1" si="39"/>
        <v>0.35576785418522572</v>
      </c>
      <c r="P198" s="67">
        <f t="shared" ref="P198:P204" ca="1" si="40">$E$11+($E$12-$E$11)/2*(N198+O198)</f>
        <v>0.26797748215312173</v>
      </c>
      <c r="Q198" s="56">
        <f t="shared" ref="Q198:Q204" ca="1" si="41">M198-(M198*P198)</f>
        <v>161.04495392631321</v>
      </c>
      <c r="R198" s="56">
        <f t="shared" ref="R198:R204" ca="1" si="42">ROUNDUP(Q198,0)</f>
        <v>162</v>
      </c>
      <c r="S198" s="56">
        <f t="shared" ref="S198:S204" ca="1" si="43">MIN(R198,$M$1)</f>
        <v>125</v>
      </c>
      <c r="T198" s="39">
        <f t="shared" ref="T198:T204" ca="1" si="44">S198*$B$14</f>
        <v>687500</v>
      </c>
      <c r="U198" s="61">
        <f t="shared" ref="U198:U204" ca="1" si="45">($M$1-S198)*$B$15</f>
        <v>0</v>
      </c>
      <c r="V198" s="62">
        <f t="shared" ref="V198:V204" ca="1" si="46">U198+T198-$M$2</f>
        <v>187500</v>
      </c>
      <c r="W198" s="14"/>
    </row>
    <row r="199" spans="11:23" x14ac:dyDescent="0.3">
      <c r="K199" s="40">
        <v>195</v>
      </c>
      <c r="L199" s="39">
        <f t="shared" ca="1" si="37"/>
        <v>0.43791473706470374</v>
      </c>
      <c r="M199" s="39">
        <f t="shared" ca="1" si="38"/>
        <v>160</v>
      </c>
      <c r="N199" s="39">
        <f t="shared" ca="1" si="39"/>
        <v>2.4071753438780874E-2</v>
      </c>
      <c r="O199" s="39">
        <f t="shared" ca="1" si="39"/>
        <v>0.77300266899719217</v>
      </c>
      <c r="P199" s="67">
        <f t="shared" ca="1" si="40"/>
        <v>0.27970744224359734</v>
      </c>
      <c r="Q199" s="56">
        <f t="shared" ca="1" si="41"/>
        <v>115.24680924102442</v>
      </c>
      <c r="R199" s="56">
        <f t="shared" ca="1" si="42"/>
        <v>116</v>
      </c>
      <c r="S199" s="56">
        <f t="shared" ca="1" si="43"/>
        <v>116</v>
      </c>
      <c r="T199" s="39">
        <f t="shared" ca="1" si="44"/>
        <v>638000</v>
      </c>
      <c r="U199" s="61">
        <f t="shared" ca="1" si="45"/>
        <v>18000</v>
      </c>
      <c r="V199" s="62">
        <f t="shared" ca="1" si="46"/>
        <v>156000</v>
      </c>
      <c r="W199" s="14"/>
    </row>
    <row r="200" spans="11:23" x14ac:dyDescent="0.3">
      <c r="K200" s="40">
        <v>196</v>
      </c>
      <c r="L200" s="39">
        <f t="shared" ca="1" si="37"/>
        <v>0.55180335704641448</v>
      </c>
      <c r="M200" s="39">
        <f t="shared" ca="1" si="38"/>
        <v>180</v>
      </c>
      <c r="N200" s="39">
        <f t="shared" ca="1" si="39"/>
        <v>0.87440556844189432</v>
      </c>
      <c r="O200" s="39">
        <f t="shared" ca="1" si="39"/>
        <v>0.33451973663234624</v>
      </c>
      <c r="P200" s="67">
        <f t="shared" ca="1" si="40"/>
        <v>0.32089253050742406</v>
      </c>
      <c r="Q200" s="56">
        <f t="shared" ca="1" si="41"/>
        <v>122.23934450866366</v>
      </c>
      <c r="R200" s="56">
        <f t="shared" ca="1" si="42"/>
        <v>123</v>
      </c>
      <c r="S200" s="56">
        <f t="shared" ca="1" si="43"/>
        <v>123</v>
      </c>
      <c r="T200" s="39">
        <f t="shared" ca="1" si="44"/>
        <v>676500</v>
      </c>
      <c r="U200" s="61">
        <f t="shared" ca="1" si="45"/>
        <v>4000</v>
      </c>
      <c r="V200" s="62">
        <f t="shared" ca="1" si="46"/>
        <v>180500</v>
      </c>
      <c r="W200" s="14"/>
    </row>
    <row r="201" spans="11:23" x14ac:dyDescent="0.3">
      <c r="K201" s="40">
        <v>197</v>
      </c>
      <c r="L201" s="39">
        <f t="shared" ca="1" si="37"/>
        <v>1.8130119835280456E-2</v>
      </c>
      <c r="M201" s="39">
        <f t="shared" ca="1" si="38"/>
        <v>140</v>
      </c>
      <c r="N201" s="39">
        <f t="shared" ca="1" si="39"/>
        <v>0.16492982145874802</v>
      </c>
      <c r="O201" s="39">
        <f t="shared" ca="1" si="39"/>
        <v>0.85154897979256339</v>
      </c>
      <c r="P201" s="67">
        <f t="shared" ca="1" si="40"/>
        <v>0.30164788012513116</v>
      </c>
      <c r="Q201" s="56">
        <f t="shared" ca="1" si="41"/>
        <v>97.769296782481632</v>
      </c>
      <c r="R201" s="56">
        <f t="shared" ca="1" si="42"/>
        <v>98</v>
      </c>
      <c r="S201" s="56">
        <f t="shared" ca="1" si="43"/>
        <v>98</v>
      </c>
      <c r="T201" s="39">
        <f t="shared" ca="1" si="44"/>
        <v>539000</v>
      </c>
      <c r="U201" s="61">
        <f t="shared" ca="1" si="45"/>
        <v>54000</v>
      </c>
      <c r="V201" s="62">
        <f t="shared" ca="1" si="46"/>
        <v>93000</v>
      </c>
      <c r="W201" s="14"/>
    </row>
    <row r="202" spans="11:23" x14ac:dyDescent="0.3">
      <c r="K202" s="40">
        <v>198</v>
      </c>
      <c r="L202" s="39">
        <f t="shared" ca="1" si="37"/>
        <v>0.32955621943595625</v>
      </c>
      <c r="M202" s="39">
        <f t="shared" ca="1" si="38"/>
        <v>160</v>
      </c>
      <c r="N202" s="39">
        <f t="shared" ca="1" si="39"/>
        <v>0.80825872612854299</v>
      </c>
      <c r="O202" s="39">
        <f t="shared" ca="1" si="39"/>
        <v>0.74441607306423285</v>
      </c>
      <c r="P202" s="67">
        <f t="shared" ca="1" si="40"/>
        <v>0.3552674799192776</v>
      </c>
      <c r="Q202" s="56">
        <f t="shared" ca="1" si="41"/>
        <v>103.15720321291559</v>
      </c>
      <c r="R202" s="56">
        <f t="shared" ca="1" si="42"/>
        <v>104</v>
      </c>
      <c r="S202" s="56">
        <f t="shared" ca="1" si="43"/>
        <v>104</v>
      </c>
      <c r="T202" s="39">
        <f t="shared" ca="1" si="44"/>
        <v>572000</v>
      </c>
      <c r="U202" s="61">
        <f t="shared" ca="1" si="45"/>
        <v>42000</v>
      </c>
      <c r="V202" s="62">
        <f t="shared" ca="1" si="46"/>
        <v>114000</v>
      </c>
      <c r="W202" s="14"/>
    </row>
    <row r="203" spans="11:23" x14ac:dyDescent="0.3">
      <c r="K203" s="40">
        <v>199</v>
      </c>
      <c r="L203" s="39">
        <f t="shared" ca="1" si="37"/>
        <v>0.28918434563117545</v>
      </c>
      <c r="M203" s="39">
        <f t="shared" ca="1" si="38"/>
        <v>140</v>
      </c>
      <c r="N203" s="39">
        <f t="shared" ca="1" si="39"/>
        <v>0.601675539683032</v>
      </c>
      <c r="O203" s="39">
        <f t="shared" ca="1" si="39"/>
        <v>3.2879182023382691E-2</v>
      </c>
      <c r="P203" s="67">
        <f t="shared" ca="1" si="40"/>
        <v>0.26345547217064147</v>
      </c>
      <c r="Q203" s="56">
        <f t="shared" ca="1" si="41"/>
        <v>103.1162338961102</v>
      </c>
      <c r="R203" s="56">
        <f t="shared" ca="1" si="42"/>
        <v>104</v>
      </c>
      <c r="S203" s="56">
        <f t="shared" ca="1" si="43"/>
        <v>104</v>
      </c>
      <c r="T203" s="39">
        <f t="shared" ca="1" si="44"/>
        <v>572000</v>
      </c>
      <c r="U203" s="61">
        <f t="shared" ca="1" si="45"/>
        <v>42000</v>
      </c>
      <c r="V203" s="62">
        <f t="shared" ca="1" si="46"/>
        <v>114000</v>
      </c>
      <c r="W203" s="14"/>
    </row>
    <row r="204" spans="11:23" x14ac:dyDescent="0.3">
      <c r="K204" s="41">
        <v>200</v>
      </c>
      <c r="L204" s="39">
        <f t="shared" ca="1" si="37"/>
        <v>0.68436419415402017</v>
      </c>
      <c r="M204" s="39">
        <f t="shared" ca="1" si="38"/>
        <v>200</v>
      </c>
      <c r="N204" s="39">
        <f t="shared" ca="1" si="39"/>
        <v>0.82986026636547949</v>
      </c>
      <c r="O204" s="39">
        <f t="shared" ca="1" si="39"/>
        <v>0.52134254922164847</v>
      </c>
      <c r="P204" s="67">
        <f t="shared" ca="1" si="40"/>
        <v>0.33512028155871276</v>
      </c>
      <c r="Q204" s="56">
        <f t="shared" ca="1" si="41"/>
        <v>132.97594368825744</v>
      </c>
      <c r="R204" s="56">
        <f t="shared" ca="1" si="42"/>
        <v>133</v>
      </c>
      <c r="S204" s="56">
        <f t="shared" ca="1" si="43"/>
        <v>125</v>
      </c>
      <c r="T204" s="39">
        <f t="shared" ca="1" si="44"/>
        <v>687500</v>
      </c>
      <c r="U204" s="61">
        <f t="shared" ca="1" si="45"/>
        <v>0</v>
      </c>
      <c r="V204" s="62">
        <f t="shared" ca="1" si="46"/>
        <v>187500</v>
      </c>
      <c r="W204" s="14"/>
    </row>
    <row r="205" spans="11:23" x14ac:dyDescent="0.3">
      <c r="W205" s="15"/>
    </row>
    <row r="206" spans="11:23" x14ac:dyDescent="0.3">
      <c r="U206"/>
      <c r="V206"/>
      <c r="W206"/>
    </row>
    <row r="207" spans="11:23" x14ac:dyDescent="0.3">
      <c r="U207"/>
      <c r="V207"/>
      <c r="W207"/>
    </row>
    <row r="208" spans="11:23" x14ac:dyDescent="0.3">
      <c r="U208"/>
      <c r="V208"/>
      <c r="W208"/>
    </row>
    <row r="209" spans="21:23" x14ac:dyDescent="0.3">
      <c r="U209"/>
      <c r="V209"/>
      <c r="W209"/>
    </row>
    <row r="210" spans="21:23" x14ac:dyDescent="0.3">
      <c r="U210"/>
      <c r="V210"/>
      <c r="W210"/>
    </row>
    <row r="211" spans="21:23" x14ac:dyDescent="0.3">
      <c r="U211"/>
      <c r="V211"/>
      <c r="W211"/>
    </row>
    <row r="212" spans="21:23" x14ac:dyDescent="0.3">
      <c r="U212"/>
      <c r="V212"/>
      <c r="W212"/>
    </row>
    <row r="213" spans="21:23" x14ac:dyDescent="0.3">
      <c r="U213"/>
      <c r="V213"/>
      <c r="W213"/>
    </row>
    <row r="214" spans="21:23" x14ac:dyDescent="0.3">
      <c r="U214"/>
      <c r="V214"/>
      <c r="W214"/>
    </row>
    <row r="215" spans="21:23" x14ac:dyDescent="0.3">
      <c r="U215"/>
      <c r="V215"/>
      <c r="W215"/>
    </row>
    <row r="216" spans="21:23" x14ac:dyDescent="0.3">
      <c r="U216"/>
      <c r="V216"/>
      <c r="W216"/>
    </row>
    <row r="217" spans="21:23" x14ac:dyDescent="0.3">
      <c r="U217"/>
      <c r="V217"/>
      <c r="W217"/>
    </row>
  </sheetData>
  <mergeCells count="9">
    <mergeCell ref="A27:B27"/>
    <mergeCell ref="A24:B24"/>
    <mergeCell ref="AB4:AK4"/>
    <mergeCell ref="A20:B20"/>
    <mergeCell ref="A21:B21"/>
    <mergeCell ref="A25:B25"/>
    <mergeCell ref="A26:B26"/>
    <mergeCell ref="A23:B23"/>
    <mergeCell ref="A22:B22"/>
  </mergeCells>
  <phoneticPr fontId="0" type="noConversion"/>
  <pageMargins left="0.75" right="0.75" top="1" bottom="1" header="0.5" footer="0.5"/>
  <pageSetup paperSize="9" orientation="portrait" horizontalDpi="4294967294" verticalDpi="12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D0B1F-CA68-407C-95C1-DA7EB87AE113}">
  <dimension ref="A1:AL217"/>
  <sheetViews>
    <sheetView zoomScale="82" zoomScaleNormal="82" workbookViewId="0">
      <selection activeCell="H18" sqref="H18"/>
    </sheetView>
  </sheetViews>
  <sheetFormatPr defaultRowHeight="15.6" x14ac:dyDescent="0.3"/>
  <cols>
    <col min="1" max="1" width="16.69921875" customWidth="1"/>
    <col min="2" max="2" width="12.69921875" customWidth="1"/>
    <col min="3" max="3" width="15.5" customWidth="1"/>
    <col min="4" max="4" width="12.796875" customWidth="1"/>
    <col min="5" max="5" width="10" customWidth="1"/>
    <col min="11" max="11" width="12" style="7" customWidth="1"/>
    <col min="12" max="13" width="14.5" style="7" customWidth="1"/>
    <col min="14" max="14" width="14.09765625" style="7" customWidth="1"/>
    <col min="15" max="15" width="12.5" style="7" customWidth="1"/>
    <col min="16" max="16" width="11.69921875" style="7" customWidth="1"/>
    <col min="17" max="17" width="14.69921875" style="7" customWidth="1"/>
    <col min="18" max="18" width="12.5" style="7" customWidth="1"/>
    <col min="19" max="19" width="11.796875" style="7" customWidth="1"/>
    <col min="20" max="20" width="11.296875" style="7" customWidth="1"/>
    <col min="21" max="22" width="14.59765625" style="7" customWidth="1"/>
    <col min="23" max="23" width="20.09765625" style="7" customWidth="1"/>
    <col min="24" max="24" width="29.69921875" style="7" customWidth="1"/>
    <col min="25" max="25" width="13.59765625" style="7" customWidth="1"/>
    <col min="26" max="26" width="2.59765625" style="7" customWidth="1"/>
    <col min="27" max="27" width="15.796875" style="7" customWidth="1"/>
    <col min="28" max="28" width="17.19921875" style="7" customWidth="1"/>
    <col min="29" max="29" width="10.296875" style="7" customWidth="1"/>
    <col min="30" max="38" width="9" style="7" customWidth="1"/>
  </cols>
  <sheetData>
    <row r="1" spans="1:38" ht="23.4" thickBot="1" x14ac:dyDescent="0.45">
      <c r="A1" s="5" t="s">
        <v>36</v>
      </c>
      <c r="B1" s="5"/>
      <c r="C1" s="5"/>
      <c r="D1" s="5"/>
      <c r="E1" s="5"/>
      <c r="F1" s="6"/>
      <c r="G1" s="6"/>
      <c r="H1" s="6"/>
      <c r="I1" s="8"/>
      <c r="K1" s="34" t="s">
        <v>21</v>
      </c>
      <c r="L1" s="57" t="s">
        <v>22</v>
      </c>
      <c r="M1" s="58">
        <v>125</v>
      </c>
      <c r="N1" s="59" t="s">
        <v>48</v>
      </c>
    </row>
    <row r="2" spans="1:38" ht="16.2" thickBot="1" x14ac:dyDescent="0.35">
      <c r="A2" s="27"/>
      <c r="B2" s="27"/>
      <c r="C2" s="27"/>
      <c r="D2" s="27"/>
      <c r="E2" s="27"/>
      <c r="F2" s="27"/>
      <c r="G2" s="27"/>
      <c r="H2" s="27"/>
      <c r="I2" s="28"/>
      <c r="L2" s="60" t="s">
        <v>39</v>
      </c>
      <c r="M2" s="35">
        <f>M1*B13</f>
        <v>500000</v>
      </c>
      <c r="N2" s="36"/>
      <c r="O2" s="9"/>
      <c r="Q2" s="9"/>
      <c r="U2"/>
      <c r="V2"/>
      <c r="W2"/>
      <c r="X2"/>
      <c r="Y2"/>
      <c r="Z2"/>
      <c r="AA2"/>
    </row>
    <row r="3" spans="1:38" ht="16.2" thickBot="1" x14ac:dyDescent="0.35">
      <c r="A3" s="27"/>
      <c r="B3" s="27"/>
      <c r="C3" s="27"/>
      <c r="D3" s="29" t="s">
        <v>46</v>
      </c>
      <c r="E3" s="27"/>
      <c r="F3" s="27"/>
      <c r="G3" s="27"/>
      <c r="H3" s="27"/>
      <c r="I3" s="28"/>
      <c r="U3"/>
      <c r="V3"/>
      <c r="W3"/>
      <c r="X3"/>
      <c r="Y3"/>
      <c r="Z3"/>
      <c r="AA3"/>
      <c r="AB3" s="22"/>
    </row>
    <row r="4" spans="1:38" ht="63" thickBot="1" x14ac:dyDescent="0.35">
      <c r="A4" s="52" t="s">
        <v>4</v>
      </c>
      <c r="B4" s="30" t="s">
        <v>0</v>
      </c>
      <c r="C4" s="52" t="s">
        <v>5</v>
      </c>
      <c r="D4" s="52" t="s">
        <v>6</v>
      </c>
      <c r="E4" s="53" t="s">
        <v>7</v>
      </c>
      <c r="F4" s="27"/>
      <c r="G4" s="27"/>
      <c r="H4" s="27"/>
      <c r="I4" s="28"/>
      <c r="K4" s="12" t="s">
        <v>31</v>
      </c>
      <c r="L4" s="37" t="s">
        <v>23</v>
      </c>
      <c r="M4" s="37" t="s">
        <v>40</v>
      </c>
      <c r="N4" s="37" t="s">
        <v>32</v>
      </c>
      <c r="O4" s="37" t="s">
        <v>33</v>
      </c>
      <c r="P4" s="37" t="s">
        <v>37</v>
      </c>
      <c r="Q4" s="37" t="s">
        <v>41</v>
      </c>
      <c r="R4" s="37" t="s">
        <v>42</v>
      </c>
      <c r="S4" s="37" t="s">
        <v>44</v>
      </c>
      <c r="T4" s="37" t="s">
        <v>43</v>
      </c>
      <c r="U4" s="37" t="s">
        <v>45</v>
      </c>
      <c r="V4" s="70" t="s">
        <v>60</v>
      </c>
      <c r="W4" s="37" t="s">
        <v>59</v>
      </c>
      <c r="AB4" s="55" t="s">
        <v>24</v>
      </c>
      <c r="AC4" s="83" t="s">
        <v>25</v>
      </c>
      <c r="AD4" s="84"/>
      <c r="AE4" s="84"/>
      <c r="AF4" s="84"/>
      <c r="AG4" s="84"/>
      <c r="AH4" s="84"/>
      <c r="AI4" s="84"/>
      <c r="AJ4" s="84"/>
      <c r="AK4" s="84"/>
      <c r="AL4" s="85"/>
    </row>
    <row r="5" spans="1:38" ht="21.6" thickBot="1" x14ac:dyDescent="0.45">
      <c r="A5" s="31">
        <v>140</v>
      </c>
      <c r="B5" s="31">
        <v>0.3</v>
      </c>
      <c r="C5" s="31">
        <v>0</v>
      </c>
      <c r="D5" s="31">
        <v>0.3</v>
      </c>
      <c r="E5" s="31">
        <f>A5</f>
        <v>140</v>
      </c>
      <c r="F5" s="27"/>
      <c r="G5" s="27"/>
      <c r="H5" s="27"/>
      <c r="I5" s="28"/>
      <c r="K5" s="38">
        <v>1</v>
      </c>
      <c r="L5" s="39">
        <f ca="1">RAND()</f>
        <v>0.3945998690878082</v>
      </c>
      <c r="M5" s="39">
        <f ca="1">VLOOKUP(L5,$C$5:$E$9,3,TRUE)</f>
        <v>160</v>
      </c>
      <c r="N5" s="39">
        <f ca="1">RAND()</f>
        <v>0.68719679343297346</v>
      </c>
      <c r="O5" s="39">
        <f ca="1">RAND()</f>
        <v>0.88840858804972145</v>
      </c>
      <c r="P5" s="67">
        <f ca="1">$E$11+($E$12-$E$11)/2*(N5+O5)</f>
        <v>0.35756053814826949</v>
      </c>
      <c r="Q5" s="56">
        <f ca="1">M5-(M5*P5)</f>
        <v>102.79031389627688</v>
      </c>
      <c r="R5" s="56">
        <f ca="1">ROUNDUP(Q5,0)</f>
        <v>103</v>
      </c>
      <c r="S5" s="56">
        <f ca="1">MIN(R5,$M$1)</f>
        <v>103</v>
      </c>
      <c r="T5" s="39">
        <f ca="1">S5*$B$14</f>
        <v>566500</v>
      </c>
      <c r="U5" s="61">
        <f ca="1">($M$1-S5)*$B$15</f>
        <v>44000</v>
      </c>
      <c r="V5" s="61">
        <f ca="1">IF(R5&gt;$M$1,(R5-$M$1)*1500,0)</f>
        <v>0</v>
      </c>
      <c r="W5" s="62">
        <f ca="1">U5+T5-$M$2-V5</f>
        <v>110500</v>
      </c>
      <c r="AB5" s="66">
        <f ca="1">C21</f>
        <v>138637.5</v>
      </c>
      <c r="AC5" s="10">
        <v>80</v>
      </c>
      <c r="AD5" s="13">
        <v>90</v>
      </c>
      <c r="AE5" s="13">
        <v>100</v>
      </c>
      <c r="AF5" s="13">
        <v>110</v>
      </c>
      <c r="AG5" s="13">
        <v>120</v>
      </c>
      <c r="AH5" s="13">
        <v>130</v>
      </c>
      <c r="AI5" s="13">
        <v>140</v>
      </c>
      <c r="AJ5" s="13">
        <v>150</v>
      </c>
      <c r="AK5" s="13">
        <v>160</v>
      </c>
      <c r="AL5" s="13">
        <v>170</v>
      </c>
    </row>
    <row r="6" spans="1:38" ht="16.2" thickBot="1" x14ac:dyDescent="0.35">
      <c r="A6" s="31">
        <v>160</v>
      </c>
      <c r="B6" s="31">
        <v>0.2</v>
      </c>
      <c r="C6" s="31">
        <v>0.3</v>
      </c>
      <c r="D6" s="31">
        <v>0.5</v>
      </c>
      <c r="E6" s="31">
        <f t="shared" ref="E6:E9" si="0">A6</f>
        <v>160</v>
      </c>
      <c r="F6" s="27"/>
      <c r="G6" s="27"/>
      <c r="H6" s="27"/>
      <c r="I6" s="28"/>
      <c r="K6" s="40">
        <v>2</v>
      </c>
      <c r="L6" s="39">
        <f t="shared" ref="L6:L69" ca="1" si="1">RAND()</f>
        <v>0.90162527310243501</v>
      </c>
      <c r="M6" s="39">
        <f t="shared" ref="M6:M69" ca="1" si="2">VLOOKUP(L6,$C$5:$E$9,3,TRUE)</f>
        <v>220</v>
      </c>
      <c r="N6" s="39">
        <f t="shared" ref="N6:O69" ca="1" si="3">RAND()</f>
        <v>0.39238116560688119</v>
      </c>
      <c r="O6" s="39">
        <f t="shared" ca="1" si="3"/>
        <v>0.41532428029665391</v>
      </c>
      <c r="P6" s="67">
        <f t="shared" ref="P6:P69" ca="1" si="4">$E$11+($E$12-$E$11)/2*(N6+O6)</f>
        <v>0.28077054459035355</v>
      </c>
      <c r="Q6" s="56">
        <f t="shared" ref="Q6:Q69" ca="1" si="5">M6-(M6*P6)</f>
        <v>158.23048019012222</v>
      </c>
      <c r="R6" s="56">
        <f t="shared" ref="R6:R69" ca="1" si="6">ROUNDUP(Q6,0)</f>
        <v>159</v>
      </c>
      <c r="S6" s="56">
        <f t="shared" ref="S6:S69" ca="1" si="7">MIN(R6,$M$1)</f>
        <v>125</v>
      </c>
      <c r="T6" s="39">
        <f t="shared" ref="T6:T69" ca="1" si="8">S6*$B$14</f>
        <v>687500</v>
      </c>
      <c r="U6" s="61">
        <f t="shared" ref="U6:U69" ca="1" si="9">($M$1-S6)*$B$15</f>
        <v>0</v>
      </c>
      <c r="V6" s="61">
        <f t="shared" ref="V6:V69" ca="1" si="10">IF(R6&gt;$M$1,(R6-$M$1)*1500,0)</f>
        <v>51000</v>
      </c>
      <c r="W6" s="62">
        <f t="shared" ref="W6:W69" ca="1" si="11">U6+T6-$M$2-V6</f>
        <v>136500</v>
      </c>
      <c r="AB6" s="11">
        <v>1</v>
      </c>
      <c r="AC6">
        <f t="dataTable" ref="AC6:AL105" dt2D="1" dtr="1" r1="M1" r2="Y8" ca="1"/>
        <v>56640</v>
      </c>
      <c r="AD6">
        <v>85825</v>
      </c>
      <c r="AE6">
        <v>112002.5</v>
      </c>
      <c r="AF6">
        <v>130757.5</v>
      </c>
      <c r="AG6">
        <v>132675</v>
      </c>
      <c r="AH6">
        <v>137322.5</v>
      </c>
      <c r="AI6">
        <v>134385</v>
      </c>
      <c r="AJ6">
        <v>118257.5</v>
      </c>
      <c r="AK6">
        <v>110010</v>
      </c>
      <c r="AL6">
        <v>83025</v>
      </c>
    </row>
    <row r="7" spans="1:38" ht="16.2" thickBot="1" x14ac:dyDescent="0.35">
      <c r="A7" s="31">
        <v>180</v>
      </c>
      <c r="B7" s="31">
        <v>0.15</v>
      </c>
      <c r="C7" s="31">
        <v>0.5</v>
      </c>
      <c r="D7" s="31">
        <v>0.65</v>
      </c>
      <c r="E7" s="31">
        <f t="shared" si="0"/>
        <v>180</v>
      </c>
      <c r="F7" s="27"/>
      <c r="G7" s="27"/>
      <c r="H7" s="27"/>
      <c r="I7" s="28"/>
      <c r="K7" s="40">
        <v>3</v>
      </c>
      <c r="L7" s="39">
        <f t="shared" ca="1" si="1"/>
        <v>0.92106068358423232</v>
      </c>
      <c r="M7" s="39">
        <f t="shared" ca="1" si="2"/>
        <v>220</v>
      </c>
      <c r="N7" s="39">
        <f t="shared" ca="1" si="3"/>
        <v>0.25751480639049085</v>
      </c>
      <c r="O7" s="39">
        <f t="shared" ca="1" si="3"/>
        <v>0.84813274467616484</v>
      </c>
      <c r="P7" s="67">
        <f t="shared" ca="1" si="4"/>
        <v>0.31056475510666559</v>
      </c>
      <c r="Q7" s="56">
        <f t="shared" ca="1" si="5"/>
        <v>151.67575387653358</v>
      </c>
      <c r="R7" s="56">
        <f t="shared" ca="1" si="6"/>
        <v>152</v>
      </c>
      <c r="S7" s="56">
        <f t="shared" ca="1" si="7"/>
        <v>125</v>
      </c>
      <c r="T7" s="39">
        <f t="shared" ca="1" si="8"/>
        <v>687500</v>
      </c>
      <c r="U7" s="61">
        <f t="shared" ca="1" si="9"/>
        <v>0</v>
      </c>
      <c r="V7" s="61">
        <f t="shared" ca="1" si="10"/>
        <v>40500</v>
      </c>
      <c r="W7" s="62">
        <f t="shared" ca="1" si="11"/>
        <v>147000</v>
      </c>
      <c r="X7" s="14"/>
      <c r="AB7" s="11">
        <v>2</v>
      </c>
      <c r="AC7">
        <v>55500</v>
      </c>
      <c r="AD7">
        <v>86287.5</v>
      </c>
      <c r="AE7">
        <v>113885</v>
      </c>
      <c r="AF7">
        <v>128902.5</v>
      </c>
      <c r="AG7">
        <v>137905</v>
      </c>
      <c r="AH7">
        <v>133305</v>
      </c>
      <c r="AI7">
        <v>137730</v>
      </c>
      <c r="AJ7">
        <v>117737.5</v>
      </c>
      <c r="AK7">
        <v>105695</v>
      </c>
      <c r="AL7">
        <v>82672.5</v>
      </c>
    </row>
    <row r="8" spans="1:38" ht="16.2" thickBot="1" x14ac:dyDescent="0.35">
      <c r="A8" s="31">
        <v>200</v>
      </c>
      <c r="B8" s="31">
        <v>0.25</v>
      </c>
      <c r="C8" s="31">
        <v>0.65</v>
      </c>
      <c r="D8" s="31">
        <v>0.9</v>
      </c>
      <c r="E8" s="31">
        <f t="shared" si="0"/>
        <v>200</v>
      </c>
      <c r="F8" s="27"/>
      <c r="G8" s="27"/>
      <c r="H8" s="27"/>
      <c r="I8" s="28"/>
      <c r="K8" s="40">
        <v>4</v>
      </c>
      <c r="L8" s="39">
        <f t="shared" ca="1" si="1"/>
        <v>0.13047265742728031</v>
      </c>
      <c r="M8" s="39">
        <f t="shared" ca="1" si="2"/>
        <v>140</v>
      </c>
      <c r="N8" s="39">
        <f t="shared" ca="1" si="3"/>
        <v>0.65237251252476336</v>
      </c>
      <c r="O8" s="39">
        <f t="shared" ca="1" si="3"/>
        <v>0.29255722083819402</v>
      </c>
      <c r="P8" s="67">
        <f t="shared" ca="1" si="4"/>
        <v>0.29449297333629576</v>
      </c>
      <c r="Q8" s="56">
        <f t="shared" ca="1" si="5"/>
        <v>98.770983732918594</v>
      </c>
      <c r="R8" s="56">
        <f t="shared" ca="1" si="6"/>
        <v>99</v>
      </c>
      <c r="S8" s="56">
        <f t="shared" ca="1" si="7"/>
        <v>99</v>
      </c>
      <c r="T8" s="39">
        <f t="shared" ca="1" si="8"/>
        <v>544500</v>
      </c>
      <c r="U8" s="61">
        <f t="shared" ca="1" si="9"/>
        <v>52000</v>
      </c>
      <c r="V8" s="61">
        <f t="shared" ca="1" si="10"/>
        <v>0</v>
      </c>
      <c r="W8" s="62">
        <f t="shared" ca="1" si="11"/>
        <v>96500</v>
      </c>
      <c r="X8" s="14"/>
      <c r="AB8" s="11">
        <v>3</v>
      </c>
      <c r="AC8">
        <v>59175</v>
      </c>
      <c r="AD8">
        <v>91920</v>
      </c>
      <c r="AE8">
        <v>112185</v>
      </c>
      <c r="AF8">
        <v>130377.5</v>
      </c>
      <c r="AG8">
        <v>135725</v>
      </c>
      <c r="AH8">
        <v>136605</v>
      </c>
      <c r="AI8">
        <v>131785</v>
      </c>
      <c r="AJ8">
        <v>118760</v>
      </c>
      <c r="AK8">
        <v>104260</v>
      </c>
      <c r="AL8">
        <v>89012.5</v>
      </c>
    </row>
    <row r="9" spans="1:38" ht="16.2" thickBot="1" x14ac:dyDescent="0.35">
      <c r="A9" s="31">
        <v>220</v>
      </c>
      <c r="B9" s="31">
        <v>0.1</v>
      </c>
      <c r="C9" s="31">
        <v>0.9</v>
      </c>
      <c r="D9" s="31">
        <v>1</v>
      </c>
      <c r="E9" s="31">
        <f t="shared" si="0"/>
        <v>220</v>
      </c>
      <c r="F9" s="27"/>
      <c r="G9" s="27"/>
      <c r="H9" s="27"/>
      <c r="I9" s="28"/>
      <c r="K9" s="40">
        <v>5</v>
      </c>
      <c r="L9" s="39">
        <f t="shared" ca="1" si="1"/>
        <v>0.33564528529023363</v>
      </c>
      <c r="M9" s="39">
        <f t="shared" ca="1" si="2"/>
        <v>160</v>
      </c>
      <c r="N9" s="39">
        <f t="shared" ca="1" si="3"/>
        <v>1.3893982497191759E-3</v>
      </c>
      <c r="O9" s="39">
        <f t="shared" ca="1" si="3"/>
        <v>0.96225575577201727</v>
      </c>
      <c r="P9" s="67">
        <f t="shared" ca="1" si="4"/>
        <v>0.29636451540217368</v>
      </c>
      <c r="Q9" s="56">
        <f t="shared" ca="1" si="5"/>
        <v>112.5816775356522</v>
      </c>
      <c r="R9" s="56">
        <f t="shared" ca="1" si="6"/>
        <v>113</v>
      </c>
      <c r="S9" s="56">
        <f t="shared" ca="1" si="7"/>
        <v>113</v>
      </c>
      <c r="T9" s="39">
        <f t="shared" ca="1" si="8"/>
        <v>621500</v>
      </c>
      <c r="U9" s="61">
        <f t="shared" ca="1" si="9"/>
        <v>24000</v>
      </c>
      <c r="V9" s="61">
        <f t="shared" ca="1" si="10"/>
        <v>0</v>
      </c>
      <c r="W9" s="62">
        <f t="shared" ca="1" si="11"/>
        <v>145500</v>
      </c>
      <c r="X9" s="14"/>
      <c r="AB9" s="11">
        <v>4</v>
      </c>
      <c r="AC9">
        <v>58815</v>
      </c>
      <c r="AD9">
        <v>88555</v>
      </c>
      <c r="AE9">
        <v>114997.5</v>
      </c>
      <c r="AF9">
        <v>129735</v>
      </c>
      <c r="AG9">
        <v>137600</v>
      </c>
      <c r="AH9">
        <v>134170</v>
      </c>
      <c r="AI9">
        <v>135595</v>
      </c>
      <c r="AJ9">
        <v>131230</v>
      </c>
      <c r="AK9">
        <v>103657.5</v>
      </c>
      <c r="AL9">
        <v>93580</v>
      </c>
    </row>
    <row r="10" spans="1:38" x14ac:dyDescent="0.3">
      <c r="A10" s="27"/>
      <c r="B10" s="27"/>
      <c r="C10" s="27"/>
      <c r="D10" s="27"/>
      <c r="E10" s="27"/>
      <c r="F10" s="27"/>
      <c r="G10" s="27"/>
      <c r="H10" s="27"/>
      <c r="I10" s="28"/>
      <c r="K10" s="40">
        <v>6</v>
      </c>
      <c r="L10" s="39">
        <f t="shared" ca="1" si="1"/>
        <v>4.1929734177927114E-2</v>
      </c>
      <c r="M10" s="39">
        <f t="shared" ca="1" si="2"/>
        <v>140</v>
      </c>
      <c r="N10" s="39">
        <f t="shared" ca="1" si="3"/>
        <v>0.96165199893713182</v>
      </c>
      <c r="O10" s="39">
        <f t="shared" ca="1" si="3"/>
        <v>0.93772161201090398</v>
      </c>
      <c r="P10" s="67">
        <f t="shared" ca="1" si="4"/>
        <v>0.38993736109480359</v>
      </c>
      <c r="Q10" s="56">
        <f t="shared" ca="1" si="5"/>
        <v>85.40876944672749</v>
      </c>
      <c r="R10" s="56">
        <f t="shared" ca="1" si="6"/>
        <v>86</v>
      </c>
      <c r="S10" s="56">
        <f t="shared" ca="1" si="7"/>
        <v>86</v>
      </c>
      <c r="T10" s="39">
        <f t="shared" ca="1" si="8"/>
        <v>473000</v>
      </c>
      <c r="U10" s="61">
        <f t="shared" ca="1" si="9"/>
        <v>78000</v>
      </c>
      <c r="V10" s="61">
        <f t="shared" ca="1" si="10"/>
        <v>0</v>
      </c>
      <c r="W10" s="62">
        <f t="shared" ca="1" si="11"/>
        <v>51000</v>
      </c>
      <c r="X10" s="14"/>
      <c r="AB10" s="11">
        <v>5</v>
      </c>
      <c r="AC10">
        <v>55927.5</v>
      </c>
      <c r="AD10">
        <v>79575</v>
      </c>
      <c r="AE10">
        <v>110575</v>
      </c>
      <c r="AF10">
        <v>128817.5</v>
      </c>
      <c r="AG10">
        <v>136107.5</v>
      </c>
      <c r="AH10">
        <v>137070</v>
      </c>
      <c r="AI10">
        <v>127815</v>
      </c>
      <c r="AJ10">
        <v>117837.5</v>
      </c>
      <c r="AK10">
        <v>101040</v>
      </c>
      <c r="AL10">
        <v>85395</v>
      </c>
    </row>
    <row r="11" spans="1:38" x14ac:dyDescent="0.3">
      <c r="A11" s="54" t="s">
        <v>37</v>
      </c>
      <c r="B11" s="54" t="s">
        <v>47</v>
      </c>
      <c r="C11" s="29"/>
      <c r="D11" s="32" t="s">
        <v>2</v>
      </c>
      <c r="E11" s="33">
        <v>0.2</v>
      </c>
      <c r="F11" s="29" t="s">
        <v>8</v>
      </c>
      <c r="G11" s="27"/>
      <c r="H11" s="29"/>
      <c r="I11" s="29"/>
      <c r="K11" s="40">
        <v>7</v>
      </c>
      <c r="L11" s="39">
        <f t="shared" ca="1" si="1"/>
        <v>0.33006994401971135</v>
      </c>
      <c r="M11" s="39">
        <f t="shared" ca="1" si="2"/>
        <v>160</v>
      </c>
      <c r="N11" s="39">
        <f t="shared" ca="1" si="3"/>
        <v>0.6166579622860493</v>
      </c>
      <c r="O11" s="39">
        <f t="shared" ca="1" si="3"/>
        <v>0.64924264453971847</v>
      </c>
      <c r="P11" s="67">
        <f t="shared" ca="1" si="4"/>
        <v>0.32659006068257679</v>
      </c>
      <c r="Q11" s="56">
        <f t="shared" ca="1" si="5"/>
        <v>107.74559029078772</v>
      </c>
      <c r="R11" s="56">
        <f t="shared" ca="1" si="6"/>
        <v>108</v>
      </c>
      <c r="S11" s="56">
        <f t="shared" ca="1" si="7"/>
        <v>108</v>
      </c>
      <c r="T11" s="39">
        <f t="shared" ca="1" si="8"/>
        <v>594000</v>
      </c>
      <c r="U11" s="61">
        <f t="shared" ca="1" si="9"/>
        <v>34000</v>
      </c>
      <c r="V11" s="61">
        <f t="shared" ca="1" si="10"/>
        <v>0</v>
      </c>
      <c r="W11" s="62">
        <f t="shared" ca="1" si="11"/>
        <v>128000</v>
      </c>
      <c r="X11" s="14"/>
      <c r="AB11" s="11">
        <v>6</v>
      </c>
      <c r="AC11">
        <v>56550</v>
      </c>
      <c r="AD11">
        <v>88810</v>
      </c>
      <c r="AE11">
        <v>113300</v>
      </c>
      <c r="AF11">
        <v>128170</v>
      </c>
      <c r="AG11">
        <v>136080</v>
      </c>
      <c r="AH11">
        <v>129760</v>
      </c>
      <c r="AI11">
        <v>130045</v>
      </c>
      <c r="AJ11">
        <v>128910</v>
      </c>
      <c r="AK11">
        <v>104157.5</v>
      </c>
      <c r="AL11">
        <v>89537.5</v>
      </c>
    </row>
    <row r="12" spans="1:38" x14ac:dyDescent="0.3">
      <c r="A12" s="29"/>
      <c r="B12" s="29"/>
      <c r="C12" s="29"/>
      <c r="D12" s="32" t="s">
        <v>3</v>
      </c>
      <c r="E12" s="33">
        <v>0.4</v>
      </c>
      <c r="F12" s="29"/>
      <c r="G12" s="29"/>
      <c r="H12" s="29"/>
      <c r="I12" s="29"/>
      <c r="K12" s="40">
        <v>8</v>
      </c>
      <c r="L12" s="39">
        <f t="shared" ca="1" si="1"/>
        <v>0.19391707314439866</v>
      </c>
      <c r="M12" s="39">
        <f t="shared" ca="1" si="2"/>
        <v>140</v>
      </c>
      <c r="N12" s="39">
        <f t="shared" ca="1" si="3"/>
        <v>0.82517534581189</v>
      </c>
      <c r="O12" s="39">
        <f t="shared" ca="1" si="3"/>
        <v>0.55277269868145118</v>
      </c>
      <c r="P12" s="67">
        <f t="shared" ca="1" si="4"/>
        <v>0.33779480444933413</v>
      </c>
      <c r="Q12" s="56">
        <f t="shared" ca="1" si="5"/>
        <v>92.708727377093226</v>
      </c>
      <c r="R12" s="56">
        <f t="shared" ca="1" si="6"/>
        <v>93</v>
      </c>
      <c r="S12" s="56">
        <f t="shared" ca="1" si="7"/>
        <v>93</v>
      </c>
      <c r="T12" s="39">
        <f t="shared" ca="1" si="8"/>
        <v>511500</v>
      </c>
      <c r="U12" s="61">
        <f t="shared" ca="1" si="9"/>
        <v>64000</v>
      </c>
      <c r="V12" s="61">
        <f t="shared" ca="1" si="10"/>
        <v>0</v>
      </c>
      <c r="W12" s="62">
        <f t="shared" ca="1" si="11"/>
        <v>75500</v>
      </c>
      <c r="X12" s="14"/>
      <c r="AB12" s="11">
        <v>7</v>
      </c>
      <c r="AC12">
        <v>56377.5</v>
      </c>
      <c r="AD12">
        <v>88147.5</v>
      </c>
      <c r="AE12">
        <v>112075</v>
      </c>
      <c r="AF12">
        <v>127702.5</v>
      </c>
      <c r="AG12">
        <v>136555</v>
      </c>
      <c r="AH12">
        <v>137770</v>
      </c>
      <c r="AI12">
        <v>136295</v>
      </c>
      <c r="AJ12">
        <v>117120</v>
      </c>
      <c r="AK12">
        <v>112415</v>
      </c>
      <c r="AL12">
        <v>84482.5</v>
      </c>
    </row>
    <row r="13" spans="1:38" x14ac:dyDescent="0.3">
      <c r="A13" s="29" t="s">
        <v>9</v>
      </c>
      <c r="B13" s="29">
        <v>4000</v>
      </c>
      <c r="C13" s="29" t="s">
        <v>1</v>
      </c>
      <c r="D13" s="27"/>
      <c r="E13" s="27"/>
      <c r="F13" s="29"/>
      <c r="G13" s="29"/>
      <c r="H13" s="29"/>
      <c r="I13" s="29"/>
      <c r="K13" s="40">
        <v>9</v>
      </c>
      <c r="L13" s="39">
        <f t="shared" ca="1" si="1"/>
        <v>0.21370979504466503</v>
      </c>
      <c r="M13" s="39">
        <f t="shared" ca="1" si="2"/>
        <v>140</v>
      </c>
      <c r="N13" s="39">
        <f t="shared" ca="1" si="3"/>
        <v>0.10311441608039362</v>
      </c>
      <c r="O13" s="39">
        <f t="shared" ca="1" si="3"/>
        <v>0.26002892643728326</v>
      </c>
      <c r="P13" s="67">
        <f t="shared" ca="1" si="4"/>
        <v>0.2363143342517677</v>
      </c>
      <c r="Q13" s="56">
        <f t="shared" ca="1" si="5"/>
        <v>106.91599320475252</v>
      </c>
      <c r="R13" s="56">
        <f t="shared" ca="1" si="6"/>
        <v>107</v>
      </c>
      <c r="S13" s="56">
        <f t="shared" ca="1" si="7"/>
        <v>107</v>
      </c>
      <c r="T13" s="39">
        <f t="shared" ca="1" si="8"/>
        <v>588500</v>
      </c>
      <c r="U13" s="61">
        <f t="shared" ca="1" si="9"/>
        <v>36000</v>
      </c>
      <c r="V13" s="61">
        <f t="shared" ca="1" si="10"/>
        <v>0</v>
      </c>
      <c r="W13" s="62">
        <f t="shared" ca="1" si="11"/>
        <v>124500</v>
      </c>
      <c r="X13" s="14"/>
      <c r="AB13" s="11">
        <v>8</v>
      </c>
      <c r="AC13">
        <v>59265</v>
      </c>
      <c r="AD13">
        <v>81187.5</v>
      </c>
      <c r="AE13">
        <v>113775</v>
      </c>
      <c r="AF13">
        <v>127625</v>
      </c>
      <c r="AG13">
        <v>136995</v>
      </c>
      <c r="AH13">
        <v>140262.5</v>
      </c>
      <c r="AI13">
        <v>130322.5</v>
      </c>
      <c r="AJ13">
        <v>128737.5</v>
      </c>
      <c r="AK13">
        <v>97055</v>
      </c>
      <c r="AL13">
        <v>83442.5</v>
      </c>
    </row>
    <row r="14" spans="1:38" x14ac:dyDescent="0.3">
      <c r="A14" s="29" t="s">
        <v>10</v>
      </c>
      <c r="B14" s="29">
        <v>5500</v>
      </c>
      <c r="C14" s="29" t="s">
        <v>1</v>
      </c>
      <c r="D14" s="27"/>
      <c r="E14" s="27"/>
      <c r="F14" s="27"/>
      <c r="G14" s="27"/>
      <c r="H14" s="27"/>
      <c r="I14" s="28"/>
      <c r="K14" s="40">
        <v>10</v>
      </c>
      <c r="L14" s="39">
        <f t="shared" ca="1" si="1"/>
        <v>0.76552005536620127</v>
      </c>
      <c r="M14" s="39">
        <f t="shared" ca="1" si="2"/>
        <v>200</v>
      </c>
      <c r="N14" s="39">
        <f t="shared" ca="1" si="3"/>
        <v>0.46571988145467946</v>
      </c>
      <c r="O14" s="39">
        <f t="shared" ca="1" si="3"/>
        <v>0.10534196392401574</v>
      </c>
      <c r="P14" s="67">
        <f t="shared" ca="1" si="4"/>
        <v>0.25710618453786954</v>
      </c>
      <c r="Q14" s="56">
        <f t="shared" ca="1" si="5"/>
        <v>148.5787630924261</v>
      </c>
      <c r="R14" s="56">
        <f t="shared" ca="1" si="6"/>
        <v>149</v>
      </c>
      <c r="S14" s="56">
        <f t="shared" ca="1" si="7"/>
        <v>125</v>
      </c>
      <c r="T14" s="39">
        <f t="shared" ca="1" si="8"/>
        <v>687500</v>
      </c>
      <c r="U14" s="61">
        <f t="shared" ca="1" si="9"/>
        <v>0</v>
      </c>
      <c r="V14" s="61">
        <f t="shared" ca="1" si="10"/>
        <v>36000</v>
      </c>
      <c r="W14" s="62">
        <f t="shared" ca="1" si="11"/>
        <v>151500</v>
      </c>
      <c r="X14" s="14"/>
      <c r="AB14" s="11">
        <v>9</v>
      </c>
      <c r="AC14">
        <v>58597.5</v>
      </c>
      <c r="AD14">
        <v>87337.5</v>
      </c>
      <c r="AE14">
        <v>111652.5</v>
      </c>
      <c r="AF14">
        <v>128475</v>
      </c>
      <c r="AG14">
        <v>137355</v>
      </c>
      <c r="AH14">
        <v>137322.5</v>
      </c>
      <c r="AI14">
        <v>129060</v>
      </c>
      <c r="AJ14">
        <v>124322.5</v>
      </c>
      <c r="AK14">
        <v>101015</v>
      </c>
      <c r="AL14">
        <v>84655</v>
      </c>
    </row>
    <row r="15" spans="1:38" x14ac:dyDescent="0.3">
      <c r="A15" s="29" t="s">
        <v>11</v>
      </c>
      <c r="B15" s="29">
        <v>2000</v>
      </c>
      <c r="C15" s="29" t="s">
        <v>1</v>
      </c>
      <c r="D15" s="29" t="s">
        <v>34</v>
      </c>
      <c r="E15" s="29"/>
      <c r="F15" s="27"/>
      <c r="G15" s="27"/>
      <c r="H15" s="27"/>
      <c r="I15" s="28"/>
      <c r="K15" s="40">
        <v>11</v>
      </c>
      <c r="L15" s="39">
        <f t="shared" ca="1" si="1"/>
        <v>0.83685153085314501</v>
      </c>
      <c r="M15" s="39">
        <f t="shared" ca="1" si="2"/>
        <v>200</v>
      </c>
      <c r="N15" s="39">
        <f t="shared" ca="1" si="3"/>
        <v>0.37171044212641546</v>
      </c>
      <c r="O15" s="39">
        <f t="shared" ca="1" si="3"/>
        <v>0.12152658772351943</v>
      </c>
      <c r="P15" s="67">
        <f t="shared" ca="1" si="4"/>
        <v>0.24932370298499351</v>
      </c>
      <c r="Q15" s="56">
        <f t="shared" ca="1" si="5"/>
        <v>150.1352594030013</v>
      </c>
      <c r="R15" s="56">
        <f t="shared" ca="1" si="6"/>
        <v>151</v>
      </c>
      <c r="S15" s="56">
        <f t="shared" ca="1" si="7"/>
        <v>125</v>
      </c>
      <c r="T15" s="39">
        <f t="shared" ca="1" si="8"/>
        <v>687500</v>
      </c>
      <c r="U15" s="61">
        <f t="shared" ca="1" si="9"/>
        <v>0</v>
      </c>
      <c r="V15" s="61">
        <f t="shared" ca="1" si="10"/>
        <v>39000</v>
      </c>
      <c r="W15" s="62">
        <f t="shared" ca="1" si="11"/>
        <v>148500</v>
      </c>
      <c r="X15" s="14"/>
      <c r="AB15" s="11">
        <v>10</v>
      </c>
      <c r="AC15">
        <v>60712.5</v>
      </c>
      <c r="AD15">
        <v>90285</v>
      </c>
      <c r="AE15">
        <v>109505</v>
      </c>
      <c r="AF15">
        <v>127367.5</v>
      </c>
      <c r="AG15">
        <v>140052.5</v>
      </c>
      <c r="AH15">
        <v>137077.5</v>
      </c>
      <c r="AI15">
        <v>130905</v>
      </c>
      <c r="AJ15">
        <v>122325</v>
      </c>
      <c r="AK15">
        <v>98567.5</v>
      </c>
      <c r="AL15">
        <v>89557.5</v>
      </c>
    </row>
    <row r="16" spans="1:38" x14ac:dyDescent="0.3">
      <c r="A16" s="7"/>
      <c r="B16" s="7"/>
      <c r="C16" s="7"/>
      <c r="D16" s="7"/>
      <c r="E16" s="7"/>
      <c r="F16" s="7"/>
      <c r="G16" s="7"/>
      <c r="H16" s="7"/>
      <c r="K16" s="40">
        <v>12</v>
      </c>
      <c r="L16" s="39">
        <f t="shared" ca="1" si="1"/>
        <v>0.5315890516785744</v>
      </c>
      <c r="M16" s="39">
        <f t="shared" ca="1" si="2"/>
        <v>180</v>
      </c>
      <c r="N16" s="39">
        <f t="shared" ca="1" si="3"/>
        <v>0.22564945502331468</v>
      </c>
      <c r="O16" s="39">
        <f t="shared" ca="1" si="3"/>
        <v>0.2638659773409</v>
      </c>
      <c r="P16" s="67">
        <f t="shared" ca="1" si="4"/>
        <v>0.24895154323642149</v>
      </c>
      <c r="Q16" s="56">
        <f t="shared" ca="1" si="5"/>
        <v>135.18872221744414</v>
      </c>
      <c r="R16" s="56">
        <f t="shared" ca="1" si="6"/>
        <v>136</v>
      </c>
      <c r="S16" s="56">
        <f t="shared" ca="1" si="7"/>
        <v>125</v>
      </c>
      <c r="T16" s="39">
        <f t="shared" ca="1" si="8"/>
        <v>687500</v>
      </c>
      <c r="U16" s="61">
        <f t="shared" ca="1" si="9"/>
        <v>0</v>
      </c>
      <c r="V16" s="61">
        <f t="shared" ca="1" si="10"/>
        <v>16500</v>
      </c>
      <c r="W16" s="62">
        <f t="shared" ca="1" si="11"/>
        <v>171000</v>
      </c>
      <c r="X16" s="14"/>
      <c r="AB16" s="11">
        <v>11</v>
      </c>
      <c r="AC16">
        <v>54157.5</v>
      </c>
      <c r="AD16">
        <v>87807.5</v>
      </c>
      <c r="AE16">
        <v>114727.5</v>
      </c>
      <c r="AF16">
        <v>128030</v>
      </c>
      <c r="AG16">
        <v>135835</v>
      </c>
      <c r="AH16">
        <v>142280</v>
      </c>
      <c r="AI16">
        <v>132520</v>
      </c>
      <c r="AJ16">
        <v>127275</v>
      </c>
      <c r="AK16">
        <v>116227.5</v>
      </c>
      <c r="AL16">
        <v>92810</v>
      </c>
    </row>
    <row r="17" spans="1:38" x14ac:dyDescent="0.3">
      <c r="A17" s="7"/>
      <c r="B17" s="7"/>
      <c r="C17" s="7"/>
      <c r="D17" s="1"/>
      <c r="E17" s="2"/>
      <c r="F17" s="7"/>
      <c r="G17" s="7"/>
      <c r="H17" s="7"/>
      <c r="K17" s="40">
        <v>13</v>
      </c>
      <c r="L17" s="39">
        <f t="shared" ca="1" si="1"/>
        <v>0.18061104955230989</v>
      </c>
      <c r="M17" s="39">
        <f t="shared" ca="1" si="2"/>
        <v>140</v>
      </c>
      <c r="N17" s="39">
        <f t="shared" ca="1" si="3"/>
        <v>0.27266090349900296</v>
      </c>
      <c r="O17" s="39">
        <f t="shared" ca="1" si="3"/>
        <v>0.80786891498996827</v>
      </c>
      <c r="P17" s="67">
        <f t="shared" ca="1" si="4"/>
        <v>0.30805298184889712</v>
      </c>
      <c r="Q17" s="56">
        <f t="shared" ca="1" si="5"/>
        <v>96.872582541154401</v>
      </c>
      <c r="R17" s="56">
        <f t="shared" ca="1" si="6"/>
        <v>97</v>
      </c>
      <c r="S17" s="56">
        <f t="shared" ca="1" si="7"/>
        <v>97</v>
      </c>
      <c r="T17" s="39">
        <f t="shared" ca="1" si="8"/>
        <v>533500</v>
      </c>
      <c r="U17" s="61">
        <f t="shared" ca="1" si="9"/>
        <v>56000</v>
      </c>
      <c r="V17" s="61">
        <f t="shared" ca="1" si="10"/>
        <v>0</v>
      </c>
      <c r="W17" s="62">
        <f t="shared" ca="1" si="11"/>
        <v>89500</v>
      </c>
      <c r="X17" s="14"/>
      <c r="AB17" s="11">
        <v>12</v>
      </c>
      <c r="AC17">
        <v>60525</v>
      </c>
      <c r="AD17">
        <v>85422.5</v>
      </c>
      <c r="AE17">
        <v>114147.5</v>
      </c>
      <c r="AF17">
        <v>128060</v>
      </c>
      <c r="AG17">
        <v>135352.5</v>
      </c>
      <c r="AH17">
        <v>142150</v>
      </c>
      <c r="AI17">
        <v>133697.5</v>
      </c>
      <c r="AJ17">
        <v>113892.5</v>
      </c>
      <c r="AK17">
        <v>109562.5</v>
      </c>
      <c r="AL17">
        <v>82572.5</v>
      </c>
    </row>
    <row r="18" spans="1:38" ht="21" x14ac:dyDescent="0.4">
      <c r="A18" s="48" t="s">
        <v>35</v>
      </c>
      <c r="B18" s="49"/>
      <c r="C18" s="49"/>
      <c r="D18" s="49"/>
      <c r="E18" s="50"/>
      <c r="F18" s="51">
        <f>M1</f>
        <v>125</v>
      </c>
      <c r="G18" s="7"/>
      <c r="H18" s="7"/>
      <c r="K18" s="40">
        <v>14</v>
      </c>
      <c r="L18" s="39">
        <f t="shared" ca="1" si="1"/>
        <v>0.47879895955476159</v>
      </c>
      <c r="M18" s="39">
        <f t="shared" ca="1" si="2"/>
        <v>160</v>
      </c>
      <c r="N18" s="39">
        <f t="shared" ca="1" si="3"/>
        <v>4.7500553002041812E-2</v>
      </c>
      <c r="O18" s="39">
        <f t="shared" ca="1" si="3"/>
        <v>6.6446458842118972E-2</v>
      </c>
      <c r="P18" s="67">
        <f t="shared" ca="1" si="4"/>
        <v>0.21139470118441608</v>
      </c>
      <c r="Q18" s="56">
        <f t="shared" ca="1" si="5"/>
        <v>126.17684781049343</v>
      </c>
      <c r="R18" s="56">
        <f t="shared" ca="1" si="6"/>
        <v>127</v>
      </c>
      <c r="S18" s="56">
        <f t="shared" ca="1" si="7"/>
        <v>125</v>
      </c>
      <c r="T18" s="39">
        <f t="shared" ca="1" si="8"/>
        <v>687500</v>
      </c>
      <c r="U18" s="61">
        <f t="shared" ca="1" si="9"/>
        <v>0</v>
      </c>
      <c r="V18" s="61">
        <f t="shared" ca="1" si="10"/>
        <v>3000</v>
      </c>
      <c r="W18" s="62">
        <f t="shared" ca="1" si="11"/>
        <v>184500</v>
      </c>
      <c r="X18" s="14"/>
      <c r="AB18" s="11">
        <v>13</v>
      </c>
      <c r="AC18">
        <v>58560</v>
      </c>
      <c r="AD18">
        <v>91140</v>
      </c>
      <c r="AE18">
        <v>112960</v>
      </c>
      <c r="AF18">
        <v>127172.5</v>
      </c>
      <c r="AG18">
        <v>136672.5</v>
      </c>
      <c r="AH18">
        <v>139375</v>
      </c>
      <c r="AI18">
        <v>132945</v>
      </c>
      <c r="AJ18">
        <v>124312.5</v>
      </c>
      <c r="AK18">
        <v>106437.5</v>
      </c>
      <c r="AL18">
        <v>85592.5</v>
      </c>
    </row>
    <row r="19" spans="1:38" x14ac:dyDescent="0.3">
      <c r="A19" s="43"/>
      <c r="B19" s="43"/>
      <c r="C19" s="43"/>
      <c r="D19" s="43"/>
      <c r="E19" s="7"/>
      <c r="F19" s="7"/>
      <c r="G19" s="7"/>
      <c r="H19" s="7"/>
      <c r="K19" s="40">
        <v>15</v>
      </c>
      <c r="L19" s="39">
        <f t="shared" ca="1" si="1"/>
        <v>0.2086972352962404</v>
      </c>
      <c r="M19" s="39">
        <f t="shared" ca="1" si="2"/>
        <v>140</v>
      </c>
      <c r="N19" s="39">
        <f t="shared" ca="1" si="3"/>
        <v>0.49897095378670486</v>
      </c>
      <c r="O19" s="39">
        <f t="shared" ca="1" si="3"/>
        <v>9.8034853088108997E-2</v>
      </c>
      <c r="P19" s="67">
        <f t="shared" ca="1" si="4"/>
        <v>0.25970058068748142</v>
      </c>
      <c r="Q19" s="56">
        <f t="shared" ca="1" si="5"/>
        <v>103.64191870375259</v>
      </c>
      <c r="R19" s="56">
        <f t="shared" ca="1" si="6"/>
        <v>104</v>
      </c>
      <c r="S19" s="56">
        <f t="shared" ca="1" si="7"/>
        <v>104</v>
      </c>
      <c r="T19" s="39">
        <f t="shared" ca="1" si="8"/>
        <v>572000</v>
      </c>
      <c r="U19" s="61">
        <f t="shared" ca="1" si="9"/>
        <v>42000</v>
      </c>
      <c r="V19" s="61">
        <f t="shared" ca="1" si="10"/>
        <v>0</v>
      </c>
      <c r="W19" s="62">
        <f t="shared" ca="1" si="11"/>
        <v>114000</v>
      </c>
      <c r="X19" s="14"/>
      <c r="AB19" s="11">
        <v>14</v>
      </c>
      <c r="AC19">
        <v>58312.5</v>
      </c>
      <c r="AD19">
        <v>86412.5</v>
      </c>
      <c r="AE19">
        <v>114047.5</v>
      </c>
      <c r="AF19">
        <v>128222.5</v>
      </c>
      <c r="AG19">
        <v>137035</v>
      </c>
      <c r="AH19">
        <v>135417.5</v>
      </c>
      <c r="AI19">
        <v>126632.5</v>
      </c>
      <c r="AJ19">
        <v>116977.5</v>
      </c>
      <c r="AK19">
        <v>107005</v>
      </c>
      <c r="AL19">
        <v>86212.5</v>
      </c>
    </row>
    <row r="20" spans="1:38" x14ac:dyDescent="0.3">
      <c r="A20" s="81" t="s">
        <v>12</v>
      </c>
      <c r="B20" s="82"/>
      <c r="C20" s="44">
        <v>200</v>
      </c>
      <c r="E20" s="7"/>
      <c r="F20" s="7"/>
      <c r="G20" s="7"/>
      <c r="H20" s="7"/>
      <c r="K20" s="40">
        <v>16</v>
      </c>
      <c r="L20" s="39">
        <f t="shared" ca="1" si="1"/>
        <v>3.6523599058989387E-2</v>
      </c>
      <c r="M20" s="39">
        <f t="shared" ca="1" si="2"/>
        <v>140</v>
      </c>
      <c r="N20" s="39">
        <f t="shared" ca="1" si="3"/>
        <v>0.99513182275747292</v>
      </c>
      <c r="O20" s="39">
        <f t="shared" ca="1" si="3"/>
        <v>0.32067120137350291</v>
      </c>
      <c r="P20" s="67">
        <f t="shared" ca="1" si="4"/>
        <v>0.33158030241309755</v>
      </c>
      <c r="Q20" s="56">
        <f t="shared" ca="1" si="5"/>
        <v>93.578757662166339</v>
      </c>
      <c r="R20" s="56">
        <f t="shared" ca="1" si="6"/>
        <v>94</v>
      </c>
      <c r="S20" s="56">
        <f t="shared" ca="1" si="7"/>
        <v>94</v>
      </c>
      <c r="T20" s="39">
        <f t="shared" ca="1" si="8"/>
        <v>517000</v>
      </c>
      <c r="U20" s="61">
        <f t="shared" ca="1" si="9"/>
        <v>62000</v>
      </c>
      <c r="V20" s="61">
        <f t="shared" ca="1" si="10"/>
        <v>0</v>
      </c>
      <c r="W20" s="62">
        <f t="shared" ca="1" si="11"/>
        <v>79000</v>
      </c>
      <c r="X20" s="14"/>
      <c r="AB20" s="11">
        <v>15</v>
      </c>
      <c r="AC20">
        <v>54570</v>
      </c>
      <c r="AD20">
        <v>89660</v>
      </c>
      <c r="AE20">
        <v>111607.5</v>
      </c>
      <c r="AF20">
        <v>128205</v>
      </c>
      <c r="AG20">
        <v>136852.5</v>
      </c>
      <c r="AH20">
        <v>136657.5</v>
      </c>
      <c r="AI20">
        <v>130345</v>
      </c>
      <c r="AJ20">
        <v>120552.5</v>
      </c>
      <c r="AK20">
        <v>108640</v>
      </c>
      <c r="AL20">
        <v>92402.5</v>
      </c>
    </row>
    <row r="21" spans="1:38" x14ac:dyDescent="0.3">
      <c r="A21" s="81" t="s">
        <v>13</v>
      </c>
      <c r="B21" s="82"/>
      <c r="C21" s="63">
        <f ca="1">AVERAGE(W5:W204)</f>
        <v>138637.5</v>
      </c>
      <c r="E21" s="7"/>
      <c r="F21" s="7"/>
      <c r="G21" s="7"/>
      <c r="H21" s="7"/>
      <c r="I21" s="4"/>
      <c r="K21" s="40">
        <v>17</v>
      </c>
      <c r="L21" s="39">
        <f t="shared" ca="1" si="1"/>
        <v>0.70945803330243074</v>
      </c>
      <c r="M21" s="39">
        <f t="shared" ca="1" si="2"/>
        <v>200</v>
      </c>
      <c r="N21" s="39">
        <f t="shared" ca="1" si="3"/>
        <v>0.28745226565274273</v>
      </c>
      <c r="O21" s="39">
        <f t="shared" ca="1" si="3"/>
        <v>1.4990586371254389E-2</v>
      </c>
      <c r="P21" s="67">
        <f t="shared" ca="1" si="4"/>
        <v>0.23024428520239973</v>
      </c>
      <c r="Q21" s="56">
        <f t="shared" ca="1" si="5"/>
        <v>153.95114295952004</v>
      </c>
      <c r="R21" s="56">
        <f t="shared" ca="1" si="6"/>
        <v>154</v>
      </c>
      <c r="S21" s="56">
        <f t="shared" ca="1" si="7"/>
        <v>125</v>
      </c>
      <c r="T21" s="39">
        <f t="shared" ca="1" si="8"/>
        <v>687500</v>
      </c>
      <c r="U21" s="61">
        <f t="shared" ca="1" si="9"/>
        <v>0</v>
      </c>
      <c r="V21" s="61">
        <f t="shared" ca="1" si="10"/>
        <v>43500</v>
      </c>
      <c r="W21" s="62">
        <f t="shared" ca="1" si="11"/>
        <v>144000</v>
      </c>
      <c r="X21" s="14"/>
      <c r="AB21" s="11">
        <v>16</v>
      </c>
      <c r="AC21">
        <v>58635</v>
      </c>
      <c r="AD21">
        <v>86820</v>
      </c>
      <c r="AE21">
        <v>113115</v>
      </c>
      <c r="AF21">
        <v>128145</v>
      </c>
      <c r="AG21">
        <v>137642.5</v>
      </c>
      <c r="AH21">
        <v>139670</v>
      </c>
      <c r="AI21">
        <v>131220</v>
      </c>
      <c r="AJ21">
        <v>119347.5</v>
      </c>
      <c r="AK21">
        <v>98777.5</v>
      </c>
      <c r="AL21">
        <v>81937.5</v>
      </c>
    </row>
    <row r="22" spans="1:38" x14ac:dyDescent="0.3">
      <c r="A22" s="45" t="s">
        <v>14</v>
      </c>
      <c r="B22" s="46" t="s">
        <v>49</v>
      </c>
      <c r="C22" s="65">
        <f ca="1">((COUNTIF(W5:W204,"&gt;100000"))/200)*100%</f>
        <v>0.83</v>
      </c>
      <c r="G22" s="3"/>
      <c r="H22" s="3"/>
      <c r="I22" s="3"/>
      <c r="K22" s="40">
        <v>18</v>
      </c>
      <c r="L22" s="39">
        <f t="shared" ca="1" si="1"/>
        <v>0.45595606426006141</v>
      </c>
      <c r="M22" s="39">
        <f t="shared" ca="1" si="2"/>
        <v>160</v>
      </c>
      <c r="N22" s="39">
        <f t="shared" ca="1" si="3"/>
        <v>0.19825140607818448</v>
      </c>
      <c r="O22" s="39">
        <f t="shared" ca="1" si="3"/>
        <v>6.410856991317937E-3</v>
      </c>
      <c r="P22" s="67">
        <f t="shared" ca="1" si="4"/>
        <v>0.22046622630695026</v>
      </c>
      <c r="Q22" s="56">
        <f t="shared" ca="1" si="5"/>
        <v>124.72540379088795</v>
      </c>
      <c r="R22" s="56">
        <f t="shared" ca="1" si="6"/>
        <v>125</v>
      </c>
      <c r="S22" s="56">
        <f t="shared" ca="1" si="7"/>
        <v>125</v>
      </c>
      <c r="T22" s="39">
        <f t="shared" ca="1" si="8"/>
        <v>687500</v>
      </c>
      <c r="U22" s="61">
        <f t="shared" ca="1" si="9"/>
        <v>0</v>
      </c>
      <c r="V22" s="61">
        <f t="shared" ca="1" si="10"/>
        <v>0</v>
      </c>
      <c r="W22" s="62">
        <f t="shared" ca="1" si="11"/>
        <v>187500</v>
      </c>
      <c r="X22" s="14"/>
      <c r="AB22" s="11">
        <v>17</v>
      </c>
      <c r="AC22">
        <v>59400</v>
      </c>
      <c r="AD22">
        <v>87355</v>
      </c>
      <c r="AE22">
        <v>112287.5</v>
      </c>
      <c r="AF22">
        <v>128365</v>
      </c>
      <c r="AG22">
        <v>135267.5</v>
      </c>
      <c r="AH22">
        <v>140212.5</v>
      </c>
      <c r="AI22">
        <v>131795</v>
      </c>
      <c r="AJ22">
        <v>118887.5</v>
      </c>
      <c r="AK22">
        <v>113555</v>
      </c>
      <c r="AL22">
        <v>87832.5</v>
      </c>
    </row>
    <row r="23" spans="1:38" x14ac:dyDescent="0.3">
      <c r="A23" s="81" t="s">
        <v>15</v>
      </c>
      <c r="B23" s="82"/>
      <c r="C23" s="47">
        <f ca="1">_xlfn.STDEV.S(W5:W204)</f>
        <v>35129.871664522616</v>
      </c>
      <c r="G23" s="3"/>
      <c r="H23" s="3"/>
      <c r="I23" s="3"/>
      <c r="K23" s="40">
        <v>19</v>
      </c>
      <c r="L23" s="39">
        <f t="shared" ca="1" si="1"/>
        <v>0.98485697610661871</v>
      </c>
      <c r="M23" s="39">
        <f t="shared" ca="1" si="2"/>
        <v>220</v>
      </c>
      <c r="N23" s="39">
        <f t="shared" ca="1" si="3"/>
        <v>0.4356879545459692</v>
      </c>
      <c r="O23" s="39">
        <f t="shared" ca="1" si="3"/>
        <v>0.91557770058590171</v>
      </c>
      <c r="P23" s="67">
        <f t="shared" ca="1" si="4"/>
        <v>0.33512656551318709</v>
      </c>
      <c r="Q23" s="56">
        <f t="shared" ca="1" si="5"/>
        <v>146.27215558709884</v>
      </c>
      <c r="R23" s="56">
        <f t="shared" ca="1" si="6"/>
        <v>147</v>
      </c>
      <c r="S23" s="56">
        <f t="shared" ca="1" si="7"/>
        <v>125</v>
      </c>
      <c r="T23" s="39">
        <f t="shared" ca="1" si="8"/>
        <v>687500</v>
      </c>
      <c r="U23" s="61">
        <f t="shared" ca="1" si="9"/>
        <v>0</v>
      </c>
      <c r="V23" s="61">
        <f t="shared" ca="1" si="10"/>
        <v>33000</v>
      </c>
      <c r="W23" s="62">
        <f t="shared" ca="1" si="11"/>
        <v>154500</v>
      </c>
      <c r="X23" s="14"/>
      <c r="AB23" s="11">
        <v>18</v>
      </c>
      <c r="AC23">
        <v>57637.5</v>
      </c>
      <c r="AD23">
        <v>80580</v>
      </c>
      <c r="AE23">
        <v>113367.5</v>
      </c>
      <c r="AF23">
        <v>129200</v>
      </c>
      <c r="AG23">
        <v>134435</v>
      </c>
      <c r="AH23">
        <v>130672.5</v>
      </c>
      <c r="AI23">
        <v>140725</v>
      </c>
      <c r="AJ23">
        <v>124292.5</v>
      </c>
      <c r="AK23">
        <v>101267.5</v>
      </c>
      <c r="AL23">
        <v>92017.5</v>
      </c>
    </row>
    <row r="24" spans="1:38" x14ac:dyDescent="0.3">
      <c r="A24" s="81" t="s">
        <v>16</v>
      </c>
      <c r="B24" s="82"/>
      <c r="C24" s="64">
        <f ca="1">MIN(W5:W204)</f>
        <v>51000</v>
      </c>
      <c r="G24" s="3"/>
      <c r="H24" s="3"/>
      <c r="I24" s="3"/>
      <c r="K24" s="40">
        <v>20</v>
      </c>
      <c r="L24" s="39">
        <f t="shared" ca="1" si="1"/>
        <v>0.4963454919622261</v>
      </c>
      <c r="M24" s="39">
        <f t="shared" ca="1" si="2"/>
        <v>160</v>
      </c>
      <c r="N24" s="39">
        <f t="shared" ca="1" si="3"/>
        <v>0.87071798476419082</v>
      </c>
      <c r="O24" s="39">
        <f t="shared" ca="1" si="3"/>
        <v>0.52728803958639225</v>
      </c>
      <c r="P24" s="67">
        <f t="shared" ca="1" si="4"/>
        <v>0.33980060243505827</v>
      </c>
      <c r="Q24" s="56">
        <f t="shared" ca="1" si="5"/>
        <v>105.63190361039068</v>
      </c>
      <c r="R24" s="56">
        <f t="shared" ca="1" si="6"/>
        <v>106</v>
      </c>
      <c r="S24" s="56">
        <f t="shared" ca="1" si="7"/>
        <v>106</v>
      </c>
      <c r="T24" s="39">
        <f t="shared" ca="1" si="8"/>
        <v>583000</v>
      </c>
      <c r="U24" s="61">
        <f t="shared" ca="1" si="9"/>
        <v>38000</v>
      </c>
      <c r="V24" s="61">
        <f t="shared" ca="1" si="10"/>
        <v>0</v>
      </c>
      <c r="W24" s="62">
        <f t="shared" ca="1" si="11"/>
        <v>121000</v>
      </c>
      <c r="X24" s="14"/>
      <c r="AB24" s="11">
        <v>19</v>
      </c>
      <c r="AC24">
        <v>58245</v>
      </c>
      <c r="AD24">
        <v>89150</v>
      </c>
      <c r="AE24">
        <v>111052.5</v>
      </c>
      <c r="AF24">
        <v>130305</v>
      </c>
      <c r="AG24">
        <v>133760</v>
      </c>
      <c r="AH24">
        <v>138507.5</v>
      </c>
      <c r="AI24">
        <v>133977.5</v>
      </c>
      <c r="AJ24">
        <v>125340</v>
      </c>
      <c r="AK24">
        <v>106227.5</v>
      </c>
      <c r="AL24">
        <v>81942.5</v>
      </c>
    </row>
    <row r="25" spans="1:38" x14ac:dyDescent="0.3">
      <c r="A25" s="81" t="s">
        <v>17</v>
      </c>
      <c r="B25" s="82"/>
      <c r="C25" s="64">
        <f ca="1">MAX(W5:W204)</f>
        <v>187500</v>
      </c>
      <c r="G25" s="3"/>
      <c r="H25" s="3"/>
      <c r="I25" s="3"/>
      <c r="K25" s="40">
        <v>21</v>
      </c>
      <c r="L25" s="39">
        <f t="shared" ca="1" si="1"/>
        <v>0.78090054973457879</v>
      </c>
      <c r="M25" s="39">
        <f t="shared" ca="1" si="2"/>
        <v>200</v>
      </c>
      <c r="N25" s="39">
        <f t="shared" ca="1" si="3"/>
        <v>0.55081844527703738</v>
      </c>
      <c r="O25" s="39">
        <f t="shared" ca="1" si="3"/>
        <v>0.88092751050251894</v>
      </c>
      <c r="P25" s="67">
        <f t="shared" ca="1" si="4"/>
        <v>0.3431745955779556</v>
      </c>
      <c r="Q25" s="56">
        <f t="shared" ca="1" si="5"/>
        <v>131.36508088440888</v>
      </c>
      <c r="R25" s="56">
        <f t="shared" ca="1" si="6"/>
        <v>132</v>
      </c>
      <c r="S25" s="56">
        <f t="shared" ca="1" si="7"/>
        <v>125</v>
      </c>
      <c r="T25" s="39">
        <f t="shared" ca="1" si="8"/>
        <v>687500</v>
      </c>
      <c r="U25" s="61">
        <f t="shared" ca="1" si="9"/>
        <v>0</v>
      </c>
      <c r="V25" s="61">
        <f t="shared" ca="1" si="10"/>
        <v>10500</v>
      </c>
      <c r="W25" s="62">
        <f t="shared" ca="1" si="11"/>
        <v>177000</v>
      </c>
      <c r="X25" s="14"/>
      <c r="AB25" s="11">
        <v>20</v>
      </c>
      <c r="AC25">
        <v>55282.5</v>
      </c>
      <c r="AD25">
        <v>86172.5</v>
      </c>
      <c r="AE25">
        <v>111112.5</v>
      </c>
      <c r="AF25">
        <v>127862.5</v>
      </c>
      <c r="AG25">
        <v>135787.5</v>
      </c>
      <c r="AH25">
        <v>136572.5</v>
      </c>
      <c r="AI25">
        <v>129210</v>
      </c>
      <c r="AJ25">
        <v>107915</v>
      </c>
      <c r="AK25">
        <v>98847.5</v>
      </c>
      <c r="AL25">
        <v>87422.5</v>
      </c>
    </row>
    <row r="26" spans="1:38" x14ac:dyDescent="0.3">
      <c r="A26" s="81" t="s">
        <v>18</v>
      </c>
      <c r="B26" s="82"/>
      <c r="C26" s="47">
        <f ca="1">_xlfn.CONFIDENCE.T(0.05,C23,200)</f>
        <v>4898.4525513483795</v>
      </c>
      <c r="G26" s="3"/>
      <c r="H26" s="3"/>
      <c r="I26" s="3"/>
      <c r="K26" s="40">
        <v>22</v>
      </c>
      <c r="L26" s="39">
        <f t="shared" ca="1" si="1"/>
        <v>0.86138757206662653</v>
      </c>
      <c r="M26" s="39">
        <f t="shared" ca="1" si="2"/>
        <v>200</v>
      </c>
      <c r="N26" s="39">
        <f t="shared" ca="1" si="3"/>
        <v>0.96532838567634327</v>
      </c>
      <c r="O26" s="39">
        <f t="shared" ca="1" si="3"/>
        <v>0.71172652854340412</v>
      </c>
      <c r="P26" s="67">
        <f t="shared" ca="1" si="4"/>
        <v>0.36770549142197478</v>
      </c>
      <c r="Q26" s="56">
        <f t="shared" ca="1" si="5"/>
        <v>126.45890171560504</v>
      </c>
      <c r="R26" s="56">
        <f t="shared" ca="1" si="6"/>
        <v>127</v>
      </c>
      <c r="S26" s="56">
        <f t="shared" ca="1" si="7"/>
        <v>125</v>
      </c>
      <c r="T26" s="39">
        <f t="shared" ca="1" si="8"/>
        <v>687500</v>
      </c>
      <c r="U26" s="61">
        <f t="shared" ca="1" si="9"/>
        <v>0</v>
      </c>
      <c r="V26" s="61">
        <f t="shared" ca="1" si="10"/>
        <v>3000</v>
      </c>
      <c r="W26" s="62">
        <f t="shared" ca="1" si="11"/>
        <v>184500</v>
      </c>
      <c r="X26" s="14"/>
      <c r="AB26" s="11">
        <v>21</v>
      </c>
      <c r="AC26">
        <v>60045</v>
      </c>
      <c r="AD26">
        <v>86230</v>
      </c>
      <c r="AE26">
        <v>111765</v>
      </c>
      <c r="AF26">
        <v>129352.5</v>
      </c>
      <c r="AG26">
        <v>134607.5</v>
      </c>
      <c r="AH26">
        <v>137775</v>
      </c>
      <c r="AI26">
        <v>133770</v>
      </c>
      <c r="AJ26">
        <v>124475</v>
      </c>
      <c r="AK26">
        <v>104810</v>
      </c>
      <c r="AL26">
        <v>81660</v>
      </c>
    </row>
    <row r="27" spans="1:38" x14ac:dyDescent="0.3">
      <c r="A27" s="81" t="s">
        <v>19</v>
      </c>
      <c r="B27" s="82"/>
      <c r="C27" s="64">
        <f ca="1">C21-C26</f>
        <v>133739.04744865163</v>
      </c>
      <c r="K27" s="40">
        <v>23</v>
      </c>
      <c r="L27" s="39">
        <f t="shared" ca="1" si="1"/>
        <v>0.68611873926501876</v>
      </c>
      <c r="M27" s="39">
        <f t="shared" ca="1" si="2"/>
        <v>200</v>
      </c>
      <c r="N27" s="39">
        <f t="shared" ca="1" si="3"/>
        <v>0.66101766395151473</v>
      </c>
      <c r="O27" s="39">
        <f t="shared" ca="1" si="3"/>
        <v>0.86404275845251766</v>
      </c>
      <c r="P27" s="67">
        <f t="shared" ca="1" si="4"/>
        <v>0.35250604224040327</v>
      </c>
      <c r="Q27" s="56">
        <f t="shared" ca="1" si="5"/>
        <v>129.49879155191934</v>
      </c>
      <c r="R27" s="56">
        <f t="shared" ca="1" si="6"/>
        <v>130</v>
      </c>
      <c r="S27" s="56">
        <f t="shared" ca="1" si="7"/>
        <v>125</v>
      </c>
      <c r="T27" s="39">
        <f t="shared" ca="1" si="8"/>
        <v>687500</v>
      </c>
      <c r="U27" s="61">
        <f t="shared" ca="1" si="9"/>
        <v>0</v>
      </c>
      <c r="V27" s="61">
        <f t="shared" ca="1" si="10"/>
        <v>7500</v>
      </c>
      <c r="W27" s="62">
        <f t="shared" ca="1" si="11"/>
        <v>180000</v>
      </c>
      <c r="X27" s="14"/>
      <c r="AB27" s="11">
        <v>22</v>
      </c>
      <c r="AC27">
        <v>56475</v>
      </c>
      <c r="AD27">
        <v>84000</v>
      </c>
      <c r="AE27">
        <v>111795</v>
      </c>
      <c r="AF27">
        <v>128695</v>
      </c>
      <c r="AG27">
        <v>138600</v>
      </c>
      <c r="AH27">
        <v>136995</v>
      </c>
      <c r="AI27">
        <v>133837.5</v>
      </c>
      <c r="AJ27">
        <v>132050</v>
      </c>
      <c r="AK27">
        <v>108397.5</v>
      </c>
      <c r="AL27">
        <v>93480</v>
      </c>
    </row>
    <row r="28" spans="1:38" x14ac:dyDescent="0.3">
      <c r="A28" s="45" t="s">
        <v>20</v>
      </c>
      <c r="B28" s="46"/>
      <c r="C28" s="64">
        <f ca="1">C21+C26</f>
        <v>143535.95255134837</v>
      </c>
      <c r="K28" s="40">
        <v>24</v>
      </c>
      <c r="L28" s="39">
        <f t="shared" ca="1" si="1"/>
        <v>0.99189383069130133</v>
      </c>
      <c r="M28" s="39">
        <f t="shared" ca="1" si="2"/>
        <v>220</v>
      </c>
      <c r="N28" s="39">
        <f t="shared" ca="1" si="3"/>
        <v>0.67281356908961643</v>
      </c>
      <c r="O28" s="39">
        <f t="shared" ca="1" si="3"/>
        <v>0.36297112661282371</v>
      </c>
      <c r="P28" s="67">
        <f t="shared" ca="1" si="4"/>
        <v>0.30357846957024404</v>
      </c>
      <c r="Q28" s="56">
        <f t="shared" ca="1" si="5"/>
        <v>153.21273669454632</v>
      </c>
      <c r="R28" s="56">
        <f t="shared" ca="1" si="6"/>
        <v>154</v>
      </c>
      <c r="S28" s="56">
        <f t="shared" ca="1" si="7"/>
        <v>125</v>
      </c>
      <c r="T28" s="39">
        <f t="shared" ca="1" si="8"/>
        <v>687500</v>
      </c>
      <c r="U28" s="61">
        <f t="shared" ca="1" si="9"/>
        <v>0</v>
      </c>
      <c r="V28" s="61">
        <f t="shared" ca="1" si="10"/>
        <v>43500</v>
      </c>
      <c r="W28" s="62">
        <f t="shared" ca="1" si="11"/>
        <v>144000</v>
      </c>
      <c r="X28" s="14"/>
      <c r="AB28" s="11">
        <v>23</v>
      </c>
      <c r="AC28">
        <v>58432.5</v>
      </c>
      <c r="AD28">
        <v>85552.5</v>
      </c>
      <c r="AE28">
        <v>111730</v>
      </c>
      <c r="AF28">
        <v>128765</v>
      </c>
      <c r="AG28">
        <v>136360</v>
      </c>
      <c r="AH28">
        <v>139062.5</v>
      </c>
      <c r="AI28">
        <v>134557.5</v>
      </c>
      <c r="AJ28">
        <v>122330</v>
      </c>
      <c r="AK28">
        <v>97995</v>
      </c>
      <c r="AL28">
        <v>84375</v>
      </c>
    </row>
    <row r="29" spans="1:38" x14ac:dyDescent="0.3">
      <c r="K29" s="40">
        <v>25</v>
      </c>
      <c r="L29" s="39">
        <f t="shared" ca="1" si="1"/>
        <v>0.20598202934751908</v>
      </c>
      <c r="M29" s="39">
        <f t="shared" ca="1" si="2"/>
        <v>140</v>
      </c>
      <c r="N29" s="39">
        <f t="shared" ca="1" si="3"/>
        <v>0.25888350640354318</v>
      </c>
      <c r="O29" s="39">
        <f t="shared" ca="1" si="3"/>
        <v>0.40002426593580975</v>
      </c>
      <c r="P29" s="67">
        <f t="shared" ca="1" si="4"/>
        <v>0.26589077723393528</v>
      </c>
      <c r="Q29" s="56">
        <f t="shared" ca="1" si="5"/>
        <v>102.77529118724905</v>
      </c>
      <c r="R29" s="56">
        <f t="shared" ca="1" si="6"/>
        <v>103</v>
      </c>
      <c r="S29" s="56">
        <f t="shared" ca="1" si="7"/>
        <v>103</v>
      </c>
      <c r="T29" s="39">
        <f t="shared" ca="1" si="8"/>
        <v>566500</v>
      </c>
      <c r="U29" s="61">
        <f t="shared" ca="1" si="9"/>
        <v>44000</v>
      </c>
      <c r="V29" s="61">
        <f t="shared" ca="1" si="10"/>
        <v>0</v>
      </c>
      <c r="W29" s="62">
        <f t="shared" ca="1" si="11"/>
        <v>110500</v>
      </c>
      <c r="X29" s="14"/>
      <c r="AB29" s="11">
        <v>24</v>
      </c>
      <c r="AC29">
        <v>56595</v>
      </c>
      <c r="AD29">
        <v>86090</v>
      </c>
      <c r="AE29">
        <v>112870</v>
      </c>
      <c r="AF29">
        <v>130957.5</v>
      </c>
      <c r="AG29">
        <v>134372.5</v>
      </c>
      <c r="AH29">
        <v>137160</v>
      </c>
      <c r="AI29">
        <v>136035</v>
      </c>
      <c r="AJ29">
        <v>128112.5</v>
      </c>
      <c r="AK29">
        <v>112475</v>
      </c>
      <c r="AL29">
        <v>91142.5</v>
      </c>
    </row>
    <row r="30" spans="1:38" x14ac:dyDescent="0.3">
      <c r="K30" s="40">
        <v>26</v>
      </c>
      <c r="L30" s="39">
        <f t="shared" ca="1" si="1"/>
        <v>0.71380182704461714</v>
      </c>
      <c r="M30" s="39">
        <f t="shared" ca="1" si="2"/>
        <v>200</v>
      </c>
      <c r="N30" s="39">
        <f t="shared" ca="1" si="3"/>
        <v>0.1170775325751896</v>
      </c>
      <c r="O30" s="39">
        <f t="shared" ca="1" si="3"/>
        <v>0.56516197335762941</v>
      </c>
      <c r="P30" s="67">
        <f t="shared" ca="1" si="4"/>
        <v>0.26822395059328191</v>
      </c>
      <c r="Q30" s="56">
        <f t="shared" ca="1" si="5"/>
        <v>146.35520988134363</v>
      </c>
      <c r="R30" s="56">
        <f t="shared" ca="1" si="6"/>
        <v>147</v>
      </c>
      <c r="S30" s="56">
        <f t="shared" ca="1" si="7"/>
        <v>125</v>
      </c>
      <c r="T30" s="39">
        <f t="shared" ca="1" si="8"/>
        <v>687500</v>
      </c>
      <c r="U30" s="61">
        <f t="shared" ca="1" si="9"/>
        <v>0</v>
      </c>
      <c r="V30" s="61">
        <f t="shared" ca="1" si="10"/>
        <v>33000</v>
      </c>
      <c r="W30" s="62">
        <f t="shared" ca="1" si="11"/>
        <v>154500</v>
      </c>
      <c r="X30" s="14"/>
      <c r="AB30" s="11">
        <v>25</v>
      </c>
      <c r="AC30">
        <v>58747.5</v>
      </c>
      <c r="AD30">
        <v>86117.5</v>
      </c>
      <c r="AE30">
        <v>114362.5</v>
      </c>
      <c r="AF30">
        <v>127972.5</v>
      </c>
      <c r="AG30">
        <v>137332.5</v>
      </c>
      <c r="AH30">
        <v>137375</v>
      </c>
      <c r="AI30">
        <v>131460</v>
      </c>
      <c r="AJ30">
        <v>117962.5</v>
      </c>
      <c r="AK30">
        <v>105655</v>
      </c>
      <c r="AL30">
        <v>81067.5</v>
      </c>
    </row>
    <row r="31" spans="1:38" x14ac:dyDescent="0.3">
      <c r="K31" s="40">
        <v>27</v>
      </c>
      <c r="L31" s="39">
        <f t="shared" ca="1" si="1"/>
        <v>0.98899936766439056</v>
      </c>
      <c r="M31" s="39">
        <f t="shared" ca="1" si="2"/>
        <v>220</v>
      </c>
      <c r="N31" s="39">
        <f t="shared" ca="1" si="3"/>
        <v>0.7811116691537161</v>
      </c>
      <c r="O31" s="39">
        <f t="shared" ca="1" si="3"/>
        <v>0.37479828841232943</v>
      </c>
      <c r="P31" s="67">
        <f t="shared" ca="1" si="4"/>
        <v>0.31559099575660454</v>
      </c>
      <c r="Q31" s="56">
        <f t="shared" ca="1" si="5"/>
        <v>150.56998093354701</v>
      </c>
      <c r="R31" s="56">
        <f t="shared" ca="1" si="6"/>
        <v>151</v>
      </c>
      <c r="S31" s="56">
        <f t="shared" ca="1" si="7"/>
        <v>125</v>
      </c>
      <c r="T31" s="39">
        <f t="shared" ca="1" si="8"/>
        <v>687500</v>
      </c>
      <c r="U31" s="61">
        <f t="shared" ca="1" si="9"/>
        <v>0</v>
      </c>
      <c r="V31" s="61">
        <f t="shared" ca="1" si="10"/>
        <v>39000</v>
      </c>
      <c r="W31" s="62">
        <f t="shared" ca="1" si="11"/>
        <v>148500</v>
      </c>
      <c r="X31" s="14"/>
      <c r="AB31" s="11">
        <v>26</v>
      </c>
      <c r="AC31">
        <v>56130</v>
      </c>
      <c r="AD31">
        <v>88132.5</v>
      </c>
      <c r="AE31">
        <v>112322.5</v>
      </c>
      <c r="AF31">
        <v>127972.5</v>
      </c>
      <c r="AG31">
        <v>136217.5</v>
      </c>
      <c r="AH31">
        <v>138132.5</v>
      </c>
      <c r="AI31">
        <v>126002.5</v>
      </c>
      <c r="AJ31">
        <v>124575</v>
      </c>
      <c r="AK31">
        <v>107942.5</v>
      </c>
      <c r="AL31">
        <v>83255</v>
      </c>
    </row>
    <row r="32" spans="1:38" x14ac:dyDescent="0.3">
      <c r="K32" s="40">
        <v>28</v>
      </c>
      <c r="L32" s="39">
        <f t="shared" ca="1" si="1"/>
        <v>0.98071785012753598</v>
      </c>
      <c r="M32" s="39">
        <f t="shared" ca="1" si="2"/>
        <v>220</v>
      </c>
      <c r="N32" s="39">
        <f t="shared" ca="1" si="3"/>
        <v>0.85264515766261995</v>
      </c>
      <c r="O32" s="39">
        <f t="shared" ca="1" si="3"/>
        <v>0.68020417560627833</v>
      </c>
      <c r="P32" s="67">
        <f t="shared" ca="1" si="4"/>
        <v>0.35328493332688987</v>
      </c>
      <c r="Q32" s="56">
        <f t="shared" ca="1" si="5"/>
        <v>142.27731466808422</v>
      </c>
      <c r="R32" s="56">
        <f t="shared" ca="1" si="6"/>
        <v>143</v>
      </c>
      <c r="S32" s="56">
        <f t="shared" ca="1" si="7"/>
        <v>125</v>
      </c>
      <c r="T32" s="39">
        <f t="shared" ca="1" si="8"/>
        <v>687500</v>
      </c>
      <c r="U32" s="61">
        <f t="shared" ca="1" si="9"/>
        <v>0</v>
      </c>
      <c r="V32" s="61">
        <f t="shared" ca="1" si="10"/>
        <v>27000</v>
      </c>
      <c r="W32" s="62">
        <f t="shared" ca="1" si="11"/>
        <v>160500</v>
      </c>
      <c r="X32" s="14"/>
      <c r="AB32" s="11">
        <v>27</v>
      </c>
      <c r="AC32">
        <v>58567.5</v>
      </c>
      <c r="AD32">
        <v>92740</v>
      </c>
      <c r="AE32">
        <v>114315</v>
      </c>
      <c r="AF32">
        <v>130210</v>
      </c>
      <c r="AG32">
        <v>135830</v>
      </c>
      <c r="AH32">
        <v>135672.5</v>
      </c>
      <c r="AI32">
        <v>133695</v>
      </c>
      <c r="AJ32">
        <v>123965</v>
      </c>
      <c r="AK32">
        <v>101557.5</v>
      </c>
      <c r="AL32">
        <v>78477.5</v>
      </c>
    </row>
    <row r="33" spans="11:38" x14ac:dyDescent="0.3">
      <c r="K33" s="40">
        <v>29</v>
      </c>
      <c r="L33" s="39">
        <f t="shared" ca="1" si="1"/>
        <v>0.74521113148756157</v>
      </c>
      <c r="M33" s="39">
        <f t="shared" ca="1" si="2"/>
        <v>200</v>
      </c>
      <c r="N33" s="39">
        <f t="shared" ca="1" si="3"/>
        <v>0.3834423375422964</v>
      </c>
      <c r="O33" s="39">
        <f t="shared" ca="1" si="3"/>
        <v>0.26633055590732013</v>
      </c>
      <c r="P33" s="67">
        <f t="shared" ca="1" si="4"/>
        <v>0.26497728934496168</v>
      </c>
      <c r="Q33" s="56">
        <f t="shared" ca="1" si="5"/>
        <v>147.00454213100767</v>
      </c>
      <c r="R33" s="56">
        <f t="shared" ca="1" si="6"/>
        <v>148</v>
      </c>
      <c r="S33" s="56">
        <f t="shared" ca="1" si="7"/>
        <v>125</v>
      </c>
      <c r="T33" s="39">
        <f t="shared" ca="1" si="8"/>
        <v>687500</v>
      </c>
      <c r="U33" s="61">
        <f t="shared" ca="1" si="9"/>
        <v>0</v>
      </c>
      <c r="V33" s="61">
        <f t="shared" ca="1" si="10"/>
        <v>34500</v>
      </c>
      <c r="W33" s="62">
        <f t="shared" ca="1" si="11"/>
        <v>153000</v>
      </c>
      <c r="X33" s="14"/>
      <c r="AB33" s="11">
        <v>28</v>
      </c>
      <c r="AC33">
        <v>60682.5</v>
      </c>
      <c r="AD33">
        <v>89337.5</v>
      </c>
      <c r="AE33">
        <v>112165</v>
      </c>
      <c r="AF33">
        <v>129450</v>
      </c>
      <c r="AG33">
        <v>138165</v>
      </c>
      <c r="AH33">
        <v>136070</v>
      </c>
      <c r="AI33">
        <v>130585</v>
      </c>
      <c r="AJ33">
        <v>114712.5</v>
      </c>
      <c r="AK33">
        <v>104510</v>
      </c>
      <c r="AL33">
        <v>81925</v>
      </c>
    </row>
    <row r="34" spans="11:38" x14ac:dyDescent="0.3">
      <c r="K34" s="40">
        <v>30</v>
      </c>
      <c r="L34" s="39">
        <f t="shared" ca="1" si="1"/>
        <v>0.29836461000017778</v>
      </c>
      <c r="M34" s="39">
        <f t="shared" ca="1" si="2"/>
        <v>140</v>
      </c>
      <c r="N34" s="39">
        <f t="shared" ca="1" si="3"/>
        <v>0.21200983271148555</v>
      </c>
      <c r="O34" s="39">
        <f t="shared" ca="1" si="3"/>
        <v>0.9137360256131003</v>
      </c>
      <c r="P34" s="67">
        <f t="shared" ca="1" si="4"/>
        <v>0.31257458583245862</v>
      </c>
      <c r="Q34" s="56">
        <f t="shared" ca="1" si="5"/>
        <v>96.239557983455796</v>
      </c>
      <c r="R34" s="56">
        <f t="shared" ca="1" si="6"/>
        <v>97</v>
      </c>
      <c r="S34" s="56">
        <f t="shared" ca="1" si="7"/>
        <v>97</v>
      </c>
      <c r="T34" s="39">
        <f t="shared" ca="1" si="8"/>
        <v>533500</v>
      </c>
      <c r="U34" s="61">
        <f t="shared" ca="1" si="9"/>
        <v>56000</v>
      </c>
      <c r="V34" s="61">
        <f t="shared" ca="1" si="10"/>
        <v>0</v>
      </c>
      <c r="W34" s="62">
        <f t="shared" ca="1" si="11"/>
        <v>89500</v>
      </c>
      <c r="X34" s="14"/>
      <c r="AB34" s="11">
        <v>29</v>
      </c>
      <c r="AC34">
        <v>57337.5</v>
      </c>
      <c r="AD34">
        <v>90325</v>
      </c>
      <c r="AE34">
        <v>110317.5</v>
      </c>
      <c r="AF34">
        <v>124902.5</v>
      </c>
      <c r="AG34">
        <v>138640</v>
      </c>
      <c r="AH34">
        <v>133617.5</v>
      </c>
      <c r="AI34">
        <v>131920</v>
      </c>
      <c r="AJ34">
        <v>121145</v>
      </c>
      <c r="AK34">
        <v>93422.5</v>
      </c>
      <c r="AL34">
        <v>86232.5</v>
      </c>
    </row>
    <row r="35" spans="11:38" x14ac:dyDescent="0.3">
      <c r="K35" s="40">
        <v>31</v>
      </c>
      <c r="L35" s="39">
        <f t="shared" ca="1" si="1"/>
        <v>0.29173131410626774</v>
      </c>
      <c r="M35" s="39">
        <f t="shared" ca="1" si="2"/>
        <v>140</v>
      </c>
      <c r="N35" s="39">
        <f t="shared" ca="1" si="3"/>
        <v>0.3523948793968007</v>
      </c>
      <c r="O35" s="39">
        <f t="shared" ca="1" si="3"/>
        <v>0.25191128562970777</v>
      </c>
      <c r="P35" s="67">
        <f t="shared" ca="1" si="4"/>
        <v>0.26043061650265087</v>
      </c>
      <c r="Q35" s="56">
        <f t="shared" ca="1" si="5"/>
        <v>103.53971368962888</v>
      </c>
      <c r="R35" s="56">
        <f t="shared" ca="1" si="6"/>
        <v>104</v>
      </c>
      <c r="S35" s="56">
        <f t="shared" ca="1" si="7"/>
        <v>104</v>
      </c>
      <c r="T35" s="39">
        <f t="shared" ca="1" si="8"/>
        <v>572000</v>
      </c>
      <c r="U35" s="61">
        <f t="shared" ca="1" si="9"/>
        <v>42000</v>
      </c>
      <c r="V35" s="61">
        <f t="shared" ca="1" si="10"/>
        <v>0</v>
      </c>
      <c r="W35" s="62">
        <f t="shared" ca="1" si="11"/>
        <v>114000</v>
      </c>
      <c r="X35" s="14"/>
      <c r="AB35" s="11">
        <v>30</v>
      </c>
      <c r="AC35">
        <v>58687.5</v>
      </c>
      <c r="AD35">
        <v>88852.5</v>
      </c>
      <c r="AE35">
        <v>110392.5</v>
      </c>
      <c r="AF35">
        <v>129312.5</v>
      </c>
      <c r="AG35">
        <v>135887.5</v>
      </c>
      <c r="AH35">
        <v>138565</v>
      </c>
      <c r="AI35">
        <v>131242.5</v>
      </c>
      <c r="AJ35">
        <v>121230</v>
      </c>
      <c r="AK35">
        <v>102970</v>
      </c>
      <c r="AL35">
        <v>88772.5</v>
      </c>
    </row>
    <row r="36" spans="11:38" x14ac:dyDescent="0.3">
      <c r="K36" s="40">
        <v>32</v>
      </c>
      <c r="L36" s="39">
        <f t="shared" ca="1" si="1"/>
        <v>5.8338993609454048E-2</v>
      </c>
      <c r="M36" s="39">
        <f t="shared" ca="1" si="2"/>
        <v>140</v>
      </c>
      <c r="N36" s="39">
        <f t="shared" ca="1" si="3"/>
        <v>0.39619032336980353</v>
      </c>
      <c r="O36" s="39">
        <f t="shared" ca="1" si="3"/>
        <v>0.22712227977549959</v>
      </c>
      <c r="P36" s="67">
        <f t="shared" ca="1" si="4"/>
        <v>0.26233126031453036</v>
      </c>
      <c r="Q36" s="56">
        <f t="shared" ca="1" si="5"/>
        <v>103.27362355596574</v>
      </c>
      <c r="R36" s="56">
        <f t="shared" ca="1" si="6"/>
        <v>104</v>
      </c>
      <c r="S36" s="56">
        <f t="shared" ca="1" si="7"/>
        <v>104</v>
      </c>
      <c r="T36" s="39">
        <f t="shared" ca="1" si="8"/>
        <v>572000</v>
      </c>
      <c r="U36" s="61">
        <f t="shared" ca="1" si="9"/>
        <v>42000</v>
      </c>
      <c r="V36" s="61">
        <f t="shared" ca="1" si="10"/>
        <v>0</v>
      </c>
      <c r="W36" s="62">
        <f t="shared" ca="1" si="11"/>
        <v>114000</v>
      </c>
      <c r="X36" s="14"/>
      <c r="AB36" s="11">
        <v>31</v>
      </c>
      <c r="AC36">
        <v>58605</v>
      </c>
      <c r="AD36">
        <v>84922.5</v>
      </c>
      <c r="AE36">
        <v>114407.5</v>
      </c>
      <c r="AF36">
        <v>128950</v>
      </c>
      <c r="AG36">
        <v>138602.5</v>
      </c>
      <c r="AH36">
        <v>136112.5</v>
      </c>
      <c r="AI36">
        <v>141222.5</v>
      </c>
      <c r="AJ36">
        <v>123662.5</v>
      </c>
      <c r="AK36">
        <v>99475</v>
      </c>
      <c r="AL36">
        <v>89140</v>
      </c>
    </row>
    <row r="37" spans="11:38" x14ac:dyDescent="0.3">
      <c r="K37" s="40">
        <v>33</v>
      </c>
      <c r="L37" s="39">
        <f t="shared" ca="1" si="1"/>
        <v>0.63439629565549871</v>
      </c>
      <c r="M37" s="39">
        <f t="shared" ca="1" si="2"/>
        <v>180</v>
      </c>
      <c r="N37" s="39">
        <f t="shared" ca="1" si="3"/>
        <v>0.97446060024578585</v>
      </c>
      <c r="O37" s="39">
        <f t="shared" ca="1" si="3"/>
        <v>0.75135856787867827</v>
      </c>
      <c r="P37" s="67">
        <f t="shared" ca="1" si="4"/>
        <v>0.37258191681244646</v>
      </c>
      <c r="Q37" s="56">
        <f t="shared" ca="1" si="5"/>
        <v>112.93525497375964</v>
      </c>
      <c r="R37" s="56">
        <f t="shared" ca="1" si="6"/>
        <v>113</v>
      </c>
      <c r="S37" s="56">
        <f t="shared" ca="1" si="7"/>
        <v>113</v>
      </c>
      <c r="T37" s="39">
        <f t="shared" ca="1" si="8"/>
        <v>621500</v>
      </c>
      <c r="U37" s="61">
        <f t="shared" ca="1" si="9"/>
        <v>24000</v>
      </c>
      <c r="V37" s="61">
        <f t="shared" ca="1" si="10"/>
        <v>0</v>
      </c>
      <c r="W37" s="62">
        <f t="shared" ca="1" si="11"/>
        <v>145500</v>
      </c>
      <c r="X37" s="14"/>
      <c r="AB37" s="11">
        <v>32</v>
      </c>
      <c r="AC37">
        <v>56227.5</v>
      </c>
      <c r="AD37">
        <v>88920</v>
      </c>
      <c r="AE37">
        <v>113355</v>
      </c>
      <c r="AF37">
        <v>126965</v>
      </c>
      <c r="AG37">
        <v>138292.5</v>
      </c>
      <c r="AH37">
        <v>138467.5</v>
      </c>
      <c r="AI37">
        <v>137902.5</v>
      </c>
      <c r="AJ37">
        <v>123237.5</v>
      </c>
      <c r="AK37">
        <v>99750</v>
      </c>
      <c r="AL37">
        <v>84235</v>
      </c>
    </row>
    <row r="38" spans="11:38" x14ac:dyDescent="0.3">
      <c r="K38" s="40">
        <v>34</v>
      </c>
      <c r="L38" s="39">
        <f t="shared" ca="1" si="1"/>
        <v>0.82982983689513057</v>
      </c>
      <c r="M38" s="39">
        <f t="shared" ca="1" si="2"/>
        <v>200</v>
      </c>
      <c r="N38" s="39">
        <f t="shared" ca="1" si="3"/>
        <v>6.2627769174976256E-2</v>
      </c>
      <c r="O38" s="39">
        <f t="shared" ca="1" si="3"/>
        <v>0.62556999229088772</v>
      </c>
      <c r="P38" s="67">
        <f t="shared" ca="1" si="4"/>
        <v>0.26881977614658642</v>
      </c>
      <c r="Q38" s="56">
        <f t="shared" ca="1" si="5"/>
        <v>146.23604477068272</v>
      </c>
      <c r="R38" s="56">
        <f t="shared" ca="1" si="6"/>
        <v>147</v>
      </c>
      <c r="S38" s="56">
        <f t="shared" ca="1" si="7"/>
        <v>125</v>
      </c>
      <c r="T38" s="39">
        <f t="shared" ca="1" si="8"/>
        <v>687500</v>
      </c>
      <c r="U38" s="61">
        <f t="shared" ca="1" si="9"/>
        <v>0</v>
      </c>
      <c r="V38" s="61">
        <f t="shared" ca="1" si="10"/>
        <v>33000</v>
      </c>
      <c r="W38" s="62">
        <f t="shared" ca="1" si="11"/>
        <v>154500</v>
      </c>
      <c r="X38" s="14"/>
      <c r="AB38" s="11">
        <v>33</v>
      </c>
      <c r="AC38">
        <v>61462.5</v>
      </c>
      <c r="AD38">
        <v>79965</v>
      </c>
      <c r="AE38">
        <v>111712.5</v>
      </c>
      <c r="AF38">
        <v>129207.5</v>
      </c>
      <c r="AG38">
        <v>137967.5</v>
      </c>
      <c r="AH38">
        <v>132427.5</v>
      </c>
      <c r="AI38">
        <v>132575</v>
      </c>
      <c r="AJ38">
        <v>120272.5</v>
      </c>
      <c r="AK38">
        <v>102415</v>
      </c>
      <c r="AL38">
        <v>78687.5</v>
      </c>
    </row>
    <row r="39" spans="11:38" x14ac:dyDescent="0.3">
      <c r="K39" s="40">
        <v>35</v>
      </c>
      <c r="L39" s="39">
        <f t="shared" ca="1" si="1"/>
        <v>0.40464974937620402</v>
      </c>
      <c r="M39" s="39">
        <f t="shared" ca="1" si="2"/>
        <v>160</v>
      </c>
      <c r="N39" s="39">
        <f t="shared" ca="1" si="3"/>
        <v>2.9537691322069848E-2</v>
      </c>
      <c r="O39" s="39">
        <f t="shared" ca="1" si="3"/>
        <v>0.12618903402665227</v>
      </c>
      <c r="P39" s="67">
        <f t="shared" ca="1" si="4"/>
        <v>0.21557267253487222</v>
      </c>
      <c r="Q39" s="56">
        <f t="shared" ca="1" si="5"/>
        <v>125.50837239442045</v>
      </c>
      <c r="R39" s="56">
        <f t="shared" ca="1" si="6"/>
        <v>126</v>
      </c>
      <c r="S39" s="56">
        <f t="shared" ca="1" si="7"/>
        <v>125</v>
      </c>
      <c r="T39" s="39">
        <f t="shared" ca="1" si="8"/>
        <v>687500</v>
      </c>
      <c r="U39" s="61">
        <f t="shared" ca="1" si="9"/>
        <v>0</v>
      </c>
      <c r="V39" s="61">
        <f t="shared" ca="1" si="10"/>
        <v>1500</v>
      </c>
      <c r="W39" s="62">
        <f t="shared" ca="1" si="11"/>
        <v>186000</v>
      </c>
      <c r="X39" s="14"/>
      <c r="AB39" s="11">
        <v>34</v>
      </c>
      <c r="AC39">
        <v>59490</v>
      </c>
      <c r="AD39">
        <v>87397.5</v>
      </c>
      <c r="AE39">
        <v>114492.5</v>
      </c>
      <c r="AF39">
        <v>128382.5</v>
      </c>
      <c r="AG39">
        <v>137850</v>
      </c>
      <c r="AH39">
        <v>140700</v>
      </c>
      <c r="AI39">
        <v>130482.5</v>
      </c>
      <c r="AJ39">
        <v>134732.5</v>
      </c>
      <c r="AK39">
        <v>107852.5</v>
      </c>
      <c r="AL39">
        <v>82690</v>
      </c>
    </row>
    <row r="40" spans="11:38" x14ac:dyDescent="0.3">
      <c r="K40" s="40">
        <v>36</v>
      </c>
      <c r="L40" s="39">
        <f t="shared" ca="1" si="1"/>
        <v>0.55548187725439058</v>
      </c>
      <c r="M40" s="39">
        <f t="shared" ca="1" si="2"/>
        <v>180</v>
      </c>
      <c r="N40" s="39">
        <f t="shared" ca="1" si="3"/>
        <v>0.79875082309915268</v>
      </c>
      <c r="O40" s="39">
        <f t="shared" ca="1" si="3"/>
        <v>0.14317536687589516</v>
      </c>
      <c r="P40" s="67">
        <f t="shared" ca="1" si="4"/>
        <v>0.29419261899750482</v>
      </c>
      <c r="Q40" s="56">
        <f t="shared" ca="1" si="5"/>
        <v>127.04532858044914</v>
      </c>
      <c r="R40" s="56">
        <f t="shared" ca="1" si="6"/>
        <v>128</v>
      </c>
      <c r="S40" s="56">
        <f t="shared" ca="1" si="7"/>
        <v>125</v>
      </c>
      <c r="T40" s="39">
        <f t="shared" ca="1" si="8"/>
        <v>687500</v>
      </c>
      <c r="U40" s="61">
        <f t="shared" ca="1" si="9"/>
        <v>0</v>
      </c>
      <c r="V40" s="61">
        <f t="shared" ca="1" si="10"/>
        <v>4500</v>
      </c>
      <c r="W40" s="62">
        <f t="shared" ca="1" si="11"/>
        <v>183000</v>
      </c>
      <c r="X40" s="14"/>
      <c r="AB40" s="11">
        <v>35</v>
      </c>
      <c r="AC40">
        <v>60600</v>
      </c>
      <c r="AD40">
        <v>84930</v>
      </c>
      <c r="AE40">
        <v>115437.5</v>
      </c>
      <c r="AF40">
        <v>125417.5</v>
      </c>
      <c r="AG40">
        <v>138967.5</v>
      </c>
      <c r="AH40">
        <v>142680</v>
      </c>
      <c r="AI40">
        <v>130097.5</v>
      </c>
      <c r="AJ40">
        <v>122147.5</v>
      </c>
      <c r="AK40">
        <v>110797.5</v>
      </c>
      <c r="AL40">
        <v>88585</v>
      </c>
    </row>
    <row r="41" spans="11:38" x14ac:dyDescent="0.3">
      <c r="K41" s="40">
        <v>37</v>
      </c>
      <c r="L41" s="39">
        <f t="shared" ca="1" si="1"/>
        <v>0.31249554400598478</v>
      </c>
      <c r="M41" s="39">
        <f t="shared" ca="1" si="2"/>
        <v>160</v>
      </c>
      <c r="N41" s="39">
        <f t="shared" ca="1" si="3"/>
        <v>0.56436536919827907</v>
      </c>
      <c r="O41" s="39">
        <f t="shared" ca="1" si="3"/>
        <v>0.48831133154290429</v>
      </c>
      <c r="P41" s="67">
        <f t="shared" ca="1" si="4"/>
        <v>0.30526767007411837</v>
      </c>
      <c r="Q41" s="56">
        <f t="shared" ca="1" si="5"/>
        <v>111.15717278814105</v>
      </c>
      <c r="R41" s="56">
        <f t="shared" ca="1" si="6"/>
        <v>112</v>
      </c>
      <c r="S41" s="56">
        <f t="shared" ca="1" si="7"/>
        <v>112</v>
      </c>
      <c r="T41" s="39">
        <f t="shared" ca="1" si="8"/>
        <v>616000</v>
      </c>
      <c r="U41" s="61">
        <f t="shared" ca="1" si="9"/>
        <v>26000</v>
      </c>
      <c r="V41" s="61">
        <f t="shared" ca="1" si="10"/>
        <v>0</v>
      </c>
      <c r="W41" s="62">
        <f t="shared" ca="1" si="11"/>
        <v>142000</v>
      </c>
      <c r="X41" s="14"/>
      <c r="AB41" s="11">
        <v>36</v>
      </c>
      <c r="AC41">
        <v>62722.5</v>
      </c>
      <c r="AD41">
        <v>87867.5</v>
      </c>
      <c r="AE41">
        <v>110425</v>
      </c>
      <c r="AF41">
        <v>125357.5</v>
      </c>
      <c r="AG41">
        <v>135640</v>
      </c>
      <c r="AH41">
        <v>137057.5</v>
      </c>
      <c r="AI41">
        <v>132422.5</v>
      </c>
      <c r="AJ41">
        <v>125502.5</v>
      </c>
      <c r="AK41">
        <v>102710</v>
      </c>
      <c r="AL41">
        <v>82232.5</v>
      </c>
    </row>
    <row r="42" spans="11:38" x14ac:dyDescent="0.3">
      <c r="K42" s="40">
        <v>38</v>
      </c>
      <c r="L42" s="39">
        <f t="shared" ca="1" si="1"/>
        <v>0.53652159563635349</v>
      </c>
      <c r="M42" s="39">
        <f t="shared" ca="1" si="2"/>
        <v>180</v>
      </c>
      <c r="N42" s="39">
        <f t="shared" ca="1" si="3"/>
        <v>0.60412973847473295</v>
      </c>
      <c r="O42" s="39">
        <f t="shared" ca="1" si="3"/>
        <v>0.53117333760900198</v>
      </c>
      <c r="P42" s="67">
        <f t="shared" ca="1" si="4"/>
        <v>0.31353030760837353</v>
      </c>
      <c r="Q42" s="56">
        <f t="shared" ca="1" si="5"/>
        <v>123.56454463049276</v>
      </c>
      <c r="R42" s="56">
        <f t="shared" ca="1" si="6"/>
        <v>124</v>
      </c>
      <c r="S42" s="56">
        <f t="shared" ca="1" si="7"/>
        <v>124</v>
      </c>
      <c r="T42" s="39">
        <f t="shared" ca="1" si="8"/>
        <v>682000</v>
      </c>
      <c r="U42" s="61">
        <f t="shared" ca="1" si="9"/>
        <v>2000</v>
      </c>
      <c r="V42" s="61">
        <f t="shared" ca="1" si="10"/>
        <v>0</v>
      </c>
      <c r="W42" s="62">
        <f t="shared" ca="1" si="11"/>
        <v>184000</v>
      </c>
      <c r="X42" s="14"/>
      <c r="AB42" s="11">
        <v>37</v>
      </c>
      <c r="AC42">
        <v>56160</v>
      </c>
      <c r="AD42">
        <v>88767.5</v>
      </c>
      <c r="AE42">
        <v>114367.5</v>
      </c>
      <c r="AF42">
        <v>131950</v>
      </c>
      <c r="AG42">
        <v>134170</v>
      </c>
      <c r="AH42">
        <v>139380</v>
      </c>
      <c r="AI42">
        <v>132300</v>
      </c>
      <c r="AJ42">
        <v>125192.5</v>
      </c>
      <c r="AK42">
        <v>100275</v>
      </c>
      <c r="AL42">
        <v>83470</v>
      </c>
    </row>
    <row r="43" spans="11:38" x14ac:dyDescent="0.3">
      <c r="K43" s="40">
        <v>39</v>
      </c>
      <c r="L43" s="39">
        <f t="shared" ca="1" si="1"/>
        <v>8.6895893839151195E-2</v>
      </c>
      <c r="M43" s="39">
        <f t="shared" ca="1" si="2"/>
        <v>140</v>
      </c>
      <c r="N43" s="39">
        <f t="shared" ca="1" si="3"/>
        <v>0.15372850142540706</v>
      </c>
      <c r="O43" s="39">
        <f t="shared" ca="1" si="3"/>
        <v>0.79670573779266707</v>
      </c>
      <c r="P43" s="67">
        <f t="shared" ca="1" si="4"/>
        <v>0.29504342392180744</v>
      </c>
      <c r="Q43" s="56">
        <f t="shared" ca="1" si="5"/>
        <v>98.69392065094695</v>
      </c>
      <c r="R43" s="56">
        <f t="shared" ca="1" si="6"/>
        <v>99</v>
      </c>
      <c r="S43" s="56">
        <f t="shared" ca="1" si="7"/>
        <v>99</v>
      </c>
      <c r="T43" s="39">
        <f t="shared" ca="1" si="8"/>
        <v>544500</v>
      </c>
      <c r="U43" s="61">
        <f t="shared" ca="1" si="9"/>
        <v>52000</v>
      </c>
      <c r="V43" s="61">
        <f t="shared" ca="1" si="10"/>
        <v>0</v>
      </c>
      <c r="W43" s="62">
        <f t="shared" ca="1" si="11"/>
        <v>96500</v>
      </c>
      <c r="X43" s="14"/>
      <c r="AB43" s="11">
        <v>38</v>
      </c>
      <c r="AC43">
        <v>59587.5</v>
      </c>
      <c r="AD43">
        <v>90197.5</v>
      </c>
      <c r="AE43">
        <v>113502.5</v>
      </c>
      <c r="AF43">
        <v>131365</v>
      </c>
      <c r="AG43">
        <v>138382.5</v>
      </c>
      <c r="AH43">
        <v>141755</v>
      </c>
      <c r="AI43">
        <v>127045</v>
      </c>
      <c r="AJ43">
        <v>122072.5</v>
      </c>
      <c r="AK43">
        <v>109860</v>
      </c>
      <c r="AL43">
        <v>91537.5</v>
      </c>
    </row>
    <row r="44" spans="11:38" x14ac:dyDescent="0.3">
      <c r="K44" s="40">
        <v>40</v>
      </c>
      <c r="L44" s="39">
        <f t="shared" ca="1" si="1"/>
        <v>0.30099196015775276</v>
      </c>
      <c r="M44" s="39">
        <f t="shared" ca="1" si="2"/>
        <v>160</v>
      </c>
      <c r="N44" s="39">
        <f t="shared" ca="1" si="3"/>
        <v>0.36912062986324101</v>
      </c>
      <c r="O44" s="39">
        <f t="shared" ca="1" si="3"/>
        <v>0.22354545951069893</v>
      </c>
      <c r="P44" s="67">
        <f t="shared" ca="1" si="4"/>
        <v>0.25926660893739401</v>
      </c>
      <c r="Q44" s="56">
        <f t="shared" ca="1" si="5"/>
        <v>118.51734257001695</v>
      </c>
      <c r="R44" s="56">
        <f t="shared" ca="1" si="6"/>
        <v>119</v>
      </c>
      <c r="S44" s="56">
        <f t="shared" ca="1" si="7"/>
        <v>119</v>
      </c>
      <c r="T44" s="39">
        <f t="shared" ca="1" si="8"/>
        <v>654500</v>
      </c>
      <c r="U44" s="61">
        <f t="shared" ca="1" si="9"/>
        <v>12000</v>
      </c>
      <c r="V44" s="61">
        <f t="shared" ca="1" si="10"/>
        <v>0</v>
      </c>
      <c r="W44" s="62">
        <f t="shared" ca="1" si="11"/>
        <v>166500</v>
      </c>
      <c r="X44" s="14"/>
      <c r="AB44" s="11">
        <v>39</v>
      </c>
      <c r="AC44">
        <v>56707.5</v>
      </c>
      <c r="AD44">
        <v>87677.5</v>
      </c>
      <c r="AE44">
        <v>110985</v>
      </c>
      <c r="AF44">
        <v>127455</v>
      </c>
      <c r="AG44">
        <v>138172.5</v>
      </c>
      <c r="AH44">
        <v>132932.5</v>
      </c>
      <c r="AI44">
        <v>141135</v>
      </c>
      <c r="AJ44">
        <v>121450</v>
      </c>
      <c r="AK44">
        <v>105072.5</v>
      </c>
      <c r="AL44">
        <v>81800</v>
      </c>
    </row>
    <row r="45" spans="11:38" x14ac:dyDescent="0.3">
      <c r="K45" s="40">
        <v>41</v>
      </c>
      <c r="L45" s="39">
        <f t="shared" ca="1" si="1"/>
        <v>0.22406586616780189</v>
      </c>
      <c r="M45" s="39">
        <f t="shared" ca="1" si="2"/>
        <v>140</v>
      </c>
      <c r="N45" s="39">
        <f t="shared" ca="1" si="3"/>
        <v>0.27714871259385399</v>
      </c>
      <c r="O45" s="39">
        <f t="shared" ca="1" si="3"/>
        <v>0.39656900672599915</v>
      </c>
      <c r="P45" s="67">
        <f t="shared" ca="1" si="4"/>
        <v>0.26737177193198536</v>
      </c>
      <c r="Q45" s="56">
        <f t="shared" ca="1" si="5"/>
        <v>102.56795192952205</v>
      </c>
      <c r="R45" s="56">
        <f t="shared" ca="1" si="6"/>
        <v>103</v>
      </c>
      <c r="S45" s="56">
        <f t="shared" ca="1" si="7"/>
        <v>103</v>
      </c>
      <c r="T45" s="39">
        <f t="shared" ca="1" si="8"/>
        <v>566500</v>
      </c>
      <c r="U45" s="61">
        <f t="shared" ca="1" si="9"/>
        <v>44000</v>
      </c>
      <c r="V45" s="61">
        <f t="shared" ca="1" si="10"/>
        <v>0</v>
      </c>
      <c r="W45" s="62">
        <f t="shared" ca="1" si="11"/>
        <v>110500</v>
      </c>
      <c r="X45" s="14"/>
      <c r="AB45" s="11">
        <v>40</v>
      </c>
      <c r="AC45">
        <v>56385</v>
      </c>
      <c r="AD45">
        <v>86845</v>
      </c>
      <c r="AE45">
        <v>113660</v>
      </c>
      <c r="AF45">
        <v>126020</v>
      </c>
      <c r="AG45">
        <v>134992.5</v>
      </c>
      <c r="AH45">
        <v>138682.5</v>
      </c>
      <c r="AI45">
        <v>129890</v>
      </c>
      <c r="AJ45">
        <v>123577.5</v>
      </c>
      <c r="AK45">
        <v>99820</v>
      </c>
      <c r="AL45">
        <v>82800</v>
      </c>
    </row>
    <row r="46" spans="11:38" x14ac:dyDescent="0.3">
      <c r="K46" s="40">
        <v>42</v>
      </c>
      <c r="L46" s="39">
        <f t="shared" ca="1" si="1"/>
        <v>0.85917496876355204</v>
      </c>
      <c r="M46" s="39">
        <f t="shared" ca="1" si="2"/>
        <v>200</v>
      </c>
      <c r="N46" s="39">
        <f t="shared" ca="1" si="3"/>
        <v>0.90362982618450172</v>
      </c>
      <c r="O46" s="39">
        <f t="shared" ca="1" si="3"/>
        <v>0.26652460530680955</v>
      </c>
      <c r="P46" s="67">
        <f t="shared" ca="1" si="4"/>
        <v>0.31701544314913116</v>
      </c>
      <c r="Q46" s="56">
        <f t="shared" ca="1" si="5"/>
        <v>136.59691137017376</v>
      </c>
      <c r="R46" s="56">
        <f t="shared" ca="1" si="6"/>
        <v>137</v>
      </c>
      <c r="S46" s="56">
        <f t="shared" ca="1" si="7"/>
        <v>125</v>
      </c>
      <c r="T46" s="39">
        <f t="shared" ca="1" si="8"/>
        <v>687500</v>
      </c>
      <c r="U46" s="61">
        <f t="shared" ca="1" si="9"/>
        <v>0</v>
      </c>
      <c r="V46" s="61">
        <f t="shared" ca="1" si="10"/>
        <v>18000</v>
      </c>
      <c r="W46" s="62">
        <f t="shared" ca="1" si="11"/>
        <v>169500</v>
      </c>
      <c r="X46" s="14"/>
      <c r="AB46" s="11">
        <v>41</v>
      </c>
      <c r="AC46">
        <v>55200</v>
      </c>
      <c r="AD46">
        <v>87667.5</v>
      </c>
      <c r="AE46">
        <v>117100</v>
      </c>
      <c r="AF46">
        <v>127727.5</v>
      </c>
      <c r="AG46">
        <v>139045</v>
      </c>
      <c r="AH46">
        <v>136212.5</v>
      </c>
      <c r="AI46">
        <v>127767.5</v>
      </c>
      <c r="AJ46">
        <v>128460</v>
      </c>
      <c r="AK46">
        <v>102807.5</v>
      </c>
      <c r="AL46">
        <v>89660</v>
      </c>
    </row>
    <row r="47" spans="11:38" x14ac:dyDescent="0.3">
      <c r="K47" s="40">
        <v>43</v>
      </c>
      <c r="L47" s="39">
        <f t="shared" ca="1" si="1"/>
        <v>2.5695180731196476E-2</v>
      </c>
      <c r="M47" s="39">
        <f t="shared" ca="1" si="2"/>
        <v>140</v>
      </c>
      <c r="N47" s="39">
        <f t="shared" ca="1" si="3"/>
        <v>0.14975494785806287</v>
      </c>
      <c r="O47" s="39">
        <f t="shared" ca="1" si="3"/>
        <v>0.57106625483184226</v>
      </c>
      <c r="P47" s="67">
        <f t="shared" ca="1" si="4"/>
        <v>0.27208212026899053</v>
      </c>
      <c r="Q47" s="56">
        <f t="shared" ca="1" si="5"/>
        <v>101.90850316234133</v>
      </c>
      <c r="R47" s="56">
        <f t="shared" ca="1" si="6"/>
        <v>102</v>
      </c>
      <c r="S47" s="56">
        <f t="shared" ca="1" si="7"/>
        <v>102</v>
      </c>
      <c r="T47" s="39">
        <f t="shared" ca="1" si="8"/>
        <v>561000</v>
      </c>
      <c r="U47" s="61">
        <f t="shared" ca="1" si="9"/>
        <v>46000</v>
      </c>
      <c r="V47" s="61">
        <f t="shared" ca="1" si="10"/>
        <v>0</v>
      </c>
      <c r="W47" s="62">
        <f t="shared" ca="1" si="11"/>
        <v>107000</v>
      </c>
      <c r="X47" s="14"/>
      <c r="AB47" s="11">
        <v>42</v>
      </c>
      <c r="AC47">
        <v>61312.5</v>
      </c>
      <c r="AD47">
        <v>90040</v>
      </c>
      <c r="AE47">
        <v>114682.5</v>
      </c>
      <c r="AF47">
        <v>125492.5</v>
      </c>
      <c r="AG47">
        <v>138112.5</v>
      </c>
      <c r="AH47">
        <v>134727.5</v>
      </c>
      <c r="AI47">
        <v>131990</v>
      </c>
      <c r="AJ47">
        <v>132127.5</v>
      </c>
      <c r="AK47">
        <v>101637.5</v>
      </c>
      <c r="AL47">
        <v>78022.5</v>
      </c>
    </row>
    <row r="48" spans="11:38" x14ac:dyDescent="0.3">
      <c r="K48" s="40">
        <v>44</v>
      </c>
      <c r="L48" s="39">
        <f t="shared" ca="1" si="1"/>
        <v>8.7145887226885654E-2</v>
      </c>
      <c r="M48" s="39">
        <f t="shared" ca="1" si="2"/>
        <v>140</v>
      </c>
      <c r="N48" s="39">
        <f t="shared" ca="1" si="3"/>
        <v>0.78872063957264726</v>
      </c>
      <c r="O48" s="39">
        <f t="shared" ca="1" si="3"/>
        <v>0.13153268039692589</v>
      </c>
      <c r="P48" s="67">
        <f t="shared" ca="1" si="4"/>
        <v>0.29202533199695735</v>
      </c>
      <c r="Q48" s="56">
        <f t="shared" ca="1" si="5"/>
        <v>99.116453520425978</v>
      </c>
      <c r="R48" s="56">
        <f t="shared" ca="1" si="6"/>
        <v>100</v>
      </c>
      <c r="S48" s="56">
        <f t="shared" ca="1" si="7"/>
        <v>100</v>
      </c>
      <c r="T48" s="39">
        <f t="shared" ca="1" si="8"/>
        <v>550000</v>
      </c>
      <c r="U48" s="61">
        <f t="shared" ca="1" si="9"/>
        <v>50000</v>
      </c>
      <c r="V48" s="61">
        <f t="shared" ca="1" si="10"/>
        <v>0</v>
      </c>
      <c r="W48" s="62">
        <f t="shared" ca="1" si="11"/>
        <v>100000</v>
      </c>
      <c r="X48" s="14"/>
      <c r="AB48" s="11">
        <v>43</v>
      </c>
      <c r="AC48">
        <v>55560</v>
      </c>
      <c r="AD48">
        <v>87342.5</v>
      </c>
      <c r="AE48">
        <v>110147.5</v>
      </c>
      <c r="AF48">
        <v>130882.5</v>
      </c>
      <c r="AG48">
        <v>139482.5</v>
      </c>
      <c r="AH48">
        <v>137370</v>
      </c>
      <c r="AI48">
        <v>136825</v>
      </c>
      <c r="AJ48">
        <v>131732.5</v>
      </c>
      <c r="AK48">
        <v>113057.5</v>
      </c>
      <c r="AL48">
        <v>87412.5</v>
      </c>
    </row>
    <row r="49" spans="11:38" x14ac:dyDescent="0.3">
      <c r="K49" s="40">
        <v>45</v>
      </c>
      <c r="L49" s="39">
        <f t="shared" ca="1" si="1"/>
        <v>0.19819736582155756</v>
      </c>
      <c r="M49" s="39">
        <f t="shared" ca="1" si="2"/>
        <v>140</v>
      </c>
      <c r="N49" s="39">
        <f t="shared" ca="1" si="3"/>
        <v>0.70030770533181619</v>
      </c>
      <c r="O49" s="39">
        <f t="shared" ca="1" si="3"/>
        <v>0.2966346964117631</v>
      </c>
      <c r="P49" s="67">
        <f t="shared" ca="1" si="4"/>
        <v>0.29969424017435797</v>
      </c>
      <c r="Q49" s="56">
        <f t="shared" ca="1" si="5"/>
        <v>98.04280637558989</v>
      </c>
      <c r="R49" s="56">
        <f t="shared" ca="1" si="6"/>
        <v>99</v>
      </c>
      <c r="S49" s="56">
        <f t="shared" ca="1" si="7"/>
        <v>99</v>
      </c>
      <c r="T49" s="39">
        <f t="shared" ca="1" si="8"/>
        <v>544500</v>
      </c>
      <c r="U49" s="61">
        <f t="shared" ca="1" si="9"/>
        <v>52000</v>
      </c>
      <c r="V49" s="61">
        <f t="shared" ca="1" si="10"/>
        <v>0</v>
      </c>
      <c r="W49" s="62">
        <f t="shared" ca="1" si="11"/>
        <v>96500</v>
      </c>
      <c r="X49" s="14"/>
      <c r="AB49" s="11">
        <v>44</v>
      </c>
      <c r="AC49">
        <v>55050</v>
      </c>
      <c r="AD49">
        <v>84187.5</v>
      </c>
      <c r="AE49">
        <v>113440</v>
      </c>
      <c r="AF49">
        <v>128510</v>
      </c>
      <c r="AG49">
        <v>138525</v>
      </c>
      <c r="AH49">
        <v>133805</v>
      </c>
      <c r="AI49">
        <v>132712.5</v>
      </c>
      <c r="AJ49">
        <v>123885</v>
      </c>
      <c r="AK49">
        <v>100590</v>
      </c>
      <c r="AL49">
        <v>93175</v>
      </c>
    </row>
    <row r="50" spans="11:38" x14ac:dyDescent="0.3">
      <c r="K50" s="40">
        <v>46</v>
      </c>
      <c r="L50" s="39">
        <f t="shared" ca="1" si="1"/>
        <v>2.0648696333750549E-2</v>
      </c>
      <c r="M50" s="39">
        <f t="shared" ca="1" si="2"/>
        <v>140</v>
      </c>
      <c r="N50" s="39">
        <f t="shared" ca="1" si="3"/>
        <v>0.35320090355546274</v>
      </c>
      <c r="O50" s="39">
        <f t="shared" ca="1" si="3"/>
        <v>0.62411853357193103</v>
      </c>
      <c r="P50" s="67">
        <f t="shared" ca="1" si="4"/>
        <v>0.29773194371273937</v>
      </c>
      <c r="Q50" s="56">
        <f t="shared" ca="1" si="5"/>
        <v>98.317527880216488</v>
      </c>
      <c r="R50" s="56">
        <f t="shared" ca="1" si="6"/>
        <v>99</v>
      </c>
      <c r="S50" s="56">
        <f t="shared" ca="1" si="7"/>
        <v>99</v>
      </c>
      <c r="T50" s="39">
        <f t="shared" ca="1" si="8"/>
        <v>544500</v>
      </c>
      <c r="U50" s="61">
        <f t="shared" ca="1" si="9"/>
        <v>52000</v>
      </c>
      <c r="V50" s="61">
        <f t="shared" ca="1" si="10"/>
        <v>0</v>
      </c>
      <c r="W50" s="62">
        <f t="shared" ca="1" si="11"/>
        <v>96500</v>
      </c>
      <c r="X50" s="14"/>
      <c r="AB50" s="11">
        <v>45</v>
      </c>
      <c r="AC50">
        <v>56625</v>
      </c>
      <c r="AD50">
        <v>84972.5</v>
      </c>
      <c r="AE50">
        <v>113425</v>
      </c>
      <c r="AF50">
        <v>129357.5</v>
      </c>
      <c r="AG50">
        <v>138117.5</v>
      </c>
      <c r="AH50">
        <v>142115</v>
      </c>
      <c r="AI50">
        <v>129040</v>
      </c>
      <c r="AJ50">
        <v>118092.5</v>
      </c>
      <c r="AK50">
        <v>108092.5</v>
      </c>
      <c r="AL50">
        <v>74645</v>
      </c>
    </row>
    <row r="51" spans="11:38" x14ac:dyDescent="0.3">
      <c r="K51" s="40">
        <v>47</v>
      </c>
      <c r="L51" s="39">
        <f t="shared" ca="1" si="1"/>
        <v>0.31581830173578063</v>
      </c>
      <c r="M51" s="39">
        <f t="shared" ca="1" si="2"/>
        <v>160</v>
      </c>
      <c r="N51" s="39">
        <f t="shared" ca="1" si="3"/>
        <v>0.38782493963159126</v>
      </c>
      <c r="O51" s="39">
        <f t="shared" ca="1" si="3"/>
        <v>0.43846600823643656</v>
      </c>
      <c r="P51" s="67">
        <f t="shared" ca="1" si="4"/>
        <v>0.28262909478680281</v>
      </c>
      <c r="Q51" s="56">
        <f t="shared" ca="1" si="5"/>
        <v>114.77934483411155</v>
      </c>
      <c r="R51" s="56">
        <f t="shared" ca="1" si="6"/>
        <v>115</v>
      </c>
      <c r="S51" s="56">
        <f t="shared" ca="1" si="7"/>
        <v>115</v>
      </c>
      <c r="T51" s="39">
        <f t="shared" ca="1" si="8"/>
        <v>632500</v>
      </c>
      <c r="U51" s="61">
        <f t="shared" ca="1" si="9"/>
        <v>20000</v>
      </c>
      <c r="V51" s="61">
        <f t="shared" ca="1" si="10"/>
        <v>0</v>
      </c>
      <c r="W51" s="62">
        <f t="shared" ca="1" si="11"/>
        <v>152500</v>
      </c>
      <c r="X51" s="14"/>
      <c r="AB51" s="11">
        <v>46</v>
      </c>
      <c r="AC51">
        <v>55717.5</v>
      </c>
      <c r="AD51">
        <v>89230</v>
      </c>
      <c r="AE51">
        <v>115740</v>
      </c>
      <c r="AF51">
        <v>128462.5</v>
      </c>
      <c r="AG51">
        <v>138460</v>
      </c>
      <c r="AH51">
        <v>136535</v>
      </c>
      <c r="AI51">
        <v>137435</v>
      </c>
      <c r="AJ51">
        <v>119400</v>
      </c>
      <c r="AK51">
        <v>107552.5</v>
      </c>
      <c r="AL51">
        <v>86632.5</v>
      </c>
    </row>
    <row r="52" spans="11:38" x14ac:dyDescent="0.3">
      <c r="K52" s="40">
        <v>48</v>
      </c>
      <c r="L52" s="39">
        <f t="shared" ca="1" si="1"/>
        <v>0.54222623692382921</v>
      </c>
      <c r="M52" s="39">
        <f t="shared" ca="1" si="2"/>
        <v>180</v>
      </c>
      <c r="N52" s="39">
        <f t="shared" ca="1" si="3"/>
        <v>0.88366019747414637</v>
      </c>
      <c r="O52" s="39">
        <f t="shared" ca="1" si="3"/>
        <v>0.93268856603430783</v>
      </c>
      <c r="P52" s="67">
        <f t="shared" ca="1" si="4"/>
        <v>0.38163487635084548</v>
      </c>
      <c r="Q52" s="56">
        <f t="shared" ca="1" si="5"/>
        <v>111.30572225684782</v>
      </c>
      <c r="R52" s="56">
        <f t="shared" ca="1" si="6"/>
        <v>112</v>
      </c>
      <c r="S52" s="56">
        <f t="shared" ca="1" si="7"/>
        <v>112</v>
      </c>
      <c r="T52" s="39">
        <f t="shared" ca="1" si="8"/>
        <v>616000</v>
      </c>
      <c r="U52" s="61">
        <f t="shared" ca="1" si="9"/>
        <v>26000</v>
      </c>
      <c r="V52" s="61">
        <f t="shared" ca="1" si="10"/>
        <v>0</v>
      </c>
      <c r="W52" s="62">
        <f t="shared" ca="1" si="11"/>
        <v>142000</v>
      </c>
      <c r="X52" s="14"/>
      <c r="AB52" s="11">
        <v>47</v>
      </c>
      <c r="AC52">
        <v>55455</v>
      </c>
      <c r="AD52">
        <v>87322.5</v>
      </c>
      <c r="AE52">
        <v>111470</v>
      </c>
      <c r="AF52">
        <v>129247.5</v>
      </c>
      <c r="AG52">
        <v>141095</v>
      </c>
      <c r="AH52">
        <v>136297.5</v>
      </c>
      <c r="AI52">
        <v>134652.5</v>
      </c>
      <c r="AJ52">
        <v>115920</v>
      </c>
      <c r="AK52">
        <v>101855</v>
      </c>
      <c r="AL52">
        <v>88497.5</v>
      </c>
    </row>
    <row r="53" spans="11:38" x14ac:dyDescent="0.3">
      <c r="K53" s="40">
        <v>49</v>
      </c>
      <c r="L53" s="39">
        <f t="shared" ca="1" si="1"/>
        <v>0.49972361841060309</v>
      </c>
      <c r="M53" s="39">
        <f t="shared" ca="1" si="2"/>
        <v>160</v>
      </c>
      <c r="N53" s="39">
        <f t="shared" ca="1" si="3"/>
        <v>0.97896608566191523</v>
      </c>
      <c r="O53" s="39">
        <f t="shared" ca="1" si="3"/>
        <v>0.706522768430076</v>
      </c>
      <c r="P53" s="67">
        <f t="shared" ca="1" si="4"/>
        <v>0.36854888540919917</v>
      </c>
      <c r="Q53" s="56">
        <f t="shared" ca="1" si="5"/>
        <v>101.03217833452814</v>
      </c>
      <c r="R53" s="56">
        <f t="shared" ca="1" si="6"/>
        <v>102</v>
      </c>
      <c r="S53" s="56">
        <f t="shared" ca="1" si="7"/>
        <v>102</v>
      </c>
      <c r="T53" s="39">
        <f t="shared" ca="1" si="8"/>
        <v>561000</v>
      </c>
      <c r="U53" s="61">
        <f t="shared" ca="1" si="9"/>
        <v>46000</v>
      </c>
      <c r="V53" s="61">
        <f t="shared" ca="1" si="10"/>
        <v>0</v>
      </c>
      <c r="W53" s="62">
        <f t="shared" ca="1" si="11"/>
        <v>107000</v>
      </c>
      <c r="X53" s="14"/>
      <c r="AB53" s="11">
        <v>48</v>
      </c>
      <c r="AC53">
        <v>59497.5</v>
      </c>
      <c r="AD53">
        <v>91572.5</v>
      </c>
      <c r="AE53">
        <v>116852.5</v>
      </c>
      <c r="AF53">
        <v>129595</v>
      </c>
      <c r="AG53">
        <v>137515</v>
      </c>
      <c r="AH53">
        <v>133575</v>
      </c>
      <c r="AI53">
        <v>136265</v>
      </c>
      <c r="AJ53">
        <v>119592.5</v>
      </c>
      <c r="AK53">
        <v>99305</v>
      </c>
      <c r="AL53">
        <v>87160</v>
      </c>
    </row>
    <row r="54" spans="11:38" x14ac:dyDescent="0.3">
      <c r="K54" s="40">
        <v>50</v>
      </c>
      <c r="L54" s="39">
        <f t="shared" ca="1" si="1"/>
        <v>0.7352600211078657</v>
      </c>
      <c r="M54" s="39">
        <f t="shared" ca="1" si="2"/>
        <v>200</v>
      </c>
      <c r="N54" s="39">
        <f t="shared" ca="1" si="3"/>
        <v>0.85161321638866194</v>
      </c>
      <c r="O54" s="39">
        <f t="shared" ca="1" si="3"/>
        <v>0.85752751292226259</v>
      </c>
      <c r="P54" s="67">
        <f t="shared" ca="1" si="4"/>
        <v>0.37091407293109246</v>
      </c>
      <c r="Q54" s="56">
        <f t="shared" ca="1" si="5"/>
        <v>125.8171854137815</v>
      </c>
      <c r="R54" s="56">
        <f t="shared" ca="1" si="6"/>
        <v>126</v>
      </c>
      <c r="S54" s="56">
        <f t="shared" ca="1" si="7"/>
        <v>125</v>
      </c>
      <c r="T54" s="39">
        <f t="shared" ca="1" si="8"/>
        <v>687500</v>
      </c>
      <c r="U54" s="61">
        <f t="shared" ca="1" si="9"/>
        <v>0</v>
      </c>
      <c r="V54" s="61">
        <f t="shared" ca="1" si="10"/>
        <v>1500</v>
      </c>
      <c r="W54" s="62">
        <f t="shared" ca="1" si="11"/>
        <v>186000</v>
      </c>
      <c r="X54" s="14"/>
      <c r="AB54" s="11">
        <v>49</v>
      </c>
      <c r="AC54">
        <v>59257.5</v>
      </c>
      <c r="AD54">
        <v>88607.5</v>
      </c>
      <c r="AE54">
        <v>112117.5</v>
      </c>
      <c r="AF54">
        <v>126675</v>
      </c>
      <c r="AG54">
        <v>138050</v>
      </c>
      <c r="AH54">
        <v>140472.5</v>
      </c>
      <c r="AI54">
        <v>131092.5</v>
      </c>
      <c r="AJ54">
        <v>121305</v>
      </c>
      <c r="AK54">
        <v>96332.5</v>
      </c>
      <c r="AL54">
        <v>77060</v>
      </c>
    </row>
    <row r="55" spans="11:38" x14ac:dyDescent="0.3">
      <c r="K55" s="40">
        <v>51</v>
      </c>
      <c r="L55" s="39">
        <f t="shared" ca="1" si="1"/>
        <v>0.7493508337611231</v>
      </c>
      <c r="M55" s="39">
        <f t="shared" ca="1" si="2"/>
        <v>200</v>
      </c>
      <c r="N55" s="39">
        <f t="shared" ca="1" si="3"/>
        <v>0.7957087537151003</v>
      </c>
      <c r="O55" s="39">
        <f t="shared" ca="1" si="3"/>
        <v>0.36839558112677462</v>
      </c>
      <c r="P55" s="67">
        <f t="shared" ca="1" si="4"/>
        <v>0.31641043348418751</v>
      </c>
      <c r="Q55" s="56">
        <f t="shared" ca="1" si="5"/>
        <v>136.7179133031625</v>
      </c>
      <c r="R55" s="56">
        <f t="shared" ca="1" si="6"/>
        <v>137</v>
      </c>
      <c r="S55" s="56">
        <f t="shared" ca="1" si="7"/>
        <v>125</v>
      </c>
      <c r="T55" s="39">
        <f t="shared" ca="1" si="8"/>
        <v>687500</v>
      </c>
      <c r="U55" s="61">
        <f t="shared" ca="1" si="9"/>
        <v>0</v>
      </c>
      <c r="V55" s="61">
        <f t="shared" ca="1" si="10"/>
        <v>18000</v>
      </c>
      <c r="W55" s="62">
        <f t="shared" ca="1" si="11"/>
        <v>169500</v>
      </c>
      <c r="X55" s="14"/>
      <c r="AB55" s="11">
        <v>50</v>
      </c>
      <c r="AC55">
        <v>54135</v>
      </c>
      <c r="AD55">
        <v>88235</v>
      </c>
      <c r="AE55">
        <v>114425</v>
      </c>
      <c r="AF55">
        <v>129540</v>
      </c>
      <c r="AG55">
        <v>139310</v>
      </c>
      <c r="AH55">
        <v>139912.5</v>
      </c>
      <c r="AI55">
        <v>133747.5</v>
      </c>
      <c r="AJ55">
        <v>125527.5</v>
      </c>
      <c r="AK55">
        <v>110110</v>
      </c>
      <c r="AL55">
        <v>81155</v>
      </c>
    </row>
    <row r="56" spans="11:38" x14ac:dyDescent="0.3">
      <c r="K56" s="40">
        <v>52</v>
      </c>
      <c r="L56" s="39">
        <f t="shared" ca="1" si="1"/>
        <v>0.98323692663531215</v>
      </c>
      <c r="M56" s="39">
        <f t="shared" ca="1" si="2"/>
        <v>220</v>
      </c>
      <c r="N56" s="39">
        <f t="shared" ca="1" si="3"/>
        <v>0.37037626216678055</v>
      </c>
      <c r="O56" s="39">
        <f t="shared" ca="1" si="3"/>
        <v>0.50045348270218404</v>
      </c>
      <c r="P56" s="67">
        <f t="shared" ca="1" si="4"/>
        <v>0.28708297448689646</v>
      </c>
      <c r="Q56" s="56">
        <f t="shared" ca="1" si="5"/>
        <v>156.84174561288279</v>
      </c>
      <c r="R56" s="56">
        <f t="shared" ca="1" si="6"/>
        <v>157</v>
      </c>
      <c r="S56" s="56">
        <f t="shared" ca="1" si="7"/>
        <v>125</v>
      </c>
      <c r="T56" s="39">
        <f t="shared" ca="1" si="8"/>
        <v>687500</v>
      </c>
      <c r="U56" s="61">
        <f t="shared" ca="1" si="9"/>
        <v>0</v>
      </c>
      <c r="V56" s="61">
        <f t="shared" ca="1" si="10"/>
        <v>48000</v>
      </c>
      <c r="W56" s="62">
        <f t="shared" ca="1" si="11"/>
        <v>139500</v>
      </c>
      <c r="X56" s="14"/>
      <c r="AB56" s="11">
        <v>51</v>
      </c>
      <c r="AC56">
        <v>58372.5</v>
      </c>
      <c r="AD56">
        <v>93447.5</v>
      </c>
      <c r="AE56">
        <v>112715</v>
      </c>
      <c r="AF56">
        <v>128780</v>
      </c>
      <c r="AG56">
        <v>135542.5</v>
      </c>
      <c r="AH56">
        <v>134670</v>
      </c>
      <c r="AI56">
        <v>132165</v>
      </c>
      <c r="AJ56">
        <v>122870</v>
      </c>
      <c r="AK56">
        <v>105375</v>
      </c>
      <c r="AL56">
        <v>92022.5</v>
      </c>
    </row>
    <row r="57" spans="11:38" x14ac:dyDescent="0.3">
      <c r="K57" s="40">
        <v>53</v>
      </c>
      <c r="L57" s="39">
        <f t="shared" ca="1" si="1"/>
        <v>0.88665956856115091</v>
      </c>
      <c r="M57" s="39">
        <f t="shared" ca="1" si="2"/>
        <v>200</v>
      </c>
      <c r="N57" s="39">
        <f t="shared" ca="1" si="3"/>
        <v>5.65009355354128E-2</v>
      </c>
      <c r="O57" s="39">
        <f t="shared" ca="1" si="3"/>
        <v>2.6765827850088519E-2</v>
      </c>
      <c r="P57" s="67">
        <f t="shared" ca="1" si="4"/>
        <v>0.20832667633855015</v>
      </c>
      <c r="Q57" s="56">
        <f t="shared" ca="1" si="5"/>
        <v>158.33466473228998</v>
      </c>
      <c r="R57" s="56">
        <f t="shared" ca="1" si="6"/>
        <v>159</v>
      </c>
      <c r="S57" s="56">
        <f t="shared" ca="1" si="7"/>
        <v>125</v>
      </c>
      <c r="T57" s="39">
        <f t="shared" ca="1" si="8"/>
        <v>687500</v>
      </c>
      <c r="U57" s="61">
        <f t="shared" ca="1" si="9"/>
        <v>0</v>
      </c>
      <c r="V57" s="61">
        <f t="shared" ca="1" si="10"/>
        <v>51000</v>
      </c>
      <c r="W57" s="62">
        <f t="shared" ca="1" si="11"/>
        <v>136500</v>
      </c>
      <c r="X57" s="14"/>
      <c r="AB57" s="11">
        <v>52</v>
      </c>
      <c r="AC57">
        <v>58207.5</v>
      </c>
      <c r="AD57">
        <v>89667.5</v>
      </c>
      <c r="AE57">
        <v>111795</v>
      </c>
      <c r="AF57">
        <v>127740</v>
      </c>
      <c r="AG57">
        <v>136727.5</v>
      </c>
      <c r="AH57">
        <v>142785</v>
      </c>
      <c r="AI57">
        <v>132865</v>
      </c>
      <c r="AJ57">
        <v>117082.5</v>
      </c>
      <c r="AK57">
        <v>104445</v>
      </c>
      <c r="AL57">
        <v>86075</v>
      </c>
    </row>
    <row r="58" spans="11:38" x14ac:dyDescent="0.3">
      <c r="K58" s="40">
        <v>54</v>
      </c>
      <c r="L58" s="39">
        <f t="shared" ca="1" si="1"/>
        <v>0.11028833241007374</v>
      </c>
      <c r="M58" s="39">
        <f t="shared" ca="1" si="2"/>
        <v>140</v>
      </c>
      <c r="N58" s="39">
        <f t="shared" ca="1" si="3"/>
        <v>0.23621613178235745</v>
      </c>
      <c r="O58" s="39">
        <f t="shared" ca="1" si="3"/>
        <v>0.89022111185065556</v>
      </c>
      <c r="P58" s="67">
        <f t="shared" ca="1" si="4"/>
        <v>0.31264372436330135</v>
      </c>
      <c r="Q58" s="56">
        <f t="shared" ca="1" si="5"/>
        <v>96.229878589137812</v>
      </c>
      <c r="R58" s="56">
        <f t="shared" ca="1" si="6"/>
        <v>97</v>
      </c>
      <c r="S58" s="56">
        <f t="shared" ca="1" si="7"/>
        <v>97</v>
      </c>
      <c r="T58" s="39">
        <f t="shared" ca="1" si="8"/>
        <v>533500</v>
      </c>
      <c r="U58" s="61">
        <f t="shared" ca="1" si="9"/>
        <v>56000</v>
      </c>
      <c r="V58" s="61">
        <f t="shared" ca="1" si="10"/>
        <v>0</v>
      </c>
      <c r="W58" s="62">
        <f t="shared" ca="1" si="11"/>
        <v>89500</v>
      </c>
      <c r="X58" s="14"/>
      <c r="AB58" s="11">
        <v>53</v>
      </c>
      <c r="AC58">
        <v>57967.5</v>
      </c>
      <c r="AD58">
        <v>87050</v>
      </c>
      <c r="AE58">
        <v>111885</v>
      </c>
      <c r="AF58">
        <v>128820</v>
      </c>
      <c r="AG58">
        <v>136805</v>
      </c>
      <c r="AH58">
        <v>142772.5</v>
      </c>
      <c r="AI58">
        <v>141785</v>
      </c>
      <c r="AJ58">
        <v>131495</v>
      </c>
      <c r="AK58">
        <v>110985</v>
      </c>
      <c r="AL58">
        <v>85215</v>
      </c>
    </row>
    <row r="59" spans="11:38" x14ac:dyDescent="0.3">
      <c r="K59" s="40">
        <v>55</v>
      </c>
      <c r="L59" s="39">
        <f t="shared" ca="1" si="1"/>
        <v>0.35138359160536459</v>
      </c>
      <c r="M59" s="39">
        <f t="shared" ca="1" si="2"/>
        <v>160</v>
      </c>
      <c r="N59" s="39">
        <f t="shared" ca="1" si="3"/>
        <v>0.34356443862461861</v>
      </c>
      <c r="O59" s="39">
        <f t="shared" ca="1" si="3"/>
        <v>0.16157236683603871</v>
      </c>
      <c r="P59" s="67">
        <f t="shared" ca="1" si="4"/>
        <v>0.25051368054606576</v>
      </c>
      <c r="Q59" s="56">
        <f t="shared" ca="1" si="5"/>
        <v>119.91781111262948</v>
      </c>
      <c r="R59" s="56">
        <f t="shared" ca="1" si="6"/>
        <v>120</v>
      </c>
      <c r="S59" s="56">
        <f t="shared" ca="1" si="7"/>
        <v>120</v>
      </c>
      <c r="T59" s="39">
        <f t="shared" ca="1" si="8"/>
        <v>660000</v>
      </c>
      <c r="U59" s="61">
        <f t="shared" ca="1" si="9"/>
        <v>10000</v>
      </c>
      <c r="V59" s="61">
        <f t="shared" ca="1" si="10"/>
        <v>0</v>
      </c>
      <c r="W59" s="62">
        <f t="shared" ca="1" si="11"/>
        <v>170000</v>
      </c>
      <c r="X59" s="14"/>
      <c r="AB59" s="11">
        <v>54</v>
      </c>
      <c r="AC59">
        <v>58680</v>
      </c>
      <c r="AD59">
        <v>87235</v>
      </c>
      <c r="AE59">
        <v>116362.5</v>
      </c>
      <c r="AF59">
        <v>129557.5</v>
      </c>
      <c r="AG59">
        <v>139147.5</v>
      </c>
      <c r="AH59">
        <v>141745</v>
      </c>
      <c r="AI59">
        <v>132585</v>
      </c>
      <c r="AJ59">
        <v>117397.5</v>
      </c>
      <c r="AK59">
        <v>100002.5</v>
      </c>
      <c r="AL59">
        <v>86555</v>
      </c>
    </row>
    <row r="60" spans="11:38" x14ac:dyDescent="0.3">
      <c r="K60" s="40">
        <v>56</v>
      </c>
      <c r="L60" s="39">
        <f t="shared" ca="1" si="1"/>
        <v>0.9827970341808957</v>
      </c>
      <c r="M60" s="39">
        <f t="shared" ca="1" si="2"/>
        <v>220</v>
      </c>
      <c r="N60" s="39">
        <f t="shared" ca="1" si="3"/>
        <v>0.52151541123662792</v>
      </c>
      <c r="O60" s="39">
        <f t="shared" ca="1" si="3"/>
        <v>0.61173625080661953</v>
      </c>
      <c r="P60" s="67">
        <f t="shared" ca="1" si="4"/>
        <v>0.31332516620432477</v>
      </c>
      <c r="Q60" s="56">
        <f t="shared" ca="1" si="5"/>
        <v>151.06846343504856</v>
      </c>
      <c r="R60" s="56">
        <f t="shared" ca="1" si="6"/>
        <v>152</v>
      </c>
      <c r="S60" s="56">
        <f t="shared" ca="1" si="7"/>
        <v>125</v>
      </c>
      <c r="T60" s="39">
        <f t="shared" ca="1" si="8"/>
        <v>687500</v>
      </c>
      <c r="U60" s="61">
        <f t="shared" ca="1" si="9"/>
        <v>0</v>
      </c>
      <c r="V60" s="61">
        <f t="shared" ca="1" si="10"/>
        <v>40500</v>
      </c>
      <c r="W60" s="62">
        <f t="shared" ca="1" si="11"/>
        <v>147000</v>
      </c>
      <c r="X60" s="14"/>
      <c r="AB60" s="11">
        <v>55</v>
      </c>
      <c r="AC60">
        <v>61237.5</v>
      </c>
      <c r="AD60">
        <v>91865</v>
      </c>
      <c r="AE60">
        <v>111862.5</v>
      </c>
      <c r="AF60">
        <v>127787.5</v>
      </c>
      <c r="AG60">
        <v>136350</v>
      </c>
      <c r="AH60">
        <v>129922.5</v>
      </c>
      <c r="AI60">
        <v>133807.5</v>
      </c>
      <c r="AJ60">
        <v>124632.5</v>
      </c>
      <c r="AK60">
        <v>112517.5</v>
      </c>
      <c r="AL60">
        <v>82645</v>
      </c>
    </row>
    <row r="61" spans="11:38" x14ac:dyDescent="0.3">
      <c r="K61" s="40">
        <v>57</v>
      </c>
      <c r="L61" s="39">
        <f t="shared" ca="1" si="1"/>
        <v>0.26565760203009126</v>
      </c>
      <c r="M61" s="39">
        <f t="shared" ca="1" si="2"/>
        <v>140</v>
      </c>
      <c r="N61" s="39">
        <f t="shared" ca="1" si="3"/>
        <v>0.26624561239261235</v>
      </c>
      <c r="O61" s="39">
        <f t="shared" ca="1" si="3"/>
        <v>0.39881328267489591</v>
      </c>
      <c r="P61" s="67">
        <f t="shared" ca="1" si="4"/>
        <v>0.26650588950675086</v>
      </c>
      <c r="Q61" s="56">
        <f t="shared" ca="1" si="5"/>
        <v>102.68917546905487</v>
      </c>
      <c r="R61" s="56">
        <f t="shared" ca="1" si="6"/>
        <v>103</v>
      </c>
      <c r="S61" s="56">
        <f t="shared" ca="1" si="7"/>
        <v>103</v>
      </c>
      <c r="T61" s="39">
        <f t="shared" ca="1" si="8"/>
        <v>566500</v>
      </c>
      <c r="U61" s="61">
        <f t="shared" ca="1" si="9"/>
        <v>44000</v>
      </c>
      <c r="V61" s="61">
        <f t="shared" ca="1" si="10"/>
        <v>0</v>
      </c>
      <c r="W61" s="62">
        <f t="shared" ca="1" si="11"/>
        <v>110500</v>
      </c>
      <c r="X61" s="14"/>
      <c r="AB61" s="11">
        <v>56</v>
      </c>
      <c r="AC61">
        <v>56842.5</v>
      </c>
      <c r="AD61">
        <v>86525</v>
      </c>
      <c r="AE61">
        <v>113990</v>
      </c>
      <c r="AF61">
        <v>128480</v>
      </c>
      <c r="AG61">
        <v>138597.5</v>
      </c>
      <c r="AH61">
        <v>137817.5</v>
      </c>
      <c r="AI61">
        <v>136275</v>
      </c>
      <c r="AJ61">
        <v>126937.5</v>
      </c>
      <c r="AK61">
        <v>103860</v>
      </c>
      <c r="AL61">
        <v>88347.5</v>
      </c>
    </row>
    <row r="62" spans="11:38" x14ac:dyDescent="0.3">
      <c r="K62" s="40">
        <v>58</v>
      </c>
      <c r="L62" s="39">
        <f t="shared" ca="1" si="1"/>
        <v>0.59544282842036245</v>
      </c>
      <c r="M62" s="39">
        <f t="shared" ca="1" si="2"/>
        <v>180</v>
      </c>
      <c r="N62" s="39">
        <f t="shared" ca="1" si="3"/>
        <v>0.97170651970833188</v>
      </c>
      <c r="O62" s="39">
        <f t="shared" ca="1" si="3"/>
        <v>0.22357084836678565</v>
      </c>
      <c r="P62" s="67">
        <f t="shared" ca="1" si="4"/>
        <v>0.31952773680751179</v>
      </c>
      <c r="Q62" s="56">
        <f t="shared" ca="1" si="5"/>
        <v>122.48500737464788</v>
      </c>
      <c r="R62" s="56">
        <f t="shared" ca="1" si="6"/>
        <v>123</v>
      </c>
      <c r="S62" s="56">
        <f t="shared" ca="1" si="7"/>
        <v>123</v>
      </c>
      <c r="T62" s="39">
        <f t="shared" ca="1" si="8"/>
        <v>676500</v>
      </c>
      <c r="U62" s="61">
        <f t="shared" ca="1" si="9"/>
        <v>4000</v>
      </c>
      <c r="V62" s="61">
        <f t="shared" ca="1" si="10"/>
        <v>0</v>
      </c>
      <c r="W62" s="62">
        <f t="shared" ca="1" si="11"/>
        <v>180500</v>
      </c>
      <c r="X62" s="14"/>
      <c r="AB62" s="11">
        <v>57</v>
      </c>
      <c r="AC62">
        <v>59737.5</v>
      </c>
      <c r="AD62">
        <v>87952.5</v>
      </c>
      <c r="AE62">
        <v>112725</v>
      </c>
      <c r="AF62">
        <v>129167.5</v>
      </c>
      <c r="AG62">
        <v>133492.5</v>
      </c>
      <c r="AH62">
        <v>134750</v>
      </c>
      <c r="AI62">
        <v>136670</v>
      </c>
      <c r="AJ62">
        <v>126627.5</v>
      </c>
      <c r="AK62">
        <v>105642.5</v>
      </c>
      <c r="AL62">
        <v>83077.5</v>
      </c>
    </row>
    <row r="63" spans="11:38" x14ac:dyDescent="0.3">
      <c r="K63" s="40">
        <v>59</v>
      </c>
      <c r="L63" s="39">
        <f t="shared" ca="1" si="1"/>
        <v>0.72027688068449969</v>
      </c>
      <c r="M63" s="39">
        <f t="shared" ca="1" si="2"/>
        <v>200</v>
      </c>
      <c r="N63" s="39">
        <f t="shared" ca="1" si="3"/>
        <v>0.11168473532590506</v>
      </c>
      <c r="O63" s="39">
        <f t="shared" ca="1" si="3"/>
        <v>0.60976474251774948</v>
      </c>
      <c r="P63" s="67">
        <f t="shared" ca="1" si="4"/>
        <v>0.27214494778436549</v>
      </c>
      <c r="Q63" s="56">
        <f t="shared" ca="1" si="5"/>
        <v>145.57101044312691</v>
      </c>
      <c r="R63" s="56">
        <f t="shared" ca="1" si="6"/>
        <v>146</v>
      </c>
      <c r="S63" s="56">
        <f t="shared" ca="1" si="7"/>
        <v>125</v>
      </c>
      <c r="T63" s="39">
        <f t="shared" ca="1" si="8"/>
        <v>687500</v>
      </c>
      <c r="U63" s="61">
        <f t="shared" ca="1" si="9"/>
        <v>0</v>
      </c>
      <c r="V63" s="61">
        <f t="shared" ca="1" si="10"/>
        <v>31500</v>
      </c>
      <c r="W63" s="62">
        <f t="shared" ca="1" si="11"/>
        <v>156000</v>
      </c>
      <c r="X63" s="14"/>
      <c r="AB63" s="11">
        <v>58</v>
      </c>
      <c r="AC63">
        <v>55792.5</v>
      </c>
      <c r="AD63">
        <v>85730</v>
      </c>
      <c r="AE63">
        <v>117000</v>
      </c>
      <c r="AF63">
        <v>128257.5</v>
      </c>
      <c r="AG63">
        <v>139887.5</v>
      </c>
      <c r="AH63">
        <v>138227.5</v>
      </c>
      <c r="AI63">
        <v>132992.5</v>
      </c>
      <c r="AJ63">
        <v>120620</v>
      </c>
      <c r="AK63">
        <v>108047.5</v>
      </c>
      <c r="AL63">
        <v>82362.5</v>
      </c>
    </row>
    <row r="64" spans="11:38" x14ac:dyDescent="0.3">
      <c r="K64" s="40">
        <v>60</v>
      </c>
      <c r="L64" s="39">
        <f t="shared" ca="1" si="1"/>
        <v>0.60111314322880893</v>
      </c>
      <c r="M64" s="39">
        <f t="shared" ca="1" si="2"/>
        <v>180</v>
      </c>
      <c r="N64" s="39">
        <f t="shared" ca="1" si="3"/>
        <v>0.58947595484208593</v>
      </c>
      <c r="O64" s="39">
        <f t="shared" ca="1" si="3"/>
        <v>0.43565050091390312</v>
      </c>
      <c r="P64" s="67">
        <f t="shared" ca="1" si="4"/>
        <v>0.30251264557559893</v>
      </c>
      <c r="Q64" s="56">
        <f t="shared" ca="1" si="5"/>
        <v>125.54772379639219</v>
      </c>
      <c r="R64" s="56">
        <f t="shared" ca="1" si="6"/>
        <v>126</v>
      </c>
      <c r="S64" s="56">
        <f t="shared" ca="1" si="7"/>
        <v>125</v>
      </c>
      <c r="T64" s="39">
        <f t="shared" ca="1" si="8"/>
        <v>687500</v>
      </c>
      <c r="U64" s="61">
        <f t="shared" ca="1" si="9"/>
        <v>0</v>
      </c>
      <c r="V64" s="61">
        <f t="shared" ca="1" si="10"/>
        <v>1500</v>
      </c>
      <c r="W64" s="62">
        <f t="shared" ca="1" si="11"/>
        <v>186000</v>
      </c>
      <c r="X64" s="14"/>
      <c r="AB64" s="11">
        <v>59</v>
      </c>
      <c r="AC64">
        <v>55875</v>
      </c>
      <c r="AD64">
        <v>83985</v>
      </c>
      <c r="AE64">
        <v>112027.5</v>
      </c>
      <c r="AF64">
        <v>129835</v>
      </c>
      <c r="AG64">
        <v>134557.5</v>
      </c>
      <c r="AH64">
        <v>139565</v>
      </c>
      <c r="AI64">
        <v>133960</v>
      </c>
      <c r="AJ64">
        <v>122197.5</v>
      </c>
      <c r="AK64">
        <v>103170</v>
      </c>
      <c r="AL64">
        <v>82120</v>
      </c>
    </row>
    <row r="65" spans="11:38" x14ac:dyDescent="0.3">
      <c r="K65" s="40">
        <v>61</v>
      </c>
      <c r="L65" s="39">
        <f t="shared" ca="1" si="1"/>
        <v>0.11945502061574576</v>
      </c>
      <c r="M65" s="39">
        <f t="shared" ca="1" si="2"/>
        <v>140</v>
      </c>
      <c r="N65" s="39">
        <f t="shared" ca="1" si="3"/>
        <v>0.45553654876684613</v>
      </c>
      <c r="O65" s="39">
        <f t="shared" ca="1" si="3"/>
        <v>8.561309036145559E-2</v>
      </c>
      <c r="P65" s="67">
        <f t="shared" ca="1" si="4"/>
        <v>0.25411496391283017</v>
      </c>
      <c r="Q65" s="56">
        <f t="shared" ca="1" si="5"/>
        <v>104.42390505220378</v>
      </c>
      <c r="R65" s="56">
        <f t="shared" ca="1" si="6"/>
        <v>105</v>
      </c>
      <c r="S65" s="56">
        <f t="shared" ca="1" si="7"/>
        <v>105</v>
      </c>
      <c r="T65" s="39">
        <f t="shared" ca="1" si="8"/>
        <v>577500</v>
      </c>
      <c r="U65" s="61">
        <f t="shared" ca="1" si="9"/>
        <v>40000</v>
      </c>
      <c r="V65" s="61">
        <f t="shared" ca="1" si="10"/>
        <v>0</v>
      </c>
      <c r="W65" s="62">
        <f t="shared" ca="1" si="11"/>
        <v>117500</v>
      </c>
      <c r="X65" s="14"/>
      <c r="AB65" s="11">
        <v>60</v>
      </c>
      <c r="AC65">
        <v>56280</v>
      </c>
      <c r="AD65">
        <v>87995</v>
      </c>
      <c r="AE65">
        <v>112875</v>
      </c>
      <c r="AF65">
        <v>129225</v>
      </c>
      <c r="AG65">
        <v>137590</v>
      </c>
      <c r="AH65">
        <v>135557.5</v>
      </c>
      <c r="AI65">
        <v>134097.5</v>
      </c>
      <c r="AJ65">
        <v>120912.5</v>
      </c>
      <c r="AK65">
        <v>100077.5</v>
      </c>
      <c r="AL65">
        <v>85265</v>
      </c>
    </row>
    <row r="66" spans="11:38" x14ac:dyDescent="0.3">
      <c r="K66" s="40">
        <v>62</v>
      </c>
      <c r="L66" s="39">
        <f t="shared" ca="1" si="1"/>
        <v>8.4708186250726736E-2</v>
      </c>
      <c r="M66" s="39">
        <f t="shared" ca="1" si="2"/>
        <v>140</v>
      </c>
      <c r="N66" s="39">
        <f t="shared" ca="1" si="3"/>
        <v>0.67481676398676593</v>
      </c>
      <c r="O66" s="39">
        <f t="shared" ca="1" si="3"/>
        <v>0.18068686193115913</v>
      </c>
      <c r="P66" s="67">
        <f t="shared" ca="1" si="4"/>
        <v>0.28555036259179251</v>
      </c>
      <c r="Q66" s="56">
        <f t="shared" ca="1" si="5"/>
        <v>100.02294923714905</v>
      </c>
      <c r="R66" s="56">
        <f t="shared" ca="1" si="6"/>
        <v>101</v>
      </c>
      <c r="S66" s="56">
        <f t="shared" ca="1" si="7"/>
        <v>101</v>
      </c>
      <c r="T66" s="39">
        <f t="shared" ca="1" si="8"/>
        <v>555500</v>
      </c>
      <c r="U66" s="61">
        <f t="shared" ca="1" si="9"/>
        <v>48000</v>
      </c>
      <c r="V66" s="61">
        <f t="shared" ca="1" si="10"/>
        <v>0</v>
      </c>
      <c r="W66" s="62">
        <f t="shared" ca="1" si="11"/>
        <v>103500</v>
      </c>
      <c r="X66" s="14"/>
      <c r="AB66" s="11">
        <v>61</v>
      </c>
      <c r="AC66">
        <v>57510</v>
      </c>
      <c r="AD66">
        <v>85082.5</v>
      </c>
      <c r="AE66">
        <v>112742.5</v>
      </c>
      <c r="AF66">
        <v>127537.5</v>
      </c>
      <c r="AG66">
        <v>140832.5</v>
      </c>
      <c r="AH66">
        <v>140715</v>
      </c>
      <c r="AI66">
        <v>130842.5</v>
      </c>
      <c r="AJ66">
        <v>111537.5</v>
      </c>
      <c r="AK66">
        <v>111317.5</v>
      </c>
      <c r="AL66">
        <v>74610</v>
      </c>
    </row>
    <row r="67" spans="11:38" x14ac:dyDescent="0.3">
      <c r="K67" s="40">
        <v>63</v>
      </c>
      <c r="L67" s="39">
        <f t="shared" ca="1" si="1"/>
        <v>0.65406694385233266</v>
      </c>
      <c r="M67" s="39">
        <f t="shared" ca="1" si="2"/>
        <v>200</v>
      </c>
      <c r="N67" s="39">
        <f t="shared" ca="1" si="3"/>
        <v>0.50016951010651212</v>
      </c>
      <c r="O67" s="39">
        <f t="shared" ca="1" si="3"/>
        <v>0.39267971596628848</v>
      </c>
      <c r="P67" s="67">
        <f t="shared" ca="1" si="4"/>
        <v>0.28928492260728006</v>
      </c>
      <c r="Q67" s="56">
        <f t="shared" ca="1" si="5"/>
        <v>142.14301547854399</v>
      </c>
      <c r="R67" s="56">
        <f t="shared" ca="1" si="6"/>
        <v>143</v>
      </c>
      <c r="S67" s="56">
        <f t="shared" ca="1" si="7"/>
        <v>125</v>
      </c>
      <c r="T67" s="39">
        <f t="shared" ca="1" si="8"/>
        <v>687500</v>
      </c>
      <c r="U67" s="61">
        <f t="shared" ca="1" si="9"/>
        <v>0</v>
      </c>
      <c r="V67" s="61">
        <f t="shared" ca="1" si="10"/>
        <v>27000</v>
      </c>
      <c r="W67" s="62">
        <f t="shared" ca="1" si="11"/>
        <v>160500</v>
      </c>
      <c r="X67" s="14"/>
      <c r="AB67" s="11">
        <v>62</v>
      </c>
      <c r="AC67">
        <v>57052.5</v>
      </c>
      <c r="AD67">
        <v>88817.5</v>
      </c>
      <c r="AE67">
        <v>112832.5</v>
      </c>
      <c r="AF67">
        <v>130200</v>
      </c>
      <c r="AG67">
        <v>137827.5</v>
      </c>
      <c r="AH67">
        <v>137337.5</v>
      </c>
      <c r="AI67">
        <v>138750</v>
      </c>
      <c r="AJ67">
        <v>122272.5</v>
      </c>
      <c r="AK67">
        <v>105532.5</v>
      </c>
      <c r="AL67">
        <v>74012.5</v>
      </c>
    </row>
    <row r="68" spans="11:38" x14ac:dyDescent="0.3">
      <c r="K68" s="40">
        <v>64</v>
      </c>
      <c r="L68" s="39">
        <f t="shared" ca="1" si="1"/>
        <v>9.6885542964153193E-2</v>
      </c>
      <c r="M68" s="39">
        <f t="shared" ca="1" si="2"/>
        <v>140</v>
      </c>
      <c r="N68" s="39">
        <f t="shared" ca="1" si="3"/>
        <v>0.66032230735290054</v>
      </c>
      <c r="O68" s="39">
        <f t="shared" ca="1" si="3"/>
        <v>9.5626476108962799E-2</v>
      </c>
      <c r="P68" s="67">
        <f t="shared" ca="1" si="4"/>
        <v>0.27559487834618634</v>
      </c>
      <c r="Q68" s="56">
        <f t="shared" ca="1" si="5"/>
        <v>101.41671703153392</v>
      </c>
      <c r="R68" s="56">
        <f t="shared" ca="1" si="6"/>
        <v>102</v>
      </c>
      <c r="S68" s="56">
        <f t="shared" ca="1" si="7"/>
        <v>102</v>
      </c>
      <c r="T68" s="39">
        <f t="shared" ca="1" si="8"/>
        <v>561000</v>
      </c>
      <c r="U68" s="61">
        <f t="shared" ca="1" si="9"/>
        <v>46000</v>
      </c>
      <c r="V68" s="61">
        <f t="shared" ca="1" si="10"/>
        <v>0</v>
      </c>
      <c r="W68" s="62">
        <f t="shared" ca="1" si="11"/>
        <v>107000</v>
      </c>
      <c r="X68" s="14"/>
      <c r="AB68" s="11">
        <v>63</v>
      </c>
      <c r="AC68">
        <v>55987.5</v>
      </c>
      <c r="AD68">
        <v>86562.5</v>
      </c>
      <c r="AE68">
        <v>110485</v>
      </c>
      <c r="AF68">
        <v>128112.5</v>
      </c>
      <c r="AG68">
        <v>134162.5</v>
      </c>
      <c r="AH68">
        <v>139685</v>
      </c>
      <c r="AI68">
        <v>132162.5</v>
      </c>
      <c r="AJ68">
        <v>126965</v>
      </c>
      <c r="AK68">
        <v>104475</v>
      </c>
      <c r="AL68">
        <v>86440</v>
      </c>
    </row>
    <row r="69" spans="11:38" x14ac:dyDescent="0.3">
      <c r="K69" s="40">
        <v>65</v>
      </c>
      <c r="L69" s="39">
        <f t="shared" ca="1" si="1"/>
        <v>1.0908855139529439E-2</v>
      </c>
      <c r="M69" s="39">
        <f t="shared" ca="1" si="2"/>
        <v>140</v>
      </c>
      <c r="N69" s="39">
        <f t="shared" ca="1" si="3"/>
        <v>0.25496303440817958</v>
      </c>
      <c r="O69" s="39">
        <f t="shared" ca="1" si="3"/>
        <v>0.20494767562344829</v>
      </c>
      <c r="P69" s="67">
        <f t="shared" ca="1" si="4"/>
        <v>0.24599107100316281</v>
      </c>
      <c r="Q69" s="56">
        <f t="shared" ca="1" si="5"/>
        <v>105.56125005955721</v>
      </c>
      <c r="R69" s="56">
        <f t="shared" ca="1" si="6"/>
        <v>106</v>
      </c>
      <c r="S69" s="56">
        <f t="shared" ca="1" si="7"/>
        <v>106</v>
      </c>
      <c r="T69" s="39">
        <f t="shared" ca="1" si="8"/>
        <v>583000</v>
      </c>
      <c r="U69" s="61">
        <f t="shared" ca="1" si="9"/>
        <v>38000</v>
      </c>
      <c r="V69" s="61">
        <f t="shared" ca="1" si="10"/>
        <v>0</v>
      </c>
      <c r="W69" s="62">
        <f t="shared" ca="1" si="11"/>
        <v>121000</v>
      </c>
      <c r="X69" s="14"/>
      <c r="AB69" s="11">
        <v>64</v>
      </c>
      <c r="AC69">
        <v>58222.5</v>
      </c>
      <c r="AD69">
        <v>86700</v>
      </c>
      <c r="AE69">
        <v>113942.5</v>
      </c>
      <c r="AF69">
        <v>127055</v>
      </c>
      <c r="AG69">
        <v>138365</v>
      </c>
      <c r="AH69">
        <v>136282.5</v>
      </c>
      <c r="AI69">
        <v>132757.5</v>
      </c>
      <c r="AJ69">
        <v>122432.5</v>
      </c>
      <c r="AK69">
        <v>100835</v>
      </c>
      <c r="AL69">
        <v>89905</v>
      </c>
    </row>
    <row r="70" spans="11:38" x14ac:dyDescent="0.3">
      <c r="K70" s="40">
        <v>66</v>
      </c>
      <c r="L70" s="39">
        <f t="shared" ref="L70:L133" ca="1" si="12">RAND()</f>
        <v>0.42435577471330432</v>
      </c>
      <c r="M70" s="39">
        <f t="shared" ref="M70:M133" ca="1" si="13">VLOOKUP(L70,$C$5:$E$9,3,TRUE)</f>
        <v>160</v>
      </c>
      <c r="N70" s="39">
        <f t="shared" ref="N70:O133" ca="1" si="14">RAND()</f>
        <v>0.95394736980755834</v>
      </c>
      <c r="O70" s="39">
        <f t="shared" ca="1" si="14"/>
        <v>0.46269726064191896</v>
      </c>
      <c r="P70" s="67">
        <f t="shared" ref="P70:P133" ca="1" si="15">$E$11+($E$12-$E$11)/2*(N70+O70)</f>
        <v>0.34166446304494774</v>
      </c>
      <c r="Q70" s="56">
        <f t="shared" ref="Q70:Q133" ca="1" si="16">M70-(M70*P70)</f>
        <v>105.33368591280836</v>
      </c>
      <c r="R70" s="56">
        <f t="shared" ref="R70:R133" ca="1" si="17">ROUNDUP(Q70,0)</f>
        <v>106</v>
      </c>
      <c r="S70" s="56">
        <f t="shared" ref="S70:S133" ca="1" si="18">MIN(R70,$M$1)</f>
        <v>106</v>
      </c>
      <c r="T70" s="39">
        <f t="shared" ref="T70:T133" ca="1" si="19">S70*$B$14</f>
        <v>583000</v>
      </c>
      <c r="U70" s="61">
        <f t="shared" ref="U70:U133" ca="1" si="20">($M$1-S70)*$B$15</f>
        <v>38000</v>
      </c>
      <c r="V70" s="61">
        <f t="shared" ref="V70:V133" ca="1" si="21">IF(R70&gt;$M$1,(R70-$M$1)*1500,0)</f>
        <v>0</v>
      </c>
      <c r="W70" s="62">
        <f t="shared" ref="W70:W133" ca="1" si="22">U70+T70-$M$2-V70</f>
        <v>121000</v>
      </c>
      <c r="X70" s="14"/>
      <c r="AB70" s="11">
        <v>65</v>
      </c>
      <c r="AC70">
        <v>62842.5</v>
      </c>
      <c r="AD70">
        <v>92032.5</v>
      </c>
      <c r="AE70">
        <v>107132.5</v>
      </c>
      <c r="AF70">
        <v>129975</v>
      </c>
      <c r="AG70">
        <v>134687.5</v>
      </c>
      <c r="AH70">
        <v>140890</v>
      </c>
      <c r="AI70">
        <v>131292.5</v>
      </c>
      <c r="AJ70">
        <v>119857.5</v>
      </c>
      <c r="AK70">
        <v>115667.5</v>
      </c>
      <c r="AL70">
        <v>82852.5</v>
      </c>
    </row>
    <row r="71" spans="11:38" x14ac:dyDescent="0.3">
      <c r="K71" s="40">
        <v>67</v>
      </c>
      <c r="L71" s="39">
        <f t="shared" ca="1" si="12"/>
        <v>1.3419251493415052E-3</v>
      </c>
      <c r="M71" s="39">
        <f t="shared" ca="1" si="13"/>
        <v>140</v>
      </c>
      <c r="N71" s="39">
        <f t="shared" ca="1" si="14"/>
        <v>0.14826304554811043</v>
      </c>
      <c r="O71" s="39">
        <f t="shared" ca="1" si="14"/>
        <v>0.74871172297400868</v>
      </c>
      <c r="P71" s="67">
        <f t="shared" ca="1" si="15"/>
        <v>0.28969747685221192</v>
      </c>
      <c r="Q71" s="56">
        <f t="shared" ca="1" si="16"/>
        <v>99.442353240690323</v>
      </c>
      <c r="R71" s="56">
        <f t="shared" ca="1" si="17"/>
        <v>100</v>
      </c>
      <c r="S71" s="56">
        <f t="shared" ca="1" si="18"/>
        <v>100</v>
      </c>
      <c r="T71" s="39">
        <f t="shared" ca="1" si="19"/>
        <v>550000</v>
      </c>
      <c r="U71" s="61">
        <f t="shared" ca="1" si="20"/>
        <v>50000</v>
      </c>
      <c r="V71" s="61">
        <f t="shared" ca="1" si="21"/>
        <v>0</v>
      </c>
      <c r="W71" s="62">
        <f t="shared" ca="1" si="22"/>
        <v>100000</v>
      </c>
      <c r="X71" s="14"/>
      <c r="AB71" s="11">
        <v>66</v>
      </c>
      <c r="AC71">
        <v>51337.5</v>
      </c>
      <c r="AD71">
        <v>87275</v>
      </c>
      <c r="AE71">
        <v>113950</v>
      </c>
      <c r="AF71">
        <v>128010</v>
      </c>
      <c r="AG71">
        <v>138055</v>
      </c>
      <c r="AH71">
        <v>144230</v>
      </c>
      <c r="AI71">
        <v>135265</v>
      </c>
      <c r="AJ71">
        <v>128255</v>
      </c>
      <c r="AK71">
        <v>103830</v>
      </c>
      <c r="AL71">
        <v>78092.5</v>
      </c>
    </row>
    <row r="72" spans="11:38" x14ac:dyDescent="0.3">
      <c r="K72" s="40">
        <v>68</v>
      </c>
      <c r="L72" s="39">
        <f t="shared" ca="1" si="12"/>
        <v>0.12581876834587302</v>
      </c>
      <c r="M72" s="39">
        <f t="shared" ca="1" si="13"/>
        <v>140</v>
      </c>
      <c r="N72" s="39">
        <f t="shared" ca="1" si="14"/>
        <v>0.23335660702959216</v>
      </c>
      <c r="O72" s="39">
        <f t="shared" ca="1" si="14"/>
        <v>0.85982226564058717</v>
      </c>
      <c r="P72" s="67">
        <f t="shared" ca="1" si="15"/>
        <v>0.30931788726701792</v>
      </c>
      <c r="Q72" s="56">
        <f t="shared" ca="1" si="16"/>
        <v>96.695495782617485</v>
      </c>
      <c r="R72" s="56">
        <f t="shared" ca="1" si="17"/>
        <v>97</v>
      </c>
      <c r="S72" s="56">
        <f t="shared" ca="1" si="18"/>
        <v>97</v>
      </c>
      <c r="T72" s="39">
        <f t="shared" ca="1" si="19"/>
        <v>533500</v>
      </c>
      <c r="U72" s="61">
        <f t="shared" ca="1" si="20"/>
        <v>56000</v>
      </c>
      <c r="V72" s="61">
        <f t="shared" ca="1" si="21"/>
        <v>0</v>
      </c>
      <c r="W72" s="62">
        <f t="shared" ca="1" si="22"/>
        <v>89500</v>
      </c>
      <c r="X72" s="14"/>
      <c r="AB72" s="11">
        <v>67</v>
      </c>
      <c r="AC72">
        <v>59685</v>
      </c>
      <c r="AD72">
        <v>86657.5</v>
      </c>
      <c r="AE72">
        <v>111675</v>
      </c>
      <c r="AF72">
        <v>126860</v>
      </c>
      <c r="AG72">
        <v>136020</v>
      </c>
      <c r="AH72">
        <v>136602.5</v>
      </c>
      <c r="AI72">
        <v>135707.5</v>
      </c>
      <c r="AJ72">
        <v>130082.5</v>
      </c>
      <c r="AK72">
        <v>97767.5</v>
      </c>
      <c r="AL72">
        <v>83565</v>
      </c>
    </row>
    <row r="73" spans="11:38" x14ac:dyDescent="0.3">
      <c r="K73" s="40">
        <v>69</v>
      </c>
      <c r="L73" s="39">
        <f t="shared" ca="1" si="12"/>
        <v>0.99779593318507687</v>
      </c>
      <c r="M73" s="39">
        <f t="shared" ca="1" si="13"/>
        <v>220</v>
      </c>
      <c r="N73" s="39">
        <f t="shared" ca="1" si="14"/>
        <v>0.18876501896774089</v>
      </c>
      <c r="O73" s="39">
        <f t="shared" ca="1" si="14"/>
        <v>0.16262546445928272</v>
      </c>
      <c r="P73" s="67">
        <f t="shared" ca="1" si="15"/>
        <v>0.23513904834270238</v>
      </c>
      <c r="Q73" s="56">
        <f t="shared" ca="1" si="16"/>
        <v>168.26940936460548</v>
      </c>
      <c r="R73" s="56">
        <f t="shared" ca="1" si="17"/>
        <v>169</v>
      </c>
      <c r="S73" s="56">
        <f t="shared" ca="1" si="18"/>
        <v>125</v>
      </c>
      <c r="T73" s="39">
        <f t="shared" ca="1" si="19"/>
        <v>687500</v>
      </c>
      <c r="U73" s="61">
        <f t="shared" ca="1" si="20"/>
        <v>0</v>
      </c>
      <c r="V73" s="61">
        <f t="shared" ca="1" si="21"/>
        <v>66000</v>
      </c>
      <c r="W73" s="62">
        <f t="shared" ca="1" si="22"/>
        <v>121500</v>
      </c>
      <c r="X73" s="14"/>
      <c r="AB73" s="11">
        <v>68</v>
      </c>
      <c r="AC73">
        <v>56340</v>
      </c>
      <c r="AD73">
        <v>84432.5</v>
      </c>
      <c r="AE73">
        <v>112092.5</v>
      </c>
      <c r="AF73">
        <v>131030</v>
      </c>
      <c r="AG73">
        <v>139202.5</v>
      </c>
      <c r="AH73">
        <v>139005</v>
      </c>
      <c r="AI73">
        <v>128912.5</v>
      </c>
      <c r="AJ73">
        <v>119162.5</v>
      </c>
      <c r="AK73">
        <v>110855</v>
      </c>
      <c r="AL73">
        <v>94370</v>
      </c>
    </row>
    <row r="74" spans="11:38" x14ac:dyDescent="0.3">
      <c r="K74" s="40">
        <v>70</v>
      </c>
      <c r="L74" s="39">
        <f t="shared" ca="1" si="12"/>
        <v>5.7307946465912085E-4</v>
      </c>
      <c r="M74" s="39">
        <f t="shared" ca="1" si="13"/>
        <v>140</v>
      </c>
      <c r="N74" s="39">
        <f t="shared" ca="1" si="14"/>
        <v>0.31450061666189211</v>
      </c>
      <c r="O74" s="39">
        <f t="shared" ca="1" si="14"/>
        <v>0.47956521528771179</v>
      </c>
      <c r="P74" s="67">
        <f t="shared" ca="1" si="15"/>
        <v>0.27940658319496042</v>
      </c>
      <c r="Q74" s="56">
        <f t="shared" ca="1" si="16"/>
        <v>100.88307835270554</v>
      </c>
      <c r="R74" s="56">
        <f t="shared" ca="1" si="17"/>
        <v>101</v>
      </c>
      <c r="S74" s="56">
        <f t="shared" ca="1" si="18"/>
        <v>101</v>
      </c>
      <c r="T74" s="39">
        <f t="shared" ca="1" si="19"/>
        <v>555500</v>
      </c>
      <c r="U74" s="61">
        <f t="shared" ca="1" si="20"/>
        <v>48000</v>
      </c>
      <c r="V74" s="61">
        <f t="shared" ca="1" si="21"/>
        <v>0</v>
      </c>
      <c r="W74" s="62">
        <f t="shared" ca="1" si="22"/>
        <v>103500</v>
      </c>
      <c r="X74" s="14"/>
      <c r="AB74" s="11">
        <v>69</v>
      </c>
      <c r="AC74">
        <v>54337.5</v>
      </c>
      <c r="AD74">
        <v>85722.5</v>
      </c>
      <c r="AE74">
        <v>112445</v>
      </c>
      <c r="AF74">
        <v>125615</v>
      </c>
      <c r="AG74">
        <v>134522.5</v>
      </c>
      <c r="AH74">
        <v>134687.5</v>
      </c>
      <c r="AI74">
        <v>134192.5</v>
      </c>
      <c r="AJ74">
        <v>116797.5</v>
      </c>
      <c r="AK74">
        <v>106537.5</v>
      </c>
      <c r="AL74">
        <v>88902.5</v>
      </c>
    </row>
    <row r="75" spans="11:38" x14ac:dyDescent="0.3">
      <c r="K75" s="40">
        <v>71</v>
      </c>
      <c r="L75" s="39">
        <f t="shared" ca="1" si="12"/>
        <v>0.42210950667304226</v>
      </c>
      <c r="M75" s="39">
        <f t="shared" ca="1" si="13"/>
        <v>160</v>
      </c>
      <c r="N75" s="39">
        <f t="shared" ca="1" si="14"/>
        <v>0.25057760275174157</v>
      </c>
      <c r="O75" s="39">
        <f t="shared" ca="1" si="14"/>
        <v>0.62925828721478205</v>
      </c>
      <c r="P75" s="67">
        <f t="shared" ca="1" si="15"/>
        <v>0.28798358899665238</v>
      </c>
      <c r="Q75" s="56">
        <f t="shared" ca="1" si="16"/>
        <v>113.92262576053562</v>
      </c>
      <c r="R75" s="56">
        <f t="shared" ca="1" si="17"/>
        <v>114</v>
      </c>
      <c r="S75" s="56">
        <f t="shared" ca="1" si="18"/>
        <v>114</v>
      </c>
      <c r="T75" s="39">
        <f t="shared" ca="1" si="19"/>
        <v>627000</v>
      </c>
      <c r="U75" s="61">
        <f t="shared" ca="1" si="20"/>
        <v>22000</v>
      </c>
      <c r="V75" s="61">
        <f t="shared" ca="1" si="21"/>
        <v>0</v>
      </c>
      <c r="W75" s="62">
        <f t="shared" ca="1" si="22"/>
        <v>149000</v>
      </c>
      <c r="X75" s="14"/>
      <c r="AB75" s="11">
        <v>70</v>
      </c>
      <c r="AC75">
        <v>56482.5</v>
      </c>
      <c r="AD75">
        <v>83865</v>
      </c>
      <c r="AE75">
        <v>116107.5</v>
      </c>
      <c r="AF75">
        <v>127362.5</v>
      </c>
      <c r="AG75">
        <v>136607.5</v>
      </c>
      <c r="AH75">
        <v>140742.5</v>
      </c>
      <c r="AI75">
        <v>136945</v>
      </c>
      <c r="AJ75">
        <v>122010</v>
      </c>
      <c r="AK75">
        <v>107315</v>
      </c>
      <c r="AL75">
        <v>97062.5</v>
      </c>
    </row>
    <row r="76" spans="11:38" x14ac:dyDescent="0.3">
      <c r="K76" s="40">
        <v>72</v>
      </c>
      <c r="L76" s="39">
        <f t="shared" ca="1" si="12"/>
        <v>0.16470748334410257</v>
      </c>
      <c r="M76" s="39">
        <f t="shared" ca="1" si="13"/>
        <v>140</v>
      </c>
      <c r="N76" s="39">
        <f t="shared" ca="1" si="14"/>
        <v>0.78220992170780179</v>
      </c>
      <c r="O76" s="39">
        <f t="shared" ca="1" si="14"/>
        <v>0.88953896578124669</v>
      </c>
      <c r="P76" s="67">
        <f t="shared" ca="1" si="15"/>
        <v>0.36717488874890486</v>
      </c>
      <c r="Q76" s="56">
        <f t="shared" ca="1" si="16"/>
        <v>88.595515575153314</v>
      </c>
      <c r="R76" s="56">
        <f t="shared" ca="1" si="17"/>
        <v>89</v>
      </c>
      <c r="S76" s="56">
        <f t="shared" ca="1" si="18"/>
        <v>89</v>
      </c>
      <c r="T76" s="39">
        <f t="shared" ca="1" si="19"/>
        <v>489500</v>
      </c>
      <c r="U76" s="61">
        <f t="shared" ca="1" si="20"/>
        <v>72000</v>
      </c>
      <c r="V76" s="61">
        <f t="shared" ca="1" si="21"/>
        <v>0</v>
      </c>
      <c r="W76" s="62">
        <f t="shared" ca="1" si="22"/>
        <v>61500</v>
      </c>
      <c r="X76" s="14"/>
      <c r="AB76" s="11">
        <v>71</v>
      </c>
      <c r="AC76">
        <v>55657.5</v>
      </c>
      <c r="AD76">
        <v>85460</v>
      </c>
      <c r="AE76">
        <v>112682.5</v>
      </c>
      <c r="AF76">
        <v>128550</v>
      </c>
      <c r="AG76">
        <v>134470</v>
      </c>
      <c r="AH76">
        <v>140447.5</v>
      </c>
      <c r="AI76">
        <v>132412.5</v>
      </c>
      <c r="AJ76">
        <v>122232.5</v>
      </c>
      <c r="AK76">
        <v>107415</v>
      </c>
      <c r="AL76">
        <v>81540</v>
      </c>
    </row>
    <row r="77" spans="11:38" x14ac:dyDescent="0.3">
      <c r="K77" s="40">
        <v>73</v>
      </c>
      <c r="L77" s="39">
        <f t="shared" ca="1" si="12"/>
        <v>0.70964472791624977</v>
      </c>
      <c r="M77" s="39">
        <f t="shared" ca="1" si="13"/>
        <v>200</v>
      </c>
      <c r="N77" s="39">
        <f t="shared" ca="1" si="14"/>
        <v>0.82985582022911952</v>
      </c>
      <c r="O77" s="39">
        <f t="shared" ca="1" si="14"/>
        <v>0.43136614652955374</v>
      </c>
      <c r="P77" s="67">
        <f t="shared" ca="1" si="15"/>
        <v>0.32612219667586734</v>
      </c>
      <c r="Q77" s="56">
        <f t="shared" ca="1" si="16"/>
        <v>134.77556066482651</v>
      </c>
      <c r="R77" s="56">
        <f t="shared" ca="1" si="17"/>
        <v>135</v>
      </c>
      <c r="S77" s="56">
        <f t="shared" ca="1" si="18"/>
        <v>125</v>
      </c>
      <c r="T77" s="39">
        <f t="shared" ca="1" si="19"/>
        <v>687500</v>
      </c>
      <c r="U77" s="61">
        <f t="shared" ca="1" si="20"/>
        <v>0</v>
      </c>
      <c r="V77" s="61">
        <f t="shared" ca="1" si="21"/>
        <v>15000</v>
      </c>
      <c r="W77" s="62">
        <f t="shared" ca="1" si="22"/>
        <v>172500</v>
      </c>
      <c r="X77" s="14"/>
      <c r="AB77" s="11">
        <v>72</v>
      </c>
      <c r="AC77">
        <v>57742.5</v>
      </c>
      <c r="AD77">
        <v>87302.5</v>
      </c>
      <c r="AE77">
        <v>114995</v>
      </c>
      <c r="AF77">
        <v>129242.5</v>
      </c>
      <c r="AG77">
        <v>135690</v>
      </c>
      <c r="AH77">
        <v>136960</v>
      </c>
      <c r="AI77">
        <v>135330</v>
      </c>
      <c r="AJ77">
        <v>123470</v>
      </c>
      <c r="AK77">
        <v>96855</v>
      </c>
      <c r="AL77">
        <v>83867.5</v>
      </c>
    </row>
    <row r="78" spans="11:38" x14ac:dyDescent="0.3">
      <c r="K78" s="40">
        <v>74</v>
      </c>
      <c r="L78" s="39">
        <f t="shared" ca="1" si="12"/>
        <v>0.50535532989890741</v>
      </c>
      <c r="M78" s="39">
        <f t="shared" ca="1" si="13"/>
        <v>180</v>
      </c>
      <c r="N78" s="39">
        <f t="shared" ca="1" si="14"/>
        <v>0.9334561479808835</v>
      </c>
      <c r="O78" s="39">
        <f t="shared" ca="1" si="14"/>
        <v>0.83755630278591975</v>
      </c>
      <c r="P78" s="67">
        <f t="shared" ca="1" si="15"/>
        <v>0.37710124507668036</v>
      </c>
      <c r="Q78" s="56">
        <f t="shared" ca="1" si="16"/>
        <v>112.12177588619754</v>
      </c>
      <c r="R78" s="56">
        <f t="shared" ca="1" si="17"/>
        <v>113</v>
      </c>
      <c r="S78" s="56">
        <f t="shared" ca="1" si="18"/>
        <v>113</v>
      </c>
      <c r="T78" s="39">
        <f t="shared" ca="1" si="19"/>
        <v>621500</v>
      </c>
      <c r="U78" s="61">
        <f t="shared" ca="1" si="20"/>
        <v>24000</v>
      </c>
      <c r="V78" s="61">
        <f t="shared" ca="1" si="21"/>
        <v>0</v>
      </c>
      <c r="W78" s="62">
        <f t="shared" ca="1" si="22"/>
        <v>145500</v>
      </c>
      <c r="X78" s="14"/>
      <c r="AB78" s="11">
        <v>73</v>
      </c>
      <c r="AC78">
        <v>57232.5</v>
      </c>
      <c r="AD78">
        <v>86025</v>
      </c>
      <c r="AE78">
        <v>109335</v>
      </c>
      <c r="AF78">
        <v>127940</v>
      </c>
      <c r="AG78">
        <v>136977.5</v>
      </c>
      <c r="AH78">
        <v>137552.5</v>
      </c>
      <c r="AI78">
        <v>133587.5</v>
      </c>
      <c r="AJ78">
        <v>122315</v>
      </c>
      <c r="AK78">
        <v>105092.5</v>
      </c>
      <c r="AL78">
        <v>81925</v>
      </c>
    </row>
    <row r="79" spans="11:38" x14ac:dyDescent="0.3">
      <c r="K79" s="40">
        <v>75</v>
      </c>
      <c r="L79" s="39">
        <f t="shared" ca="1" si="12"/>
        <v>0.92187480214771367</v>
      </c>
      <c r="M79" s="39">
        <f t="shared" ca="1" si="13"/>
        <v>220</v>
      </c>
      <c r="N79" s="39">
        <f t="shared" ca="1" si="14"/>
        <v>0.41625903151460464</v>
      </c>
      <c r="O79" s="39">
        <f t="shared" ca="1" si="14"/>
        <v>0.27385842586367004</v>
      </c>
      <c r="P79" s="67">
        <f t="shared" ca="1" si="15"/>
        <v>0.26901174573782749</v>
      </c>
      <c r="Q79" s="56">
        <f t="shared" ca="1" si="16"/>
        <v>160.81741593767794</v>
      </c>
      <c r="R79" s="56">
        <f t="shared" ca="1" si="17"/>
        <v>161</v>
      </c>
      <c r="S79" s="56">
        <f t="shared" ca="1" si="18"/>
        <v>125</v>
      </c>
      <c r="T79" s="39">
        <f t="shared" ca="1" si="19"/>
        <v>687500</v>
      </c>
      <c r="U79" s="61">
        <f t="shared" ca="1" si="20"/>
        <v>0</v>
      </c>
      <c r="V79" s="61">
        <f t="shared" ca="1" si="21"/>
        <v>54000</v>
      </c>
      <c r="W79" s="62">
        <f t="shared" ca="1" si="22"/>
        <v>133500</v>
      </c>
      <c r="X79" s="14"/>
      <c r="AB79" s="11">
        <v>74</v>
      </c>
      <c r="AC79">
        <v>57082.5</v>
      </c>
      <c r="AD79">
        <v>87592.5</v>
      </c>
      <c r="AE79">
        <v>115517.5</v>
      </c>
      <c r="AF79">
        <v>128852.5</v>
      </c>
      <c r="AG79">
        <v>138000</v>
      </c>
      <c r="AH79">
        <v>138980</v>
      </c>
      <c r="AI79">
        <v>134772.5</v>
      </c>
      <c r="AJ79">
        <v>116067.5</v>
      </c>
      <c r="AK79">
        <v>108567.5</v>
      </c>
      <c r="AL79">
        <v>86755</v>
      </c>
    </row>
    <row r="80" spans="11:38" x14ac:dyDescent="0.3">
      <c r="K80" s="40">
        <v>76</v>
      </c>
      <c r="L80" s="39">
        <f t="shared" ca="1" si="12"/>
        <v>0.62171829428386305</v>
      </c>
      <c r="M80" s="39">
        <f t="shared" ca="1" si="13"/>
        <v>180</v>
      </c>
      <c r="N80" s="39">
        <f t="shared" ca="1" si="14"/>
        <v>0.13443205829070204</v>
      </c>
      <c r="O80" s="39">
        <f t="shared" ca="1" si="14"/>
        <v>4.2649148130691206E-4</v>
      </c>
      <c r="P80" s="67">
        <f t="shared" ca="1" si="15"/>
        <v>0.21348585497720091</v>
      </c>
      <c r="Q80" s="56">
        <f t="shared" ca="1" si="16"/>
        <v>141.57254610410382</v>
      </c>
      <c r="R80" s="56">
        <f t="shared" ca="1" si="17"/>
        <v>142</v>
      </c>
      <c r="S80" s="56">
        <f t="shared" ca="1" si="18"/>
        <v>125</v>
      </c>
      <c r="T80" s="39">
        <f t="shared" ca="1" si="19"/>
        <v>687500</v>
      </c>
      <c r="U80" s="61">
        <f t="shared" ca="1" si="20"/>
        <v>0</v>
      </c>
      <c r="V80" s="61">
        <f t="shared" ca="1" si="21"/>
        <v>25500</v>
      </c>
      <c r="W80" s="62">
        <f t="shared" ca="1" si="22"/>
        <v>162000</v>
      </c>
      <c r="X80" s="14"/>
      <c r="AB80" s="11">
        <v>75</v>
      </c>
      <c r="AC80">
        <v>54990</v>
      </c>
      <c r="AD80">
        <v>90962.5</v>
      </c>
      <c r="AE80">
        <v>116615</v>
      </c>
      <c r="AF80">
        <v>128345</v>
      </c>
      <c r="AG80">
        <v>135625</v>
      </c>
      <c r="AH80">
        <v>139742.5</v>
      </c>
      <c r="AI80">
        <v>133300</v>
      </c>
      <c r="AJ80">
        <v>128302.5</v>
      </c>
      <c r="AK80">
        <v>109870</v>
      </c>
      <c r="AL80">
        <v>82645</v>
      </c>
    </row>
    <row r="81" spans="11:38" x14ac:dyDescent="0.3">
      <c r="K81" s="40">
        <v>77</v>
      </c>
      <c r="L81" s="39">
        <f t="shared" ca="1" si="12"/>
        <v>0.3066600325348271</v>
      </c>
      <c r="M81" s="39">
        <f t="shared" ca="1" si="13"/>
        <v>160</v>
      </c>
      <c r="N81" s="39">
        <f t="shared" ca="1" si="14"/>
        <v>0.49292564829674934</v>
      </c>
      <c r="O81" s="39">
        <f t="shared" ca="1" si="14"/>
        <v>0.74935766546167415</v>
      </c>
      <c r="P81" s="67">
        <f t="shared" ca="1" si="15"/>
        <v>0.32422833137584239</v>
      </c>
      <c r="Q81" s="56">
        <f t="shared" ca="1" si="16"/>
        <v>108.12346697986521</v>
      </c>
      <c r="R81" s="56">
        <f t="shared" ca="1" si="17"/>
        <v>109</v>
      </c>
      <c r="S81" s="56">
        <f t="shared" ca="1" si="18"/>
        <v>109</v>
      </c>
      <c r="T81" s="39">
        <f t="shared" ca="1" si="19"/>
        <v>599500</v>
      </c>
      <c r="U81" s="61">
        <f t="shared" ca="1" si="20"/>
        <v>32000</v>
      </c>
      <c r="V81" s="61">
        <f t="shared" ca="1" si="21"/>
        <v>0</v>
      </c>
      <c r="W81" s="62">
        <f t="shared" ca="1" si="22"/>
        <v>131500</v>
      </c>
      <c r="X81" s="14"/>
      <c r="AB81" s="11">
        <v>76</v>
      </c>
      <c r="AC81">
        <v>60975</v>
      </c>
      <c r="AD81">
        <v>88602.5</v>
      </c>
      <c r="AE81">
        <v>111975</v>
      </c>
      <c r="AF81">
        <v>131582.5</v>
      </c>
      <c r="AG81">
        <v>138802.5</v>
      </c>
      <c r="AH81">
        <v>136772.5</v>
      </c>
      <c r="AI81">
        <v>135075</v>
      </c>
      <c r="AJ81">
        <v>118222.5</v>
      </c>
      <c r="AK81">
        <v>101625</v>
      </c>
      <c r="AL81">
        <v>91940</v>
      </c>
    </row>
    <row r="82" spans="11:38" x14ac:dyDescent="0.3">
      <c r="K82" s="40">
        <v>78</v>
      </c>
      <c r="L82" s="39">
        <f t="shared" ca="1" si="12"/>
        <v>0.66473162706651001</v>
      </c>
      <c r="M82" s="39">
        <f t="shared" ca="1" si="13"/>
        <v>200</v>
      </c>
      <c r="N82" s="39">
        <f t="shared" ca="1" si="14"/>
        <v>0.5159126387201759</v>
      </c>
      <c r="O82" s="39">
        <f t="shared" ca="1" si="14"/>
        <v>0.80943912537898288</v>
      </c>
      <c r="P82" s="67">
        <f t="shared" ca="1" si="15"/>
        <v>0.33253517640991592</v>
      </c>
      <c r="Q82" s="56">
        <f t="shared" ca="1" si="16"/>
        <v>133.49296471801682</v>
      </c>
      <c r="R82" s="56">
        <f t="shared" ca="1" si="17"/>
        <v>134</v>
      </c>
      <c r="S82" s="56">
        <f t="shared" ca="1" si="18"/>
        <v>125</v>
      </c>
      <c r="T82" s="39">
        <f t="shared" ca="1" si="19"/>
        <v>687500</v>
      </c>
      <c r="U82" s="61">
        <f t="shared" ca="1" si="20"/>
        <v>0</v>
      </c>
      <c r="V82" s="61">
        <f t="shared" ca="1" si="21"/>
        <v>13500</v>
      </c>
      <c r="W82" s="62">
        <f t="shared" ca="1" si="22"/>
        <v>174000</v>
      </c>
      <c r="X82" s="14"/>
      <c r="AB82" s="11">
        <v>77</v>
      </c>
      <c r="AC82">
        <v>57555</v>
      </c>
      <c r="AD82">
        <v>88712.5</v>
      </c>
      <c r="AE82">
        <v>112717.5</v>
      </c>
      <c r="AF82">
        <v>129557.5</v>
      </c>
      <c r="AG82">
        <v>138237.5</v>
      </c>
      <c r="AH82">
        <v>137497.5</v>
      </c>
      <c r="AI82">
        <v>130582.5</v>
      </c>
      <c r="AJ82">
        <v>124197.5</v>
      </c>
      <c r="AK82">
        <v>103095</v>
      </c>
      <c r="AL82">
        <v>87087.5</v>
      </c>
    </row>
    <row r="83" spans="11:38" x14ac:dyDescent="0.3">
      <c r="K83" s="40">
        <v>79</v>
      </c>
      <c r="L83" s="39">
        <f t="shared" ca="1" si="12"/>
        <v>0.40318129682741743</v>
      </c>
      <c r="M83" s="39">
        <f t="shared" ca="1" si="13"/>
        <v>160</v>
      </c>
      <c r="N83" s="39">
        <f t="shared" ca="1" si="14"/>
        <v>0.27484255774513489</v>
      </c>
      <c r="O83" s="39">
        <f t="shared" ca="1" si="14"/>
        <v>6.2013642672434477E-2</v>
      </c>
      <c r="P83" s="67">
        <f t="shared" ca="1" si="15"/>
        <v>0.23368562004175694</v>
      </c>
      <c r="Q83" s="56">
        <f t="shared" ca="1" si="16"/>
        <v>122.61030079331888</v>
      </c>
      <c r="R83" s="56">
        <f t="shared" ca="1" si="17"/>
        <v>123</v>
      </c>
      <c r="S83" s="56">
        <f t="shared" ca="1" si="18"/>
        <v>123</v>
      </c>
      <c r="T83" s="39">
        <f t="shared" ca="1" si="19"/>
        <v>676500</v>
      </c>
      <c r="U83" s="61">
        <f t="shared" ca="1" si="20"/>
        <v>4000</v>
      </c>
      <c r="V83" s="61">
        <f t="shared" ca="1" si="21"/>
        <v>0</v>
      </c>
      <c r="W83" s="62">
        <f t="shared" ca="1" si="22"/>
        <v>180500</v>
      </c>
      <c r="X83" s="14"/>
      <c r="AB83" s="11">
        <v>78</v>
      </c>
      <c r="AC83">
        <v>57052.5</v>
      </c>
      <c r="AD83">
        <v>86772.5</v>
      </c>
      <c r="AE83">
        <v>112655</v>
      </c>
      <c r="AF83">
        <v>128282.5</v>
      </c>
      <c r="AG83">
        <v>137135</v>
      </c>
      <c r="AH83">
        <v>137805</v>
      </c>
      <c r="AI83">
        <v>129147.5</v>
      </c>
      <c r="AJ83">
        <v>120972.5</v>
      </c>
      <c r="AK83">
        <v>100735</v>
      </c>
      <c r="AL83">
        <v>84962.5</v>
      </c>
    </row>
    <row r="84" spans="11:38" x14ac:dyDescent="0.3">
      <c r="K84" s="40">
        <v>80</v>
      </c>
      <c r="L84" s="39">
        <f t="shared" ca="1" si="12"/>
        <v>0.50568844391812073</v>
      </c>
      <c r="M84" s="39">
        <f t="shared" ca="1" si="13"/>
        <v>180</v>
      </c>
      <c r="N84" s="39">
        <f t="shared" ca="1" si="14"/>
        <v>0.58742626237929607</v>
      </c>
      <c r="O84" s="39">
        <f t="shared" ca="1" si="14"/>
        <v>0.12960123020123593</v>
      </c>
      <c r="P84" s="67">
        <f t="shared" ca="1" si="15"/>
        <v>0.27170274925805321</v>
      </c>
      <c r="Q84" s="56">
        <f t="shared" ca="1" si="16"/>
        <v>131.09350513355042</v>
      </c>
      <c r="R84" s="56">
        <f t="shared" ca="1" si="17"/>
        <v>132</v>
      </c>
      <c r="S84" s="56">
        <f t="shared" ca="1" si="18"/>
        <v>125</v>
      </c>
      <c r="T84" s="39">
        <f t="shared" ca="1" si="19"/>
        <v>687500</v>
      </c>
      <c r="U84" s="61">
        <f t="shared" ca="1" si="20"/>
        <v>0</v>
      </c>
      <c r="V84" s="61">
        <f t="shared" ca="1" si="21"/>
        <v>10500</v>
      </c>
      <c r="W84" s="62">
        <f t="shared" ca="1" si="22"/>
        <v>177000</v>
      </c>
      <c r="X84" s="14"/>
      <c r="AB84" s="11">
        <v>79</v>
      </c>
      <c r="AC84">
        <v>56745</v>
      </c>
      <c r="AD84">
        <v>88857.5</v>
      </c>
      <c r="AE84">
        <v>112652.5</v>
      </c>
      <c r="AF84">
        <v>128797.5</v>
      </c>
      <c r="AG84">
        <v>140310</v>
      </c>
      <c r="AH84">
        <v>136017.5</v>
      </c>
      <c r="AI84">
        <v>138180</v>
      </c>
      <c r="AJ84">
        <v>115337.5</v>
      </c>
      <c r="AK84">
        <v>104545</v>
      </c>
      <c r="AL84">
        <v>85480</v>
      </c>
    </row>
    <row r="85" spans="11:38" x14ac:dyDescent="0.3">
      <c r="K85" s="40">
        <v>81</v>
      </c>
      <c r="L85" s="39">
        <f t="shared" ca="1" si="12"/>
        <v>0.54259533493633327</v>
      </c>
      <c r="M85" s="39">
        <f t="shared" ca="1" si="13"/>
        <v>180</v>
      </c>
      <c r="N85" s="39">
        <f t="shared" ca="1" si="14"/>
        <v>0.17191211190501943</v>
      </c>
      <c r="O85" s="39">
        <f t="shared" ca="1" si="14"/>
        <v>7.7173370432702115E-2</v>
      </c>
      <c r="P85" s="67">
        <f t="shared" ca="1" si="15"/>
        <v>0.22490854823377215</v>
      </c>
      <c r="Q85" s="56">
        <f t="shared" ca="1" si="16"/>
        <v>139.51646131792103</v>
      </c>
      <c r="R85" s="56">
        <f t="shared" ca="1" si="17"/>
        <v>140</v>
      </c>
      <c r="S85" s="56">
        <f t="shared" ca="1" si="18"/>
        <v>125</v>
      </c>
      <c r="T85" s="39">
        <f t="shared" ca="1" si="19"/>
        <v>687500</v>
      </c>
      <c r="U85" s="61">
        <f t="shared" ca="1" si="20"/>
        <v>0</v>
      </c>
      <c r="V85" s="61">
        <f t="shared" ca="1" si="21"/>
        <v>22500</v>
      </c>
      <c r="W85" s="62">
        <f t="shared" ca="1" si="22"/>
        <v>165000</v>
      </c>
      <c r="X85" s="14"/>
      <c r="AB85" s="11">
        <v>80</v>
      </c>
      <c r="AC85">
        <v>56865</v>
      </c>
      <c r="AD85">
        <v>88732.5</v>
      </c>
      <c r="AE85">
        <v>112345</v>
      </c>
      <c r="AF85">
        <v>127737.5</v>
      </c>
      <c r="AG85">
        <v>132212.5</v>
      </c>
      <c r="AH85">
        <v>135340</v>
      </c>
      <c r="AI85">
        <v>132917.5</v>
      </c>
      <c r="AJ85">
        <v>117817.5</v>
      </c>
      <c r="AK85">
        <v>115632.5</v>
      </c>
      <c r="AL85">
        <v>79827.5</v>
      </c>
    </row>
    <row r="86" spans="11:38" x14ac:dyDescent="0.3">
      <c r="K86" s="40">
        <v>82</v>
      </c>
      <c r="L86" s="39">
        <f t="shared" ca="1" si="12"/>
        <v>0.65789650188980442</v>
      </c>
      <c r="M86" s="39">
        <f t="shared" ca="1" si="13"/>
        <v>200</v>
      </c>
      <c r="N86" s="39">
        <f t="shared" ca="1" si="14"/>
        <v>0.79774157433887316</v>
      </c>
      <c r="O86" s="39">
        <f t="shared" ca="1" si="14"/>
        <v>0.77517290934351513</v>
      </c>
      <c r="P86" s="67">
        <f t="shared" ca="1" si="15"/>
        <v>0.35729144836823884</v>
      </c>
      <c r="Q86" s="56">
        <f t="shared" ca="1" si="16"/>
        <v>128.54171032635224</v>
      </c>
      <c r="R86" s="56">
        <f t="shared" ca="1" si="17"/>
        <v>129</v>
      </c>
      <c r="S86" s="56">
        <f t="shared" ca="1" si="18"/>
        <v>125</v>
      </c>
      <c r="T86" s="39">
        <f t="shared" ca="1" si="19"/>
        <v>687500</v>
      </c>
      <c r="U86" s="61">
        <f t="shared" ca="1" si="20"/>
        <v>0</v>
      </c>
      <c r="V86" s="61">
        <f t="shared" ca="1" si="21"/>
        <v>6000</v>
      </c>
      <c r="W86" s="62">
        <f t="shared" ca="1" si="22"/>
        <v>181500</v>
      </c>
      <c r="X86" s="14"/>
      <c r="AB86" s="11">
        <v>81</v>
      </c>
      <c r="AC86" s="7">
        <v>61365</v>
      </c>
      <c r="AD86" s="7">
        <v>85962.5</v>
      </c>
      <c r="AE86" s="7">
        <v>114505</v>
      </c>
      <c r="AF86" s="7">
        <v>127920</v>
      </c>
      <c r="AG86" s="7">
        <v>134950</v>
      </c>
      <c r="AH86" s="7">
        <v>135887.5</v>
      </c>
      <c r="AI86" s="7">
        <v>131377.5</v>
      </c>
      <c r="AJ86" s="7">
        <v>125380</v>
      </c>
      <c r="AK86" s="7">
        <v>102335</v>
      </c>
      <c r="AL86" s="7">
        <v>89087.5</v>
      </c>
    </row>
    <row r="87" spans="11:38" x14ac:dyDescent="0.3">
      <c r="K87" s="40">
        <v>83</v>
      </c>
      <c r="L87" s="39">
        <f t="shared" ca="1" si="12"/>
        <v>0.99223835347902656</v>
      </c>
      <c r="M87" s="39">
        <f t="shared" ca="1" si="13"/>
        <v>220</v>
      </c>
      <c r="N87" s="39">
        <f t="shared" ca="1" si="14"/>
        <v>0.48583538375465596</v>
      </c>
      <c r="O87" s="39">
        <f t="shared" ca="1" si="14"/>
        <v>0.94728413049470883</v>
      </c>
      <c r="P87" s="67">
        <f t="shared" ca="1" si="15"/>
        <v>0.34331195142493653</v>
      </c>
      <c r="Q87" s="56">
        <f t="shared" ca="1" si="16"/>
        <v>144.47137068651398</v>
      </c>
      <c r="R87" s="56">
        <f t="shared" ca="1" si="17"/>
        <v>145</v>
      </c>
      <c r="S87" s="56">
        <f t="shared" ca="1" si="18"/>
        <v>125</v>
      </c>
      <c r="T87" s="39">
        <f t="shared" ca="1" si="19"/>
        <v>687500</v>
      </c>
      <c r="U87" s="61">
        <f t="shared" ca="1" si="20"/>
        <v>0</v>
      </c>
      <c r="V87" s="61">
        <f t="shared" ca="1" si="21"/>
        <v>30000</v>
      </c>
      <c r="W87" s="62">
        <f t="shared" ca="1" si="22"/>
        <v>157500</v>
      </c>
      <c r="X87" s="14"/>
      <c r="AB87" s="11">
        <v>82</v>
      </c>
      <c r="AC87" s="7">
        <v>57090</v>
      </c>
      <c r="AD87" s="7">
        <v>86167.5</v>
      </c>
      <c r="AE87" s="7">
        <v>113952.5</v>
      </c>
      <c r="AF87" s="7">
        <v>127357.5</v>
      </c>
      <c r="AG87" s="7">
        <v>135115</v>
      </c>
      <c r="AH87" s="7">
        <v>137555</v>
      </c>
      <c r="AI87" s="7">
        <v>133495</v>
      </c>
      <c r="AJ87" s="7">
        <v>116502.5</v>
      </c>
      <c r="AK87" s="7">
        <v>95950</v>
      </c>
      <c r="AL87" s="7">
        <v>86265</v>
      </c>
    </row>
    <row r="88" spans="11:38" x14ac:dyDescent="0.3">
      <c r="K88" s="40">
        <v>84</v>
      </c>
      <c r="L88" s="39">
        <f t="shared" ca="1" si="12"/>
        <v>0.67731617642324293</v>
      </c>
      <c r="M88" s="39">
        <f t="shared" ca="1" si="13"/>
        <v>200</v>
      </c>
      <c r="N88" s="39">
        <f t="shared" ca="1" si="14"/>
        <v>0.45456634658792827</v>
      </c>
      <c r="O88" s="39">
        <f t="shared" ca="1" si="14"/>
        <v>8.4481157326512846E-2</v>
      </c>
      <c r="P88" s="67">
        <f t="shared" ca="1" si="15"/>
        <v>0.25390475039144411</v>
      </c>
      <c r="Q88" s="56">
        <f t="shared" ca="1" si="16"/>
        <v>149.21904992171119</v>
      </c>
      <c r="R88" s="56">
        <f t="shared" ca="1" si="17"/>
        <v>150</v>
      </c>
      <c r="S88" s="56">
        <f t="shared" ca="1" si="18"/>
        <v>125</v>
      </c>
      <c r="T88" s="39">
        <f t="shared" ca="1" si="19"/>
        <v>687500</v>
      </c>
      <c r="U88" s="61">
        <f t="shared" ca="1" si="20"/>
        <v>0</v>
      </c>
      <c r="V88" s="61">
        <f t="shared" ca="1" si="21"/>
        <v>37500</v>
      </c>
      <c r="W88" s="62">
        <f t="shared" ca="1" si="22"/>
        <v>150000</v>
      </c>
      <c r="X88" s="14"/>
      <c r="AB88" s="11">
        <v>83</v>
      </c>
      <c r="AC88" s="7">
        <v>59722.5</v>
      </c>
      <c r="AD88" s="7">
        <v>84487.5</v>
      </c>
      <c r="AE88" s="7">
        <v>112070</v>
      </c>
      <c r="AF88" s="7">
        <v>130370</v>
      </c>
      <c r="AG88" s="7">
        <v>137460</v>
      </c>
      <c r="AH88" s="7">
        <v>142415</v>
      </c>
      <c r="AI88" s="7">
        <v>135392.5</v>
      </c>
      <c r="AJ88" s="7">
        <v>116120</v>
      </c>
      <c r="AK88" s="7">
        <v>112582.5</v>
      </c>
      <c r="AL88" s="7">
        <v>77340</v>
      </c>
    </row>
    <row r="89" spans="11:38" x14ac:dyDescent="0.3">
      <c r="K89" s="40">
        <v>85</v>
      </c>
      <c r="L89" s="39">
        <f t="shared" ca="1" si="12"/>
        <v>0.50387179232044088</v>
      </c>
      <c r="M89" s="39">
        <f t="shared" ca="1" si="13"/>
        <v>180</v>
      </c>
      <c r="N89" s="39">
        <f t="shared" ca="1" si="14"/>
        <v>0.52529231354273731</v>
      </c>
      <c r="O89" s="39">
        <f t="shared" ca="1" si="14"/>
        <v>0.55890349946671414</v>
      </c>
      <c r="P89" s="67">
        <f t="shared" ca="1" si="15"/>
        <v>0.30841958130094516</v>
      </c>
      <c r="Q89" s="56">
        <f t="shared" ca="1" si="16"/>
        <v>124.48447536582987</v>
      </c>
      <c r="R89" s="56">
        <f t="shared" ca="1" si="17"/>
        <v>125</v>
      </c>
      <c r="S89" s="56">
        <f t="shared" ca="1" si="18"/>
        <v>125</v>
      </c>
      <c r="T89" s="39">
        <f t="shared" ca="1" si="19"/>
        <v>687500</v>
      </c>
      <c r="U89" s="61">
        <f t="shared" ca="1" si="20"/>
        <v>0</v>
      </c>
      <c r="V89" s="61">
        <f t="shared" ca="1" si="21"/>
        <v>0</v>
      </c>
      <c r="W89" s="62">
        <f t="shared" ca="1" si="22"/>
        <v>187500</v>
      </c>
      <c r="X89" s="14"/>
      <c r="AB89" s="11">
        <v>84</v>
      </c>
      <c r="AC89" s="7">
        <v>58230</v>
      </c>
      <c r="AD89" s="7">
        <v>86590</v>
      </c>
      <c r="AE89" s="7">
        <v>112807.5</v>
      </c>
      <c r="AF89" s="7">
        <v>129555</v>
      </c>
      <c r="AG89" s="7">
        <v>139192.5</v>
      </c>
      <c r="AH89" s="7">
        <v>142612.5</v>
      </c>
      <c r="AI89" s="7">
        <v>128985</v>
      </c>
      <c r="AJ89" s="7">
        <v>125772.5</v>
      </c>
      <c r="AK89" s="7">
        <v>100957.5</v>
      </c>
      <c r="AL89" s="7">
        <v>92600</v>
      </c>
    </row>
    <row r="90" spans="11:38" x14ac:dyDescent="0.3">
      <c r="K90" s="40">
        <v>86</v>
      </c>
      <c r="L90" s="39">
        <f t="shared" ca="1" si="12"/>
        <v>0.62714249417939749</v>
      </c>
      <c r="M90" s="39">
        <f t="shared" ca="1" si="13"/>
        <v>180</v>
      </c>
      <c r="N90" s="39">
        <f t="shared" ca="1" si="14"/>
        <v>5.7750271012588783E-2</v>
      </c>
      <c r="O90" s="39">
        <f t="shared" ca="1" si="14"/>
        <v>7.3756607662543994E-2</v>
      </c>
      <c r="P90" s="67">
        <f t="shared" ca="1" si="15"/>
        <v>0.21315068786751329</v>
      </c>
      <c r="Q90" s="56">
        <f t="shared" ca="1" si="16"/>
        <v>141.6328761838476</v>
      </c>
      <c r="R90" s="56">
        <f t="shared" ca="1" si="17"/>
        <v>142</v>
      </c>
      <c r="S90" s="56">
        <f t="shared" ca="1" si="18"/>
        <v>125</v>
      </c>
      <c r="T90" s="39">
        <f t="shared" ca="1" si="19"/>
        <v>687500</v>
      </c>
      <c r="U90" s="61">
        <f t="shared" ca="1" si="20"/>
        <v>0</v>
      </c>
      <c r="V90" s="61">
        <f t="shared" ca="1" si="21"/>
        <v>25500</v>
      </c>
      <c r="W90" s="62">
        <f t="shared" ca="1" si="22"/>
        <v>162000</v>
      </c>
      <c r="X90" s="14"/>
      <c r="AB90" s="11">
        <v>85</v>
      </c>
      <c r="AC90" s="7">
        <v>57540</v>
      </c>
      <c r="AD90" s="7">
        <v>89060</v>
      </c>
      <c r="AE90" s="7">
        <v>115232.5</v>
      </c>
      <c r="AF90" s="7">
        <v>130785</v>
      </c>
      <c r="AG90" s="7">
        <v>142562.5</v>
      </c>
      <c r="AH90" s="7">
        <v>137757.5</v>
      </c>
      <c r="AI90" s="7">
        <v>134407.5</v>
      </c>
      <c r="AJ90" s="7">
        <v>120322.5</v>
      </c>
      <c r="AK90" s="7">
        <v>108522.5</v>
      </c>
      <c r="AL90" s="7">
        <v>89450</v>
      </c>
    </row>
    <row r="91" spans="11:38" x14ac:dyDescent="0.3">
      <c r="K91" s="40">
        <v>87</v>
      </c>
      <c r="L91" s="39">
        <f t="shared" ca="1" si="12"/>
        <v>0.91776858097193625</v>
      </c>
      <c r="M91" s="39">
        <f t="shared" ca="1" si="13"/>
        <v>220</v>
      </c>
      <c r="N91" s="39">
        <f t="shared" ca="1" si="14"/>
        <v>0.57827542203100724</v>
      </c>
      <c r="O91" s="39">
        <f t="shared" ca="1" si="14"/>
        <v>0.75995510504260466</v>
      </c>
      <c r="P91" s="67">
        <f t="shared" ca="1" si="15"/>
        <v>0.33382305270736123</v>
      </c>
      <c r="Q91" s="56">
        <f t="shared" ca="1" si="16"/>
        <v>146.55892840438054</v>
      </c>
      <c r="R91" s="56">
        <f t="shared" ca="1" si="17"/>
        <v>147</v>
      </c>
      <c r="S91" s="56">
        <f t="shared" ca="1" si="18"/>
        <v>125</v>
      </c>
      <c r="T91" s="39">
        <f t="shared" ca="1" si="19"/>
        <v>687500</v>
      </c>
      <c r="U91" s="61">
        <f t="shared" ca="1" si="20"/>
        <v>0</v>
      </c>
      <c r="V91" s="61">
        <f t="shared" ca="1" si="21"/>
        <v>33000</v>
      </c>
      <c r="W91" s="62">
        <f t="shared" ca="1" si="22"/>
        <v>154500</v>
      </c>
      <c r="X91" s="14"/>
      <c r="AB91" s="11">
        <v>86</v>
      </c>
      <c r="AC91" s="7">
        <v>56017.5</v>
      </c>
      <c r="AD91" s="7">
        <v>88612.5</v>
      </c>
      <c r="AE91" s="7">
        <v>111615</v>
      </c>
      <c r="AF91" s="7">
        <v>129540</v>
      </c>
      <c r="AG91" s="7">
        <v>135462.5</v>
      </c>
      <c r="AH91" s="7">
        <v>147070</v>
      </c>
      <c r="AI91" s="7">
        <v>131795</v>
      </c>
      <c r="AJ91" s="7">
        <v>122517.5</v>
      </c>
      <c r="AK91" s="7">
        <v>106297.5</v>
      </c>
      <c r="AL91" s="7">
        <v>81820</v>
      </c>
    </row>
    <row r="92" spans="11:38" x14ac:dyDescent="0.3">
      <c r="K92" s="40">
        <v>88</v>
      </c>
      <c r="L92" s="39">
        <f t="shared" ca="1" si="12"/>
        <v>0.59071617744662364</v>
      </c>
      <c r="M92" s="39">
        <f t="shared" ca="1" si="13"/>
        <v>180</v>
      </c>
      <c r="N92" s="39">
        <f t="shared" ca="1" si="14"/>
        <v>0.65760399846205642</v>
      </c>
      <c r="O92" s="39">
        <f t="shared" ca="1" si="14"/>
        <v>4.2606416509000322E-2</v>
      </c>
      <c r="P92" s="67">
        <f t="shared" ca="1" si="15"/>
        <v>0.27002104149710571</v>
      </c>
      <c r="Q92" s="56">
        <f t="shared" ca="1" si="16"/>
        <v>131.39621253052098</v>
      </c>
      <c r="R92" s="56">
        <f t="shared" ca="1" si="17"/>
        <v>132</v>
      </c>
      <c r="S92" s="56">
        <f t="shared" ca="1" si="18"/>
        <v>125</v>
      </c>
      <c r="T92" s="39">
        <f t="shared" ca="1" si="19"/>
        <v>687500</v>
      </c>
      <c r="U92" s="61">
        <f t="shared" ca="1" si="20"/>
        <v>0</v>
      </c>
      <c r="V92" s="61">
        <f t="shared" ca="1" si="21"/>
        <v>10500</v>
      </c>
      <c r="W92" s="62">
        <f t="shared" ca="1" si="22"/>
        <v>177000</v>
      </c>
      <c r="X92" s="14"/>
      <c r="AB92" s="11">
        <v>87</v>
      </c>
      <c r="AC92" s="7">
        <v>59850</v>
      </c>
      <c r="AD92" s="7">
        <v>87597.5</v>
      </c>
      <c r="AE92" s="7">
        <v>112190</v>
      </c>
      <c r="AF92" s="7">
        <v>129042.5</v>
      </c>
      <c r="AG92" s="7">
        <v>133555</v>
      </c>
      <c r="AH92" s="7">
        <v>140327.5</v>
      </c>
      <c r="AI92" s="7">
        <v>126497.5</v>
      </c>
      <c r="AJ92" s="7">
        <v>113862.5</v>
      </c>
      <c r="AK92" s="7">
        <v>102865</v>
      </c>
      <c r="AL92" s="7">
        <v>87132.5</v>
      </c>
    </row>
    <row r="93" spans="11:38" x14ac:dyDescent="0.3">
      <c r="K93" s="40">
        <v>89</v>
      </c>
      <c r="L93" s="39">
        <f t="shared" ca="1" si="12"/>
        <v>9.3659949453166802E-2</v>
      </c>
      <c r="M93" s="39">
        <f t="shared" ca="1" si="13"/>
        <v>140</v>
      </c>
      <c r="N93" s="39">
        <f t="shared" ca="1" si="14"/>
        <v>0.48869361591428317</v>
      </c>
      <c r="O93" s="39">
        <f t="shared" ca="1" si="14"/>
        <v>0.31507537108083872</v>
      </c>
      <c r="P93" s="67">
        <f t="shared" ca="1" si="15"/>
        <v>0.28037689869951221</v>
      </c>
      <c r="Q93" s="56">
        <f t="shared" ca="1" si="16"/>
        <v>100.7472341820683</v>
      </c>
      <c r="R93" s="56">
        <f t="shared" ca="1" si="17"/>
        <v>101</v>
      </c>
      <c r="S93" s="56">
        <f t="shared" ca="1" si="18"/>
        <v>101</v>
      </c>
      <c r="T93" s="39">
        <f t="shared" ca="1" si="19"/>
        <v>555500</v>
      </c>
      <c r="U93" s="61">
        <f t="shared" ca="1" si="20"/>
        <v>48000</v>
      </c>
      <c r="V93" s="61">
        <f t="shared" ca="1" si="21"/>
        <v>0</v>
      </c>
      <c r="W93" s="62">
        <f t="shared" ca="1" si="22"/>
        <v>103500</v>
      </c>
      <c r="X93" s="14"/>
      <c r="AB93" s="11">
        <v>88</v>
      </c>
      <c r="AC93" s="7">
        <v>58612.5</v>
      </c>
      <c r="AD93" s="7">
        <v>89690</v>
      </c>
      <c r="AE93" s="7">
        <v>112650</v>
      </c>
      <c r="AF93" s="7">
        <v>131402.5</v>
      </c>
      <c r="AG93" s="7">
        <v>134972.5</v>
      </c>
      <c r="AH93" s="7">
        <v>135517.5</v>
      </c>
      <c r="AI93" s="7">
        <v>137707.5</v>
      </c>
      <c r="AJ93" s="7">
        <v>132482.5</v>
      </c>
      <c r="AK93" s="7">
        <v>114110</v>
      </c>
      <c r="AL93" s="7">
        <v>88167.5</v>
      </c>
    </row>
    <row r="94" spans="11:38" x14ac:dyDescent="0.3">
      <c r="K94" s="40">
        <v>90</v>
      </c>
      <c r="L94" s="39">
        <f t="shared" ca="1" si="12"/>
        <v>0.88711679687253808</v>
      </c>
      <c r="M94" s="39">
        <f t="shared" ca="1" si="13"/>
        <v>200</v>
      </c>
      <c r="N94" s="39">
        <f t="shared" ca="1" si="14"/>
        <v>0.18119745007529853</v>
      </c>
      <c r="O94" s="39">
        <f t="shared" ca="1" si="14"/>
        <v>0.14038137095575898</v>
      </c>
      <c r="P94" s="67">
        <f t="shared" ca="1" si="15"/>
        <v>0.23215788210310576</v>
      </c>
      <c r="Q94" s="56">
        <f t="shared" ca="1" si="16"/>
        <v>153.56842357937884</v>
      </c>
      <c r="R94" s="56">
        <f t="shared" ca="1" si="17"/>
        <v>154</v>
      </c>
      <c r="S94" s="56">
        <f t="shared" ca="1" si="18"/>
        <v>125</v>
      </c>
      <c r="T94" s="39">
        <f t="shared" ca="1" si="19"/>
        <v>687500</v>
      </c>
      <c r="U94" s="61">
        <f t="shared" ca="1" si="20"/>
        <v>0</v>
      </c>
      <c r="V94" s="61">
        <f t="shared" ca="1" si="21"/>
        <v>43500</v>
      </c>
      <c r="W94" s="62">
        <f t="shared" ca="1" si="22"/>
        <v>144000</v>
      </c>
      <c r="X94" s="14"/>
      <c r="AB94" s="11">
        <v>89</v>
      </c>
      <c r="AC94" s="7">
        <v>56700</v>
      </c>
      <c r="AD94" s="7">
        <v>87745</v>
      </c>
      <c r="AE94" s="7">
        <v>116210</v>
      </c>
      <c r="AF94" s="7">
        <v>129675</v>
      </c>
      <c r="AG94" s="7">
        <v>137802.5</v>
      </c>
      <c r="AH94" s="7">
        <v>136682.5</v>
      </c>
      <c r="AI94" s="7">
        <v>141095</v>
      </c>
      <c r="AJ94" s="7">
        <v>126147.5</v>
      </c>
      <c r="AK94" s="7">
        <v>101862.5</v>
      </c>
      <c r="AL94" s="7">
        <v>82805</v>
      </c>
    </row>
    <row r="95" spans="11:38" x14ac:dyDescent="0.3">
      <c r="K95" s="40">
        <v>91</v>
      </c>
      <c r="L95" s="39">
        <f t="shared" ca="1" si="12"/>
        <v>0.91792852772568634</v>
      </c>
      <c r="M95" s="39">
        <f t="shared" ca="1" si="13"/>
        <v>220</v>
      </c>
      <c r="N95" s="39">
        <f t="shared" ca="1" si="14"/>
        <v>0.78152693117739902</v>
      </c>
      <c r="O95" s="39">
        <f t="shared" ca="1" si="14"/>
        <v>0.9194960155130576</v>
      </c>
      <c r="P95" s="67">
        <f t="shared" ca="1" si="15"/>
        <v>0.37010229466904571</v>
      </c>
      <c r="Q95" s="56">
        <f t="shared" ca="1" si="16"/>
        <v>138.57749517280996</v>
      </c>
      <c r="R95" s="56">
        <f t="shared" ca="1" si="17"/>
        <v>139</v>
      </c>
      <c r="S95" s="56">
        <f t="shared" ca="1" si="18"/>
        <v>125</v>
      </c>
      <c r="T95" s="39">
        <f t="shared" ca="1" si="19"/>
        <v>687500</v>
      </c>
      <c r="U95" s="61">
        <f t="shared" ca="1" si="20"/>
        <v>0</v>
      </c>
      <c r="V95" s="61">
        <f t="shared" ca="1" si="21"/>
        <v>21000</v>
      </c>
      <c r="W95" s="62">
        <f t="shared" ca="1" si="22"/>
        <v>166500</v>
      </c>
      <c r="X95" s="14"/>
      <c r="AB95" s="11">
        <v>90</v>
      </c>
      <c r="AC95" s="7">
        <v>60082.5</v>
      </c>
      <c r="AD95" s="7">
        <v>84667.5</v>
      </c>
      <c r="AE95" s="7">
        <v>114240</v>
      </c>
      <c r="AF95" s="7">
        <v>127620</v>
      </c>
      <c r="AG95" s="7">
        <v>138632.5</v>
      </c>
      <c r="AH95" s="7">
        <v>145557.5</v>
      </c>
      <c r="AI95" s="7">
        <v>141940</v>
      </c>
      <c r="AJ95" s="7">
        <v>123440</v>
      </c>
      <c r="AK95" s="7">
        <v>104690</v>
      </c>
      <c r="AL95" s="7">
        <v>84130</v>
      </c>
    </row>
    <row r="96" spans="11:38" x14ac:dyDescent="0.3">
      <c r="K96" s="40">
        <v>92</v>
      </c>
      <c r="L96" s="39">
        <f t="shared" ca="1" si="12"/>
        <v>0.19202102417903621</v>
      </c>
      <c r="M96" s="39">
        <f t="shared" ca="1" si="13"/>
        <v>140</v>
      </c>
      <c r="N96" s="39">
        <f t="shared" ca="1" si="14"/>
        <v>0.96141181994982694</v>
      </c>
      <c r="O96" s="39">
        <f t="shared" ca="1" si="14"/>
        <v>0.88763512630766717</v>
      </c>
      <c r="P96" s="67">
        <f t="shared" ca="1" si="15"/>
        <v>0.38490469462574944</v>
      </c>
      <c r="Q96" s="56">
        <f t="shared" ca="1" si="16"/>
        <v>86.113342752395084</v>
      </c>
      <c r="R96" s="56">
        <f t="shared" ca="1" si="17"/>
        <v>87</v>
      </c>
      <c r="S96" s="56">
        <f t="shared" ca="1" si="18"/>
        <v>87</v>
      </c>
      <c r="T96" s="39">
        <f t="shared" ca="1" si="19"/>
        <v>478500</v>
      </c>
      <c r="U96" s="61">
        <f t="shared" ca="1" si="20"/>
        <v>76000</v>
      </c>
      <c r="V96" s="61">
        <f t="shared" ca="1" si="21"/>
        <v>0</v>
      </c>
      <c r="W96" s="62">
        <f t="shared" ca="1" si="22"/>
        <v>54500</v>
      </c>
      <c r="X96" s="14"/>
      <c r="AB96" s="11">
        <v>91</v>
      </c>
      <c r="AC96" s="7">
        <v>56092.5</v>
      </c>
      <c r="AD96" s="7">
        <v>85255</v>
      </c>
      <c r="AE96" s="7">
        <v>114347.5</v>
      </c>
      <c r="AF96" s="7">
        <v>128225</v>
      </c>
      <c r="AG96" s="7">
        <v>138535</v>
      </c>
      <c r="AH96" s="7">
        <v>134942.5</v>
      </c>
      <c r="AI96" s="7">
        <v>133902.5</v>
      </c>
      <c r="AJ96" s="7">
        <v>128345</v>
      </c>
      <c r="AK96" s="7">
        <v>108295</v>
      </c>
      <c r="AL96" s="7">
        <v>85412.5</v>
      </c>
    </row>
    <row r="97" spans="11:38" x14ac:dyDescent="0.3">
      <c r="K97" s="40">
        <v>93</v>
      </c>
      <c r="L97" s="39">
        <f t="shared" ca="1" si="12"/>
        <v>0.97950753633846621</v>
      </c>
      <c r="M97" s="39">
        <f t="shared" ca="1" si="13"/>
        <v>220</v>
      </c>
      <c r="N97" s="39">
        <f t="shared" ca="1" si="14"/>
        <v>0.56929053355977122</v>
      </c>
      <c r="O97" s="39">
        <f t="shared" ca="1" si="14"/>
        <v>5.1475363263402962E-2</v>
      </c>
      <c r="P97" s="67">
        <f t="shared" ca="1" si="15"/>
        <v>0.26207658968231745</v>
      </c>
      <c r="Q97" s="56">
        <f t="shared" ca="1" si="16"/>
        <v>162.34315026989015</v>
      </c>
      <c r="R97" s="56">
        <f t="shared" ca="1" si="17"/>
        <v>163</v>
      </c>
      <c r="S97" s="56">
        <f t="shared" ca="1" si="18"/>
        <v>125</v>
      </c>
      <c r="T97" s="39">
        <f t="shared" ca="1" si="19"/>
        <v>687500</v>
      </c>
      <c r="U97" s="61">
        <f t="shared" ca="1" si="20"/>
        <v>0</v>
      </c>
      <c r="V97" s="61">
        <f t="shared" ca="1" si="21"/>
        <v>57000</v>
      </c>
      <c r="W97" s="62">
        <f t="shared" ca="1" si="22"/>
        <v>130500</v>
      </c>
      <c r="X97" s="14"/>
      <c r="AB97" s="11">
        <v>92</v>
      </c>
      <c r="AC97" s="7">
        <v>55470</v>
      </c>
      <c r="AD97" s="7">
        <v>87410</v>
      </c>
      <c r="AE97" s="7">
        <v>110660</v>
      </c>
      <c r="AF97" s="7">
        <v>126865</v>
      </c>
      <c r="AG97" s="7">
        <v>136200</v>
      </c>
      <c r="AH97" s="7">
        <v>135405</v>
      </c>
      <c r="AI97" s="7">
        <v>138047.5</v>
      </c>
      <c r="AJ97" s="7">
        <v>123977.5</v>
      </c>
      <c r="AK97" s="7">
        <v>112895</v>
      </c>
      <c r="AL97" s="7">
        <v>90065</v>
      </c>
    </row>
    <row r="98" spans="11:38" x14ac:dyDescent="0.3">
      <c r="K98" s="40">
        <v>94</v>
      </c>
      <c r="L98" s="39">
        <f t="shared" ca="1" si="12"/>
        <v>0.96254500641348029</v>
      </c>
      <c r="M98" s="39">
        <f t="shared" ca="1" si="13"/>
        <v>220</v>
      </c>
      <c r="N98" s="39">
        <f t="shared" ca="1" si="14"/>
        <v>0.84584660525828015</v>
      </c>
      <c r="O98" s="39">
        <f t="shared" ca="1" si="14"/>
        <v>0.8619250964934273</v>
      </c>
      <c r="P98" s="67">
        <f t="shared" ca="1" si="15"/>
        <v>0.37077717017517076</v>
      </c>
      <c r="Q98" s="56">
        <f t="shared" ca="1" si="16"/>
        <v>138.42902256146243</v>
      </c>
      <c r="R98" s="56">
        <f t="shared" ca="1" si="17"/>
        <v>139</v>
      </c>
      <c r="S98" s="56">
        <f t="shared" ca="1" si="18"/>
        <v>125</v>
      </c>
      <c r="T98" s="39">
        <f t="shared" ca="1" si="19"/>
        <v>687500</v>
      </c>
      <c r="U98" s="61">
        <f t="shared" ca="1" si="20"/>
        <v>0</v>
      </c>
      <c r="V98" s="61">
        <f t="shared" ca="1" si="21"/>
        <v>21000</v>
      </c>
      <c r="W98" s="62">
        <f t="shared" ca="1" si="22"/>
        <v>166500</v>
      </c>
      <c r="X98" s="14"/>
      <c r="AB98" s="11">
        <v>93</v>
      </c>
      <c r="AC98" s="7">
        <v>58680</v>
      </c>
      <c r="AD98" s="7">
        <v>86807.5</v>
      </c>
      <c r="AE98" s="7">
        <v>114525</v>
      </c>
      <c r="AF98" s="7">
        <v>128447.5</v>
      </c>
      <c r="AG98" s="7">
        <v>140707.5</v>
      </c>
      <c r="AH98" s="7">
        <v>135287.5</v>
      </c>
      <c r="AI98" s="7">
        <v>136102.5</v>
      </c>
      <c r="AJ98" s="7">
        <v>115582.5</v>
      </c>
      <c r="AK98" s="7">
        <v>100982.5</v>
      </c>
      <c r="AL98" s="7">
        <v>81797.5</v>
      </c>
    </row>
    <row r="99" spans="11:38" x14ac:dyDescent="0.3">
      <c r="K99" s="40">
        <v>95</v>
      </c>
      <c r="L99" s="39">
        <f t="shared" ca="1" si="12"/>
        <v>0.21990976949546903</v>
      </c>
      <c r="M99" s="39">
        <f t="shared" ca="1" si="13"/>
        <v>140</v>
      </c>
      <c r="N99" s="39">
        <f t="shared" ca="1" si="14"/>
        <v>6.4342039090952263E-2</v>
      </c>
      <c r="O99" s="39">
        <f t="shared" ca="1" si="14"/>
        <v>0.66736939803111606</v>
      </c>
      <c r="P99" s="67">
        <f t="shared" ca="1" si="15"/>
        <v>0.27317114371220685</v>
      </c>
      <c r="Q99" s="56">
        <f t="shared" ca="1" si="16"/>
        <v>101.75603988029104</v>
      </c>
      <c r="R99" s="56">
        <f t="shared" ca="1" si="17"/>
        <v>102</v>
      </c>
      <c r="S99" s="56">
        <f t="shared" ca="1" si="18"/>
        <v>102</v>
      </c>
      <c r="T99" s="39">
        <f t="shared" ca="1" si="19"/>
        <v>561000</v>
      </c>
      <c r="U99" s="61">
        <f t="shared" ca="1" si="20"/>
        <v>46000</v>
      </c>
      <c r="V99" s="61">
        <f t="shared" ca="1" si="21"/>
        <v>0</v>
      </c>
      <c r="W99" s="62">
        <f t="shared" ca="1" si="22"/>
        <v>107000</v>
      </c>
      <c r="X99" s="14"/>
      <c r="Z99" s="23"/>
      <c r="AA99" s="23"/>
      <c r="AB99" s="11">
        <v>94</v>
      </c>
      <c r="AC99" s="7">
        <v>56752.5</v>
      </c>
      <c r="AD99" s="7">
        <v>84975</v>
      </c>
      <c r="AE99" s="7">
        <v>113802.5</v>
      </c>
      <c r="AF99" s="7">
        <v>128125</v>
      </c>
      <c r="AG99" s="7">
        <v>136307.5</v>
      </c>
      <c r="AH99" s="7">
        <v>135972.5</v>
      </c>
      <c r="AI99" s="7">
        <v>137752.5</v>
      </c>
      <c r="AJ99" s="7">
        <v>128387.5</v>
      </c>
      <c r="AK99" s="7">
        <v>103137.5</v>
      </c>
      <c r="AL99" s="7">
        <v>88452.5</v>
      </c>
    </row>
    <row r="100" spans="11:38" x14ac:dyDescent="0.3">
      <c r="K100" s="40">
        <v>96</v>
      </c>
      <c r="L100" s="39">
        <f t="shared" ca="1" si="12"/>
        <v>0.42166266009221209</v>
      </c>
      <c r="M100" s="39">
        <f t="shared" ca="1" si="13"/>
        <v>160</v>
      </c>
      <c r="N100" s="39">
        <f t="shared" ca="1" si="14"/>
        <v>0.54875518528796541</v>
      </c>
      <c r="O100" s="39">
        <f t="shared" ca="1" si="14"/>
        <v>0.85193085939107349</v>
      </c>
      <c r="P100" s="67">
        <f t="shared" ca="1" si="15"/>
        <v>0.34006860446790388</v>
      </c>
      <c r="Q100" s="56">
        <f t="shared" ca="1" si="16"/>
        <v>105.58902328513538</v>
      </c>
      <c r="R100" s="56">
        <f t="shared" ca="1" si="17"/>
        <v>106</v>
      </c>
      <c r="S100" s="56">
        <f t="shared" ca="1" si="18"/>
        <v>106</v>
      </c>
      <c r="T100" s="39">
        <f t="shared" ca="1" si="19"/>
        <v>583000</v>
      </c>
      <c r="U100" s="61">
        <f t="shared" ca="1" si="20"/>
        <v>38000</v>
      </c>
      <c r="V100" s="61">
        <f t="shared" ca="1" si="21"/>
        <v>0</v>
      </c>
      <c r="W100" s="62">
        <f t="shared" ca="1" si="22"/>
        <v>121000</v>
      </c>
      <c r="X100" s="14"/>
      <c r="AB100" s="11">
        <v>95</v>
      </c>
      <c r="AC100" s="7">
        <v>57135</v>
      </c>
      <c r="AD100" s="7">
        <v>88227.5</v>
      </c>
      <c r="AE100" s="7">
        <v>115152.5</v>
      </c>
      <c r="AF100" s="7">
        <v>129062.5</v>
      </c>
      <c r="AG100" s="7">
        <v>135722.5</v>
      </c>
      <c r="AH100" s="7">
        <v>135830</v>
      </c>
      <c r="AI100" s="7">
        <v>138222.5</v>
      </c>
      <c r="AJ100" s="7">
        <v>126637.5</v>
      </c>
      <c r="AK100" s="7">
        <v>94212.5</v>
      </c>
      <c r="AL100" s="7">
        <v>85075</v>
      </c>
    </row>
    <row r="101" spans="11:38" x14ac:dyDescent="0.3">
      <c r="K101" s="40">
        <v>97</v>
      </c>
      <c r="L101" s="39">
        <f t="shared" ca="1" si="12"/>
        <v>0.42903434172279642</v>
      </c>
      <c r="M101" s="39">
        <f t="shared" ca="1" si="13"/>
        <v>160</v>
      </c>
      <c r="N101" s="39">
        <f t="shared" ca="1" si="14"/>
        <v>0.87295485026626318</v>
      </c>
      <c r="O101" s="39">
        <f t="shared" ca="1" si="14"/>
        <v>0.46509560731476984</v>
      </c>
      <c r="P101" s="67">
        <f t="shared" ca="1" si="15"/>
        <v>0.33380504575810332</v>
      </c>
      <c r="Q101" s="56">
        <f t="shared" ca="1" si="16"/>
        <v>106.59119267870346</v>
      </c>
      <c r="R101" s="56">
        <f t="shared" ca="1" si="17"/>
        <v>107</v>
      </c>
      <c r="S101" s="56">
        <f t="shared" ca="1" si="18"/>
        <v>107</v>
      </c>
      <c r="T101" s="39">
        <f t="shared" ca="1" si="19"/>
        <v>588500</v>
      </c>
      <c r="U101" s="61">
        <f t="shared" ca="1" si="20"/>
        <v>36000</v>
      </c>
      <c r="V101" s="61">
        <f t="shared" ca="1" si="21"/>
        <v>0</v>
      </c>
      <c r="W101" s="62">
        <f t="shared" ca="1" si="22"/>
        <v>124500</v>
      </c>
      <c r="X101" s="14"/>
      <c r="AB101" s="11">
        <v>96</v>
      </c>
      <c r="AC101" s="7">
        <v>57922.5</v>
      </c>
      <c r="AD101" s="7">
        <v>90947.5</v>
      </c>
      <c r="AE101" s="7">
        <v>113960</v>
      </c>
      <c r="AF101" s="7">
        <v>130467.5</v>
      </c>
      <c r="AG101" s="7">
        <v>137815</v>
      </c>
      <c r="AH101" s="7">
        <v>136732.5</v>
      </c>
      <c r="AI101" s="7">
        <v>135370</v>
      </c>
      <c r="AJ101" s="7">
        <v>118542.5</v>
      </c>
      <c r="AK101" s="7">
        <v>112250</v>
      </c>
      <c r="AL101" s="7">
        <v>81450</v>
      </c>
    </row>
    <row r="102" spans="11:38" x14ac:dyDescent="0.3">
      <c r="K102" s="40">
        <v>98</v>
      </c>
      <c r="L102" s="39">
        <f t="shared" ca="1" si="12"/>
        <v>0.82746819088706736</v>
      </c>
      <c r="M102" s="39">
        <f t="shared" ca="1" si="13"/>
        <v>200</v>
      </c>
      <c r="N102" s="39">
        <f t="shared" ca="1" si="14"/>
        <v>0.56292575582208926</v>
      </c>
      <c r="O102" s="39">
        <f t="shared" ca="1" si="14"/>
        <v>0.82423693511588969</v>
      </c>
      <c r="P102" s="67">
        <f t="shared" ca="1" si="15"/>
        <v>0.33871626909379793</v>
      </c>
      <c r="Q102" s="56">
        <f t="shared" ca="1" si="16"/>
        <v>132.25674618124043</v>
      </c>
      <c r="R102" s="56">
        <f t="shared" ca="1" si="17"/>
        <v>133</v>
      </c>
      <c r="S102" s="56">
        <f t="shared" ca="1" si="18"/>
        <v>125</v>
      </c>
      <c r="T102" s="39">
        <f t="shared" ca="1" si="19"/>
        <v>687500</v>
      </c>
      <c r="U102" s="61">
        <f t="shared" ca="1" si="20"/>
        <v>0</v>
      </c>
      <c r="V102" s="61">
        <f t="shared" ca="1" si="21"/>
        <v>12000</v>
      </c>
      <c r="W102" s="62">
        <f t="shared" ca="1" si="22"/>
        <v>175500</v>
      </c>
      <c r="X102" s="14"/>
      <c r="AB102" s="11">
        <v>97</v>
      </c>
      <c r="AC102" s="7">
        <v>59430</v>
      </c>
      <c r="AD102" s="7">
        <v>90647.5</v>
      </c>
      <c r="AE102" s="7">
        <v>110785</v>
      </c>
      <c r="AF102" s="7">
        <v>127225</v>
      </c>
      <c r="AG102" s="7">
        <v>136180</v>
      </c>
      <c r="AH102" s="7">
        <v>139005</v>
      </c>
      <c r="AI102" s="7">
        <v>129615</v>
      </c>
      <c r="AJ102" s="7">
        <v>125440</v>
      </c>
      <c r="AK102" s="7">
        <v>115055</v>
      </c>
      <c r="AL102" s="7">
        <v>76902.5</v>
      </c>
    </row>
    <row r="103" spans="11:38" x14ac:dyDescent="0.3">
      <c r="K103" s="40">
        <v>99</v>
      </c>
      <c r="L103" s="39">
        <f t="shared" ca="1" si="12"/>
        <v>0.20283504679814968</v>
      </c>
      <c r="M103" s="39">
        <f t="shared" ca="1" si="13"/>
        <v>140</v>
      </c>
      <c r="N103" s="39">
        <f t="shared" ca="1" si="14"/>
        <v>0.46495218922784254</v>
      </c>
      <c r="O103" s="39">
        <f t="shared" ca="1" si="14"/>
        <v>0.1969333245979964</v>
      </c>
      <c r="P103" s="67">
        <f t="shared" ca="1" si="15"/>
        <v>0.2661885513825839</v>
      </c>
      <c r="Q103" s="56">
        <f t="shared" ca="1" si="16"/>
        <v>102.73360280643826</v>
      </c>
      <c r="R103" s="56">
        <f t="shared" ca="1" si="17"/>
        <v>103</v>
      </c>
      <c r="S103" s="56">
        <f t="shared" ca="1" si="18"/>
        <v>103</v>
      </c>
      <c r="T103" s="39">
        <f t="shared" ca="1" si="19"/>
        <v>566500</v>
      </c>
      <c r="U103" s="61">
        <f t="shared" ca="1" si="20"/>
        <v>44000</v>
      </c>
      <c r="V103" s="61">
        <f t="shared" ca="1" si="21"/>
        <v>0</v>
      </c>
      <c r="W103" s="62">
        <f t="shared" ca="1" si="22"/>
        <v>110500</v>
      </c>
      <c r="X103" s="14"/>
      <c r="AB103" s="11">
        <v>98</v>
      </c>
      <c r="AC103" s="7">
        <v>55972.5</v>
      </c>
      <c r="AD103" s="7">
        <v>86970</v>
      </c>
      <c r="AE103" s="7">
        <v>116507.5</v>
      </c>
      <c r="AF103" s="7">
        <v>128962.5</v>
      </c>
      <c r="AG103" s="7">
        <v>134557.5</v>
      </c>
      <c r="AH103" s="7">
        <v>137155</v>
      </c>
      <c r="AI103" s="7">
        <v>133277.5</v>
      </c>
      <c r="AJ103" s="7">
        <v>118910</v>
      </c>
      <c r="AK103" s="7">
        <v>104837.5</v>
      </c>
      <c r="AL103" s="7">
        <v>80730</v>
      </c>
    </row>
    <row r="104" spans="11:38" x14ac:dyDescent="0.3">
      <c r="K104" s="40">
        <v>100</v>
      </c>
      <c r="L104" s="39">
        <f t="shared" ca="1" si="12"/>
        <v>0.67031489776538777</v>
      </c>
      <c r="M104" s="39">
        <f t="shared" ca="1" si="13"/>
        <v>200</v>
      </c>
      <c r="N104" s="39">
        <f t="shared" ca="1" si="14"/>
        <v>0.68572857479042759</v>
      </c>
      <c r="O104" s="39">
        <f t="shared" ca="1" si="14"/>
        <v>0.1092053125829261</v>
      </c>
      <c r="P104" s="67">
        <f t="shared" ca="1" si="15"/>
        <v>0.27949338873733537</v>
      </c>
      <c r="Q104" s="56">
        <f t="shared" ca="1" si="16"/>
        <v>144.10132225253292</v>
      </c>
      <c r="R104" s="56">
        <f t="shared" ca="1" si="17"/>
        <v>145</v>
      </c>
      <c r="S104" s="56">
        <f t="shared" ca="1" si="18"/>
        <v>125</v>
      </c>
      <c r="T104" s="39">
        <f t="shared" ca="1" si="19"/>
        <v>687500</v>
      </c>
      <c r="U104" s="61">
        <f t="shared" ca="1" si="20"/>
        <v>0</v>
      </c>
      <c r="V104" s="61">
        <f t="shared" ca="1" si="21"/>
        <v>30000</v>
      </c>
      <c r="W104" s="62">
        <f t="shared" ca="1" si="22"/>
        <v>157500</v>
      </c>
      <c r="X104" s="14"/>
      <c r="AB104" s="11">
        <v>99</v>
      </c>
      <c r="AC104" s="7">
        <v>60082.5</v>
      </c>
      <c r="AD104" s="7">
        <v>87937.5</v>
      </c>
      <c r="AE104" s="7">
        <v>115420</v>
      </c>
      <c r="AF104" s="7">
        <v>128015</v>
      </c>
      <c r="AG104" s="7">
        <v>137440</v>
      </c>
      <c r="AH104" s="7">
        <v>138702.5</v>
      </c>
      <c r="AI104" s="7">
        <v>136050</v>
      </c>
      <c r="AJ104" s="7">
        <v>116292.5</v>
      </c>
      <c r="AK104" s="7">
        <v>101805</v>
      </c>
      <c r="AL104" s="7">
        <v>78490</v>
      </c>
    </row>
    <row r="105" spans="11:38" x14ac:dyDescent="0.3">
      <c r="K105" s="40">
        <v>101</v>
      </c>
      <c r="L105" s="39">
        <f t="shared" ca="1" si="12"/>
        <v>0.54788226049907951</v>
      </c>
      <c r="M105" s="39">
        <f t="shared" ca="1" si="13"/>
        <v>180</v>
      </c>
      <c r="N105" s="39">
        <f t="shared" ca="1" si="14"/>
        <v>0.52706955583002246</v>
      </c>
      <c r="O105" s="39">
        <f t="shared" ca="1" si="14"/>
        <v>0.38556750187433675</v>
      </c>
      <c r="P105" s="67">
        <f t="shared" ca="1" si="15"/>
        <v>0.29126370577043592</v>
      </c>
      <c r="Q105" s="56">
        <f t="shared" ca="1" si="16"/>
        <v>127.57253296132154</v>
      </c>
      <c r="R105" s="56">
        <f t="shared" ca="1" si="17"/>
        <v>128</v>
      </c>
      <c r="S105" s="56">
        <f t="shared" ca="1" si="18"/>
        <v>125</v>
      </c>
      <c r="T105" s="39">
        <f t="shared" ca="1" si="19"/>
        <v>687500</v>
      </c>
      <c r="U105" s="61">
        <f t="shared" ca="1" si="20"/>
        <v>0</v>
      </c>
      <c r="V105" s="61">
        <f t="shared" ca="1" si="21"/>
        <v>4500</v>
      </c>
      <c r="W105" s="62">
        <f t="shared" ca="1" si="22"/>
        <v>183000</v>
      </c>
      <c r="X105" s="14"/>
      <c r="AB105" s="42">
        <v>100</v>
      </c>
      <c r="AC105" s="7">
        <v>58695</v>
      </c>
      <c r="AD105" s="7">
        <v>84270</v>
      </c>
      <c r="AE105" s="7">
        <v>111837.5</v>
      </c>
      <c r="AF105" s="7">
        <v>129825</v>
      </c>
      <c r="AG105" s="7">
        <v>134537.5</v>
      </c>
      <c r="AH105" s="7">
        <v>143430</v>
      </c>
      <c r="AI105" s="7">
        <v>136400</v>
      </c>
      <c r="AJ105" s="7">
        <v>125535</v>
      </c>
      <c r="AK105" s="7">
        <v>112340</v>
      </c>
      <c r="AL105" s="7">
        <v>83502.5</v>
      </c>
    </row>
    <row r="106" spans="11:38" x14ac:dyDescent="0.3">
      <c r="K106" s="40">
        <v>102</v>
      </c>
      <c r="L106" s="39">
        <f t="shared" ca="1" si="12"/>
        <v>0.408338153065396</v>
      </c>
      <c r="M106" s="39">
        <f t="shared" ca="1" si="13"/>
        <v>160</v>
      </c>
      <c r="N106" s="39">
        <f t="shared" ca="1" si="14"/>
        <v>0.73278507638123425</v>
      </c>
      <c r="O106" s="39">
        <f t="shared" ca="1" si="14"/>
        <v>0.7235984921377201</v>
      </c>
      <c r="P106" s="67">
        <f t="shared" ca="1" si="15"/>
        <v>0.34563835685189548</v>
      </c>
      <c r="Q106" s="56">
        <f t="shared" ca="1" si="16"/>
        <v>104.69786290369672</v>
      </c>
      <c r="R106" s="56">
        <f t="shared" ca="1" si="17"/>
        <v>105</v>
      </c>
      <c r="S106" s="56">
        <f t="shared" ca="1" si="18"/>
        <v>105</v>
      </c>
      <c r="T106" s="39">
        <f t="shared" ca="1" si="19"/>
        <v>577500</v>
      </c>
      <c r="U106" s="61">
        <f t="shared" ca="1" si="20"/>
        <v>40000</v>
      </c>
      <c r="V106" s="61">
        <f t="shared" ca="1" si="21"/>
        <v>0</v>
      </c>
      <c r="W106" s="62">
        <f t="shared" ca="1" si="22"/>
        <v>117500</v>
      </c>
      <c r="X106" s="14"/>
    </row>
    <row r="107" spans="11:38" x14ac:dyDescent="0.3">
      <c r="K107" s="40">
        <v>103</v>
      </c>
      <c r="L107" s="39">
        <f t="shared" ca="1" si="12"/>
        <v>0.11922047258488733</v>
      </c>
      <c r="M107" s="39">
        <f t="shared" ca="1" si="13"/>
        <v>140</v>
      </c>
      <c r="N107" s="39">
        <f t="shared" ca="1" si="14"/>
        <v>0.29260475244096107</v>
      </c>
      <c r="O107" s="39">
        <f t="shared" ca="1" si="14"/>
        <v>0.75531368353859862</v>
      </c>
      <c r="P107" s="67">
        <f t="shared" ca="1" si="15"/>
        <v>0.30479184359795597</v>
      </c>
      <c r="Q107" s="56">
        <f t="shared" ca="1" si="16"/>
        <v>97.32914189628616</v>
      </c>
      <c r="R107" s="56">
        <f t="shared" ca="1" si="17"/>
        <v>98</v>
      </c>
      <c r="S107" s="56">
        <f t="shared" ca="1" si="18"/>
        <v>98</v>
      </c>
      <c r="T107" s="39">
        <f t="shared" ca="1" si="19"/>
        <v>539000</v>
      </c>
      <c r="U107" s="61">
        <f t="shared" ca="1" si="20"/>
        <v>54000</v>
      </c>
      <c r="V107" s="61">
        <f t="shared" ca="1" si="21"/>
        <v>0</v>
      </c>
      <c r="W107" s="62">
        <f t="shared" ca="1" si="22"/>
        <v>93000</v>
      </c>
      <c r="X107" s="14"/>
    </row>
    <row r="108" spans="11:38" x14ac:dyDescent="0.3">
      <c r="K108" s="40">
        <v>104</v>
      </c>
      <c r="L108" s="39">
        <f t="shared" ca="1" si="12"/>
        <v>0.42902078734470561</v>
      </c>
      <c r="M108" s="39">
        <f t="shared" ca="1" si="13"/>
        <v>160</v>
      </c>
      <c r="N108" s="39">
        <f t="shared" ca="1" si="14"/>
        <v>0.11951779394538287</v>
      </c>
      <c r="O108" s="39">
        <f t="shared" ca="1" si="14"/>
        <v>0.24091010261953938</v>
      </c>
      <c r="P108" s="67">
        <f t="shared" ca="1" si="15"/>
        <v>0.23604278965649222</v>
      </c>
      <c r="Q108" s="56">
        <f t="shared" ca="1" si="16"/>
        <v>122.23315365496124</v>
      </c>
      <c r="R108" s="56">
        <f t="shared" ca="1" si="17"/>
        <v>123</v>
      </c>
      <c r="S108" s="56">
        <f t="shared" ca="1" si="18"/>
        <v>123</v>
      </c>
      <c r="T108" s="39">
        <f t="shared" ca="1" si="19"/>
        <v>676500</v>
      </c>
      <c r="U108" s="61">
        <f t="shared" ca="1" si="20"/>
        <v>4000</v>
      </c>
      <c r="V108" s="61">
        <f t="shared" ca="1" si="21"/>
        <v>0</v>
      </c>
      <c r="W108" s="62">
        <f t="shared" ca="1" si="22"/>
        <v>180500</v>
      </c>
      <c r="X108" s="14"/>
    </row>
    <row r="109" spans="11:38" x14ac:dyDescent="0.3">
      <c r="K109" s="40">
        <v>105</v>
      </c>
      <c r="L109" s="39">
        <f t="shared" ca="1" si="12"/>
        <v>0.95138910534686427</v>
      </c>
      <c r="M109" s="39">
        <f t="shared" ca="1" si="13"/>
        <v>220</v>
      </c>
      <c r="N109" s="39">
        <f t="shared" ca="1" si="14"/>
        <v>3.5035074428502178E-4</v>
      </c>
      <c r="O109" s="39">
        <f t="shared" ca="1" si="14"/>
        <v>9.2850390920164116E-2</v>
      </c>
      <c r="P109" s="67">
        <f t="shared" ca="1" si="15"/>
        <v>0.20932007416644494</v>
      </c>
      <c r="Q109" s="56">
        <f t="shared" ca="1" si="16"/>
        <v>173.94958368338212</v>
      </c>
      <c r="R109" s="56">
        <f t="shared" ca="1" si="17"/>
        <v>174</v>
      </c>
      <c r="S109" s="56">
        <f t="shared" ca="1" si="18"/>
        <v>125</v>
      </c>
      <c r="T109" s="39">
        <f t="shared" ca="1" si="19"/>
        <v>687500</v>
      </c>
      <c r="U109" s="61">
        <f t="shared" ca="1" si="20"/>
        <v>0</v>
      </c>
      <c r="V109" s="61">
        <f t="shared" ca="1" si="21"/>
        <v>73500</v>
      </c>
      <c r="W109" s="62">
        <f t="shared" ca="1" si="22"/>
        <v>114000</v>
      </c>
      <c r="X109" s="14"/>
    </row>
    <row r="110" spans="11:38" ht="16.2" thickBot="1" x14ac:dyDescent="0.35">
      <c r="K110" s="40">
        <v>106</v>
      </c>
      <c r="L110" s="39">
        <f t="shared" ca="1" si="12"/>
        <v>0.378459521606337</v>
      </c>
      <c r="M110" s="39">
        <f t="shared" ca="1" si="13"/>
        <v>160</v>
      </c>
      <c r="N110" s="39">
        <f t="shared" ca="1" si="14"/>
        <v>0.55242909203799984</v>
      </c>
      <c r="O110" s="39">
        <f t="shared" ca="1" si="14"/>
        <v>0.21723962479961445</v>
      </c>
      <c r="P110" s="67">
        <f t="shared" ca="1" si="15"/>
        <v>0.27696687168376144</v>
      </c>
      <c r="Q110" s="56">
        <f t="shared" ca="1" si="16"/>
        <v>115.68530053059817</v>
      </c>
      <c r="R110" s="56">
        <f t="shared" ca="1" si="17"/>
        <v>116</v>
      </c>
      <c r="S110" s="56">
        <f t="shared" ca="1" si="18"/>
        <v>116</v>
      </c>
      <c r="T110" s="39">
        <f t="shared" ca="1" si="19"/>
        <v>638000</v>
      </c>
      <c r="U110" s="61">
        <f t="shared" ca="1" si="20"/>
        <v>18000</v>
      </c>
      <c r="V110" s="61">
        <f t="shared" ca="1" si="21"/>
        <v>0</v>
      </c>
      <c r="W110" s="62">
        <f t="shared" ca="1" si="22"/>
        <v>156000</v>
      </c>
      <c r="X110" s="14"/>
    </row>
    <row r="111" spans="11:38" ht="16.2" thickBot="1" x14ac:dyDescent="0.35">
      <c r="K111" s="40">
        <v>107</v>
      </c>
      <c r="L111" s="39">
        <f t="shared" ca="1" si="12"/>
        <v>0.89590754102255743</v>
      </c>
      <c r="M111" s="39">
        <f t="shared" ca="1" si="13"/>
        <v>200</v>
      </c>
      <c r="N111" s="39">
        <f t="shared" ca="1" si="14"/>
        <v>0.46295534800444571</v>
      </c>
      <c r="O111" s="39">
        <f t="shared" ca="1" si="14"/>
        <v>0.34300099979263521</v>
      </c>
      <c r="P111" s="67">
        <f t="shared" ca="1" si="15"/>
        <v>0.28059563477970811</v>
      </c>
      <c r="Q111" s="56">
        <f t="shared" ca="1" si="16"/>
        <v>143.88087304405838</v>
      </c>
      <c r="R111" s="56">
        <f t="shared" ca="1" si="17"/>
        <v>144</v>
      </c>
      <c r="S111" s="56">
        <f t="shared" ca="1" si="18"/>
        <v>125</v>
      </c>
      <c r="T111" s="39">
        <f t="shared" ca="1" si="19"/>
        <v>687500</v>
      </c>
      <c r="U111" s="61">
        <f t="shared" ca="1" si="20"/>
        <v>0</v>
      </c>
      <c r="V111" s="61">
        <f t="shared" ca="1" si="21"/>
        <v>28500</v>
      </c>
      <c r="W111" s="62">
        <f t="shared" ca="1" si="22"/>
        <v>159000</v>
      </c>
      <c r="X111" s="14"/>
      <c r="AB111" s="18" t="s">
        <v>22</v>
      </c>
      <c r="AC111" s="13">
        <f>AC5</f>
        <v>80</v>
      </c>
      <c r="AD111" s="13">
        <f t="shared" ref="AD111:AL111" si="23">AD5</f>
        <v>90</v>
      </c>
      <c r="AE111" s="13">
        <f t="shared" si="23"/>
        <v>100</v>
      </c>
      <c r="AF111" s="13">
        <f t="shared" si="23"/>
        <v>110</v>
      </c>
      <c r="AG111" s="13">
        <f t="shared" si="23"/>
        <v>120</v>
      </c>
      <c r="AH111" s="13">
        <f t="shared" si="23"/>
        <v>130</v>
      </c>
      <c r="AI111" s="13">
        <f t="shared" si="23"/>
        <v>140</v>
      </c>
      <c r="AJ111" s="13">
        <f t="shared" si="23"/>
        <v>150</v>
      </c>
      <c r="AK111" s="13">
        <f t="shared" si="23"/>
        <v>160</v>
      </c>
      <c r="AL111" s="13">
        <f t="shared" si="23"/>
        <v>170</v>
      </c>
    </row>
    <row r="112" spans="11:38" x14ac:dyDescent="0.3">
      <c r="K112" s="40">
        <v>108</v>
      </c>
      <c r="L112" s="39">
        <f t="shared" ca="1" si="12"/>
        <v>0.3273574290128306</v>
      </c>
      <c r="M112" s="39">
        <f t="shared" ca="1" si="13"/>
        <v>160</v>
      </c>
      <c r="N112" s="39">
        <f t="shared" ca="1" si="14"/>
        <v>5.9319157808002121E-4</v>
      </c>
      <c r="O112" s="39">
        <f t="shared" ca="1" si="14"/>
        <v>0.73398902653773035</v>
      </c>
      <c r="P112" s="67">
        <f t="shared" ca="1" si="15"/>
        <v>0.27345822181158108</v>
      </c>
      <c r="Q112" s="56">
        <f t="shared" ca="1" si="16"/>
        <v>116.24668451014702</v>
      </c>
      <c r="R112" s="56">
        <f t="shared" ca="1" si="17"/>
        <v>117</v>
      </c>
      <c r="S112" s="56">
        <f t="shared" ca="1" si="18"/>
        <v>117</v>
      </c>
      <c r="T112" s="39">
        <f t="shared" ca="1" si="19"/>
        <v>643500</v>
      </c>
      <c r="U112" s="61">
        <f t="shared" ca="1" si="20"/>
        <v>16000</v>
      </c>
      <c r="V112" s="61">
        <f t="shared" ca="1" si="21"/>
        <v>0</v>
      </c>
      <c r="W112" s="62">
        <f t="shared" ca="1" si="22"/>
        <v>159500</v>
      </c>
      <c r="X112" s="14"/>
      <c r="AB112" s="19" t="s">
        <v>26</v>
      </c>
      <c r="AC112" s="11">
        <f>AVERAGE(AC6:AC105)</f>
        <v>57724.724999999999</v>
      </c>
      <c r="AD112" s="11">
        <f t="shared" ref="AD112:AL112" si="24">AVERAGE(AD6:AD105)</f>
        <v>87341.425000000003</v>
      </c>
      <c r="AE112" s="11">
        <f t="shared" si="24"/>
        <v>113067.6</v>
      </c>
      <c r="AF112" s="11">
        <f t="shared" si="24"/>
        <v>128624.3</v>
      </c>
      <c r="AG112" s="11">
        <f t="shared" si="24"/>
        <v>136966</v>
      </c>
      <c r="AH112" s="11">
        <f t="shared" si="24"/>
        <v>137827.72500000001</v>
      </c>
      <c r="AI112" s="11">
        <f t="shared" si="24"/>
        <v>133534.77499999999</v>
      </c>
      <c r="AJ112" s="11">
        <f t="shared" si="24"/>
        <v>122417.55</v>
      </c>
      <c r="AK112" s="11">
        <f t="shared" si="24"/>
        <v>105111.925</v>
      </c>
      <c r="AL112" s="11">
        <f t="shared" si="24"/>
        <v>85152.9</v>
      </c>
    </row>
    <row r="113" spans="11:38" x14ac:dyDescent="0.3">
      <c r="K113" s="40">
        <v>109</v>
      </c>
      <c r="L113" s="39">
        <f t="shared" ca="1" si="12"/>
        <v>0.229985525139908</v>
      </c>
      <c r="M113" s="39">
        <f t="shared" ca="1" si="13"/>
        <v>140</v>
      </c>
      <c r="N113" s="39">
        <f t="shared" ca="1" si="14"/>
        <v>0.2832846439650305</v>
      </c>
      <c r="O113" s="39">
        <f t="shared" ca="1" si="14"/>
        <v>5.1446182494332637E-2</v>
      </c>
      <c r="P113" s="67">
        <f t="shared" ca="1" si="15"/>
        <v>0.23347308264593633</v>
      </c>
      <c r="Q113" s="56">
        <f t="shared" ca="1" si="16"/>
        <v>107.31376842956891</v>
      </c>
      <c r="R113" s="56">
        <f t="shared" ca="1" si="17"/>
        <v>108</v>
      </c>
      <c r="S113" s="56">
        <f t="shared" ca="1" si="18"/>
        <v>108</v>
      </c>
      <c r="T113" s="39">
        <f t="shared" ca="1" si="19"/>
        <v>594000</v>
      </c>
      <c r="U113" s="61">
        <f t="shared" ca="1" si="20"/>
        <v>34000</v>
      </c>
      <c r="V113" s="61">
        <f t="shared" ca="1" si="21"/>
        <v>0</v>
      </c>
      <c r="W113" s="62">
        <f t="shared" ca="1" si="22"/>
        <v>128000</v>
      </c>
      <c r="X113" s="14"/>
      <c r="AB113" s="19" t="s">
        <v>27</v>
      </c>
      <c r="AC113" s="20">
        <f>_xlfn.STDEV.S(AC6:AC105)</f>
        <v>2040.2349616805509</v>
      </c>
      <c r="AD113" s="20">
        <f t="shared" ref="AD113:AL113" si="25">_xlfn.STDEV.S(AD6:AD105)</f>
        <v>2530.3598791586051</v>
      </c>
      <c r="AE113" s="20">
        <f t="shared" si="25"/>
        <v>1847.9706628372296</v>
      </c>
      <c r="AF113" s="20">
        <f t="shared" si="25"/>
        <v>1400.7633687213254</v>
      </c>
      <c r="AG113" s="20">
        <f t="shared" si="25"/>
        <v>1953.0156686571161</v>
      </c>
      <c r="AH113" s="20">
        <f t="shared" si="25"/>
        <v>3127.5466612115561</v>
      </c>
      <c r="AI113" s="20">
        <f t="shared" si="25"/>
        <v>3496.9086292738475</v>
      </c>
      <c r="AJ113" s="20">
        <f t="shared" si="25"/>
        <v>5018.8104497787235</v>
      </c>
      <c r="AK113" s="20">
        <f t="shared" si="25"/>
        <v>5174.202652366117</v>
      </c>
      <c r="AL113" s="20">
        <f t="shared" si="25"/>
        <v>4688.488195096108</v>
      </c>
    </row>
    <row r="114" spans="11:38" x14ac:dyDescent="0.3">
      <c r="K114" s="40">
        <v>110</v>
      </c>
      <c r="L114" s="39">
        <f t="shared" ca="1" si="12"/>
        <v>0.26727619974736894</v>
      </c>
      <c r="M114" s="39">
        <f t="shared" ca="1" si="13"/>
        <v>140</v>
      </c>
      <c r="N114" s="39">
        <f t="shared" ca="1" si="14"/>
        <v>0.21392088292325129</v>
      </c>
      <c r="O114" s="39">
        <f t="shared" ca="1" si="14"/>
        <v>0.38207949216707693</v>
      </c>
      <c r="P114" s="67">
        <f t="shared" ca="1" si="15"/>
        <v>0.25960003750903282</v>
      </c>
      <c r="Q114" s="56">
        <f t="shared" ca="1" si="16"/>
        <v>103.6559947487354</v>
      </c>
      <c r="R114" s="56">
        <f t="shared" ca="1" si="17"/>
        <v>104</v>
      </c>
      <c r="S114" s="56">
        <f t="shared" ca="1" si="18"/>
        <v>104</v>
      </c>
      <c r="T114" s="39">
        <f t="shared" ca="1" si="19"/>
        <v>572000</v>
      </c>
      <c r="U114" s="61">
        <f t="shared" ca="1" si="20"/>
        <v>42000</v>
      </c>
      <c r="V114" s="61">
        <f t="shared" ca="1" si="21"/>
        <v>0</v>
      </c>
      <c r="W114" s="62">
        <f t="shared" ca="1" si="22"/>
        <v>114000</v>
      </c>
      <c r="X114" s="14"/>
      <c r="AB114" s="19" t="s">
        <v>28</v>
      </c>
      <c r="AC114" s="11">
        <f>_xlfn.CONFIDENCE.T(0.05,AC113,100)</f>
        <v>404.82687961858119</v>
      </c>
      <c r="AD114" s="11">
        <f t="shared" ref="AD114:AL114" si="26">_xlfn.CONFIDENCE.T(0.05,AD113,100)</f>
        <v>502.07829658406609</v>
      </c>
      <c r="AE114" s="11">
        <f t="shared" si="26"/>
        <v>366.6774715236017</v>
      </c>
      <c r="AF114" s="11">
        <f t="shared" si="26"/>
        <v>277.94184213781477</v>
      </c>
      <c r="AG114" s="11">
        <f t="shared" si="26"/>
        <v>387.52067964633295</v>
      </c>
      <c r="AH114" s="11">
        <f t="shared" si="26"/>
        <v>620.57311020534689</v>
      </c>
      <c r="AI114" s="11">
        <f t="shared" si="26"/>
        <v>693.86253803539876</v>
      </c>
      <c r="AJ114" s="11">
        <f t="shared" si="26"/>
        <v>995.84087712499911</v>
      </c>
      <c r="AK114" s="11">
        <f t="shared" si="26"/>
        <v>1026.6740613768247</v>
      </c>
      <c r="AL114" s="11">
        <f t="shared" si="26"/>
        <v>930.29777540224995</v>
      </c>
    </row>
    <row r="115" spans="11:38" x14ac:dyDescent="0.3">
      <c r="K115" s="40">
        <v>111</v>
      </c>
      <c r="L115" s="39">
        <f t="shared" ca="1" si="12"/>
        <v>0.59261454412989312</v>
      </c>
      <c r="M115" s="39">
        <f t="shared" ca="1" si="13"/>
        <v>180</v>
      </c>
      <c r="N115" s="39">
        <f t="shared" ca="1" si="14"/>
        <v>0.17904654699155598</v>
      </c>
      <c r="O115" s="39">
        <f t="shared" ca="1" si="14"/>
        <v>0.63953859610216302</v>
      </c>
      <c r="P115" s="67">
        <f t="shared" ca="1" si="15"/>
        <v>0.28185851430937192</v>
      </c>
      <c r="Q115" s="56">
        <f t="shared" ca="1" si="16"/>
        <v>129.26546742431304</v>
      </c>
      <c r="R115" s="56">
        <f t="shared" ca="1" si="17"/>
        <v>130</v>
      </c>
      <c r="S115" s="56">
        <f t="shared" ca="1" si="18"/>
        <v>125</v>
      </c>
      <c r="T115" s="39">
        <f t="shared" ca="1" si="19"/>
        <v>687500</v>
      </c>
      <c r="U115" s="61">
        <f t="shared" ca="1" si="20"/>
        <v>0</v>
      </c>
      <c r="V115" s="61">
        <f t="shared" ca="1" si="21"/>
        <v>7500</v>
      </c>
      <c r="W115" s="62">
        <f t="shared" ca="1" si="22"/>
        <v>180000</v>
      </c>
      <c r="X115" s="14"/>
      <c r="AB115" s="19" t="s">
        <v>29</v>
      </c>
      <c r="AC115" s="11">
        <f>AC112-AC113</f>
        <v>55684.490038319447</v>
      </c>
      <c r="AD115" s="11">
        <f t="shared" ref="AD115:AL115" si="27">AD112-AD113</f>
        <v>84811.065120841391</v>
      </c>
      <c r="AE115" s="11">
        <f t="shared" si="27"/>
        <v>111219.62933716277</v>
      </c>
      <c r="AF115" s="11">
        <f t="shared" si="27"/>
        <v>127223.53663127868</v>
      </c>
      <c r="AG115" s="11">
        <f t="shared" si="27"/>
        <v>135012.98433134289</v>
      </c>
      <c r="AH115" s="11">
        <f t="shared" si="27"/>
        <v>134700.17833878845</v>
      </c>
      <c r="AI115" s="11">
        <f t="shared" si="27"/>
        <v>130037.86637072614</v>
      </c>
      <c r="AJ115" s="11">
        <f t="shared" si="27"/>
        <v>117398.73955022127</v>
      </c>
      <c r="AK115" s="11">
        <f t="shared" si="27"/>
        <v>99937.722347633884</v>
      </c>
      <c r="AL115" s="11">
        <f t="shared" si="27"/>
        <v>80464.411804903881</v>
      </c>
    </row>
    <row r="116" spans="11:38" x14ac:dyDescent="0.3">
      <c r="K116" s="40">
        <v>112</v>
      </c>
      <c r="L116" s="39">
        <f t="shared" ca="1" si="12"/>
        <v>0.33556614481879266</v>
      </c>
      <c r="M116" s="39">
        <f t="shared" ca="1" si="13"/>
        <v>160</v>
      </c>
      <c r="N116" s="39">
        <f t="shared" ca="1" si="14"/>
        <v>0.24052242625049813</v>
      </c>
      <c r="O116" s="39">
        <f t="shared" ca="1" si="14"/>
        <v>0.26340691627101742</v>
      </c>
      <c r="P116" s="67">
        <f t="shared" ca="1" si="15"/>
        <v>0.25039293425215159</v>
      </c>
      <c r="Q116" s="56">
        <f t="shared" ca="1" si="16"/>
        <v>119.93713051965574</v>
      </c>
      <c r="R116" s="56">
        <f t="shared" ca="1" si="17"/>
        <v>120</v>
      </c>
      <c r="S116" s="56">
        <f t="shared" ca="1" si="18"/>
        <v>120</v>
      </c>
      <c r="T116" s="39">
        <f t="shared" ca="1" si="19"/>
        <v>660000</v>
      </c>
      <c r="U116" s="61">
        <f t="shared" ca="1" si="20"/>
        <v>10000</v>
      </c>
      <c r="V116" s="61">
        <f t="shared" ca="1" si="21"/>
        <v>0</v>
      </c>
      <c r="W116" s="62">
        <f t="shared" ca="1" si="22"/>
        <v>170000</v>
      </c>
      <c r="X116" s="14"/>
      <c r="AB116" s="19" t="s">
        <v>30</v>
      </c>
      <c r="AC116" s="11">
        <f>AC112+AC113</f>
        <v>59764.95996168055</v>
      </c>
      <c r="AD116" s="11">
        <f t="shared" ref="AD116:AL116" si="28">AD112+AD113</f>
        <v>89871.784879158615</v>
      </c>
      <c r="AE116" s="11">
        <f t="shared" si="28"/>
        <v>114915.57066283724</v>
      </c>
      <c r="AF116" s="11">
        <f t="shared" si="28"/>
        <v>130025.06336872133</v>
      </c>
      <c r="AG116" s="11">
        <f t="shared" si="28"/>
        <v>138919.01566865711</v>
      </c>
      <c r="AH116" s="11">
        <f t="shared" si="28"/>
        <v>140955.27166121156</v>
      </c>
      <c r="AI116" s="11">
        <f t="shared" si="28"/>
        <v>137031.68362927384</v>
      </c>
      <c r="AJ116" s="11">
        <f t="shared" si="28"/>
        <v>127436.36044977873</v>
      </c>
      <c r="AK116" s="11">
        <f t="shared" si="28"/>
        <v>110286.12765236612</v>
      </c>
      <c r="AL116" s="11">
        <f t="shared" si="28"/>
        <v>89841.388195096108</v>
      </c>
    </row>
    <row r="117" spans="11:38" x14ac:dyDescent="0.3">
      <c r="K117" s="40">
        <v>113</v>
      </c>
      <c r="L117" s="39">
        <f t="shared" ca="1" si="12"/>
        <v>0.69644228181276868</v>
      </c>
      <c r="M117" s="39">
        <f t="shared" ca="1" si="13"/>
        <v>200</v>
      </c>
      <c r="N117" s="39">
        <f t="shared" ca="1" si="14"/>
        <v>0.38850801478674524</v>
      </c>
      <c r="O117" s="39">
        <f t="shared" ca="1" si="14"/>
        <v>0.69641620096864243</v>
      </c>
      <c r="P117" s="67">
        <f t="shared" ca="1" si="15"/>
        <v>0.3084924215755388</v>
      </c>
      <c r="Q117" s="56">
        <f t="shared" ca="1" si="16"/>
        <v>138.30151568489225</v>
      </c>
      <c r="R117" s="56">
        <f t="shared" ca="1" si="17"/>
        <v>139</v>
      </c>
      <c r="S117" s="56">
        <f t="shared" ca="1" si="18"/>
        <v>125</v>
      </c>
      <c r="T117" s="39">
        <f t="shared" ca="1" si="19"/>
        <v>687500</v>
      </c>
      <c r="U117" s="61">
        <f t="shared" ca="1" si="20"/>
        <v>0</v>
      </c>
      <c r="V117" s="61">
        <f t="shared" ca="1" si="21"/>
        <v>21000</v>
      </c>
      <c r="W117" s="62">
        <f t="shared" ca="1" si="22"/>
        <v>166500</v>
      </c>
      <c r="X117" s="14"/>
      <c r="AB117" s="19"/>
      <c r="AC117" s="20"/>
      <c r="AD117" s="20"/>
      <c r="AE117" s="20"/>
      <c r="AF117" s="20"/>
      <c r="AG117" s="20"/>
      <c r="AH117" s="25"/>
      <c r="AI117" s="16"/>
      <c r="AJ117" s="16"/>
      <c r="AK117" s="16"/>
      <c r="AL117" s="16"/>
    </row>
    <row r="118" spans="11:38" x14ac:dyDescent="0.3">
      <c r="K118" s="40">
        <v>114</v>
      </c>
      <c r="L118" s="39">
        <f t="shared" ca="1" si="12"/>
        <v>0.10867507229605644</v>
      </c>
      <c r="M118" s="39">
        <f t="shared" ca="1" si="13"/>
        <v>140</v>
      </c>
      <c r="N118" s="39">
        <f t="shared" ca="1" si="14"/>
        <v>0.22914168828967929</v>
      </c>
      <c r="O118" s="39">
        <f t="shared" ca="1" si="14"/>
        <v>0.50113211985212613</v>
      </c>
      <c r="P118" s="67">
        <f t="shared" ca="1" si="15"/>
        <v>0.27302738081418054</v>
      </c>
      <c r="Q118" s="56">
        <f t="shared" ca="1" si="16"/>
        <v>101.77616668601473</v>
      </c>
      <c r="R118" s="56">
        <f t="shared" ca="1" si="17"/>
        <v>102</v>
      </c>
      <c r="S118" s="56">
        <f t="shared" ca="1" si="18"/>
        <v>102</v>
      </c>
      <c r="T118" s="39">
        <f t="shared" ca="1" si="19"/>
        <v>561000</v>
      </c>
      <c r="U118" s="61">
        <f t="shared" ca="1" si="20"/>
        <v>46000</v>
      </c>
      <c r="V118" s="61">
        <f t="shared" ca="1" si="21"/>
        <v>0</v>
      </c>
      <c r="W118" s="62">
        <f t="shared" ca="1" si="22"/>
        <v>107000</v>
      </c>
      <c r="X118" s="14"/>
      <c r="AB118" s="19"/>
      <c r="AC118" s="11"/>
      <c r="AD118" s="11"/>
      <c r="AE118" s="11"/>
      <c r="AF118" s="11"/>
      <c r="AG118" s="11"/>
      <c r="AH118" s="24"/>
      <c r="AI118" s="11"/>
      <c r="AJ118" s="11"/>
      <c r="AK118" s="11"/>
      <c r="AL118" s="11"/>
    </row>
    <row r="119" spans="11:38" x14ac:dyDescent="0.3">
      <c r="K119" s="40">
        <v>115</v>
      </c>
      <c r="L119" s="39">
        <f t="shared" ca="1" si="12"/>
        <v>0.93229351208190503</v>
      </c>
      <c r="M119" s="39">
        <f t="shared" ca="1" si="13"/>
        <v>220</v>
      </c>
      <c r="N119" s="39">
        <f t="shared" ca="1" si="14"/>
        <v>0.64999234267762795</v>
      </c>
      <c r="O119" s="39">
        <f t="shared" ca="1" si="14"/>
        <v>0.72347524602113356</v>
      </c>
      <c r="P119" s="67">
        <f t="shared" ca="1" si="15"/>
        <v>0.3373467588698762</v>
      </c>
      <c r="Q119" s="56">
        <f t="shared" ca="1" si="16"/>
        <v>145.78371304862725</v>
      </c>
      <c r="R119" s="56">
        <f t="shared" ca="1" si="17"/>
        <v>146</v>
      </c>
      <c r="S119" s="56">
        <f t="shared" ca="1" si="18"/>
        <v>125</v>
      </c>
      <c r="T119" s="39">
        <f t="shared" ca="1" si="19"/>
        <v>687500</v>
      </c>
      <c r="U119" s="61">
        <f t="shared" ca="1" si="20"/>
        <v>0</v>
      </c>
      <c r="V119" s="61">
        <f t="shared" ca="1" si="21"/>
        <v>31500</v>
      </c>
      <c r="W119" s="62">
        <f t="shared" ca="1" si="22"/>
        <v>156000</v>
      </c>
      <c r="X119" s="14"/>
      <c r="AB119" s="19"/>
      <c r="AC119" s="11"/>
      <c r="AD119" s="11"/>
      <c r="AE119" s="11"/>
      <c r="AF119" s="11"/>
      <c r="AG119" s="11"/>
      <c r="AH119" s="24"/>
      <c r="AI119" s="11"/>
      <c r="AJ119" s="11"/>
      <c r="AK119" s="11"/>
      <c r="AL119" s="11"/>
    </row>
    <row r="120" spans="11:38" ht="16.2" thickBot="1" x14ac:dyDescent="0.35">
      <c r="K120" s="40">
        <v>116</v>
      </c>
      <c r="L120" s="39">
        <f t="shared" ca="1" si="12"/>
        <v>0.56605536475956886</v>
      </c>
      <c r="M120" s="39">
        <f t="shared" ca="1" si="13"/>
        <v>180</v>
      </c>
      <c r="N120" s="39">
        <f t="shared" ca="1" si="14"/>
        <v>4.2732577145864314E-2</v>
      </c>
      <c r="O120" s="39">
        <f t="shared" ca="1" si="14"/>
        <v>0.28652531423170147</v>
      </c>
      <c r="P120" s="67">
        <f t="shared" ca="1" si="15"/>
        <v>0.23292578913775658</v>
      </c>
      <c r="Q120" s="56">
        <f t="shared" ca="1" si="16"/>
        <v>138.07335795520382</v>
      </c>
      <c r="R120" s="56">
        <f t="shared" ca="1" si="17"/>
        <v>139</v>
      </c>
      <c r="S120" s="56">
        <f t="shared" ca="1" si="18"/>
        <v>125</v>
      </c>
      <c r="T120" s="39">
        <f t="shared" ca="1" si="19"/>
        <v>687500</v>
      </c>
      <c r="U120" s="61">
        <f t="shared" ca="1" si="20"/>
        <v>0</v>
      </c>
      <c r="V120" s="61">
        <f t="shared" ca="1" si="21"/>
        <v>21000</v>
      </c>
      <c r="W120" s="62">
        <f t="shared" ca="1" si="22"/>
        <v>166500</v>
      </c>
      <c r="X120" s="14"/>
      <c r="AB120" s="21"/>
      <c r="AC120" s="17"/>
      <c r="AD120" s="17"/>
      <c r="AE120" s="17"/>
      <c r="AF120" s="17"/>
      <c r="AG120" s="17"/>
      <c r="AH120" s="26"/>
      <c r="AI120" s="17"/>
      <c r="AJ120" s="17"/>
      <c r="AK120" s="17"/>
      <c r="AL120" s="17"/>
    </row>
    <row r="121" spans="11:38" x14ac:dyDescent="0.3">
      <c r="K121" s="40">
        <v>117</v>
      </c>
      <c r="L121" s="39">
        <f t="shared" ca="1" si="12"/>
        <v>8.1896932518849552E-2</v>
      </c>
      <c r="M121" s="39">
        <f t="shared" ca="1" si="13"/>
        <v>140</v>
      </c>
      <c r="N121" s="39">
        <f t="shared" ca="1" si="14"/>
        <v>0.22005413764912241</v>
      </c>
      <c r="O121" s="39">
        <f t="shared" ca="1" si="14"/>
        <v>0.7486019096880866</v>
      </c>
      <c r="P121" s="67">
        <f t="shared" ca="1" si="15"/>
        <v>0.29686560473372092</v>
      </c>
      <c r="Q121" s="56">
        <f t="shared" ca="1" si="16"/>
        <v>98.438815337279067</v>
      </c>
      <c r="R121" s="56">
        <f t="shared" ca="1" si="17"/>
        <v>99</v>
      </c>
      <c r="S121" s="56">
        <f t="shared" ca="1" si="18"/>
        <v>99</v>
      </c>
      <c r="T121" s="39">
        <f t="shared" ca="1" si="19"/>
        <v>544500</v>
      </c>
      <c r="U121" s="61">
        <f t="shared" ca="1" si="20"/>
        <v>52000</v>
      </c>
      <c r="V121" s="61">
        <f t="shared" ca="1" si="21"/>
        <v>0</v>
      </c>
      <c r="W121" s="62">
        <f t="shared" ca="1" si="22"/>
        <v>96500</v>
      </c>
      <c r="X121" s="14"/>
    </row>
    <row r="122" spans="11:38" x14ac:dyDescent="0.3">
      <c r="K122" s="40">
        <v>118</v>
      </c>
      <c r="L122" s="39">
        <f t="shared" ca="1" si="12"/>
        <v>4.7272391820096904E-2</v>
      </c>
      <c r="M122" s="39">
        <f t="shared" ca="1" si="13"/>
        <v>140</v>
      </c>
      <c r="N122" s="39">
        <f t="shared" ca="1" si="14"/>
        <v>0.50331572943102931</v>
      </c>
      <c r="O122" s="39">
        <f t="shared" ca="1" si="14"/>
        <v>0.64852192921530583</v>
      </c>
      <c r="P122" s="67">
        <f t="shared" ca="1" si="15"/>
        <v>0.31518376586463354</v>
      </c>
      <c r="Q122" s="56">
        <f t="shared" ca="1" si="16"/>
        <v>95.874272778951308</v>
      </c>
      <c r="R122" s="56">
        <f t="shared" ca="1" si="17"/>
        <v>96</v>
      </c>
      <c r="S122" s="56">
        <f t="shared" ca="1" si="18"/>
        <v>96</v>
      </c>
      <c r="T122" s="39">
        <f t="shared" ca="1" si="19"/>
        <v>528000</v>
      </c>
      <c r="U122" s="61">
        <f t="shared" ca="1" si="20"/>
        <v>58000</v>
      </c>
      <c r="V122" s="61">
        <f t="shared" ca="1" si="21"/>
        <v>0</v>
      </c>
      <c r="W122" s="62">
        <f t="shared" ca="1" si="22"/>
        <v>86000</v>
      </c>
      <c r="X122" s="14"/>
      <c r="AB122" s="22"/>
    </row>
    <row r="123" spans="11:38" x14ac:dyDescent="0.3">
      <c r="K123" s="40">
        <v>119</v>
      </c>
      <c r="L123" s="39">
        <f t="shared" ca="1" si="12"/>
        <v>0.3522097518027677</v>
      </c>
      <c r="M123" s="39">
        <f t="shared" ca="1" si="13"/>
        <v>160</v>
      </c>
      <c r="N123" s="39">
        <f t="shared" ca="1" si="14"/>
        <v>0.67656380959810347</v>
      </c>
      <c r="O123" s="39">
        <f t="shared" ca="1" si="14"/>
        <v>0.5685059979574304</v>
      </c>
      <c r="P123" s="67">
        <f t="shared" ca="1" si="15"/>
        <v>0.3245069807555534</v>
      </c>
      <c r="Q123" s="56">
        <f t="shared" ca="1" si="16"/>
        <v>108.07888307911145</v>
      </c>
      <c r="R123" s="56">
        <f t="shared" ca="1" si="17"/>
        <v>109</v>
      </c>
      <c r="S123" s="56">
        <f t="shared" ca="1" si="18"/>
        <v>109</v>
      </c>
      <c r="T123" s="39">
        <f t="shared" ca="1" si="19"/>
        <v>599500</v>
      </c>
      <c r="U123" s="61">
        <f t="shared" ca="1" si="20"/>
        <v>32000</v>
      </c>
      <c r="V123" s="61">
        <f t="shared" ca="1" si="21"/>
        <v>0</v>
      </c>
      <c r="W123" s="62">
        <f t="shared" ca="1" si="22"/>
        <v>131500</v>
      </c>
      <c r="X123" s="14"/>
      <c r="AB123"/>
      <c r="AC123"/>
      <c r="AD123"/>
      <c r="AE123"/>
      <c r="AF123"/>
      <c r="AG123"/>
      <c r="AH123"/>
      <c r="AI123"/>
    </row>
    <row r="124" spans="11:38" x14ac:dyDescent="0.3">
      <c r="K124" s="40">
        <v>120</v>
      </c>
      <c r="L124" s="39">
        <f t="shared" ca="1" si="12"/>
        <v>0.45931284142360351</v>
      </c>
      <c r="M124" s="39">
        <f t="shared" ca="1" si="13"/>
        <v>160</v>
      </c>
      <c r="N124" s="39">
        <f t="shared" ca="1" si="14"/>
        <v>0.34676811713881606</v>
      </c>
      <c r="O124" s="39">
        <f t="shared" ca="1" si="14"/>
        <v>0.55973342029678952</v>
      </c>
      <c r="P124" s="67">
        <f t="shared" ca="1" si="15"/>
        <v>0.29065015374356057</v>
      </c>
      <c r="Q124" s="56">
        <f t="shared" ca="1" si="16"/>
        <v>113.49597540103031</v>
      </c>
      <c r="R124" s="56">
        <f t="shared" ca="1" si="17"/>
        <v>114</v>
      </c>
      <c r="S124" s="56">
        <f t="shared" ca="1" si="18"/>
        <v>114</v>
      </c>
      <c r="T124" s="39">
        <f t="shared" ca="1" si="19"/>
        <v>627000</v>
      </c>
      <c r="U124" s="61">
        <f t="shared" ca="1" si="20"/>
        <v>22000</v>
      </c>
      <c r="V124" s="61">
        <f t="shared" ca="1" si="21"/>
        <v>0</v>
      </c>
      <c r="W124" s="62">
        <f t="shared" ca="1" si="22"/>
        <v>149000</v>
      </c>
      <c r="X124" s="14"/>
      <c r="AB124"/>
      <c r="AC124"/>
      <c r="AD124"/>
      <c r="AE124"/>
      <c r="AF124"/>
      <c r="AG124"/>
      <c r="AH124"/>
      <c r="AI124"/>
    </row>
    <row r="125" spans="11:38" x14ac:dyDescent="0.3">
      <c r="K125" s="40">
        <v>121</v>
      </c>
      <c r="L125" s="39">
        <f t="shared" ca="1" si="12"/>
        <v>4.6102937918701015E-2</v>
      </c>
      <c r="M125" s="39">
        <f t="shared" ca="1" si="13"/>
        <v>140</v>
      </c>
      <c r="N125" s="39">
        <f t="shared" ca="1" si="14"/>
        <v>0.33179737962665778</v>
      </c>
      <c r="O125" s="39">
        <f t="shared" ca="1" si="14"/>
        <v>7.5656344410178988E-2</v>
      </c>
      <c r="P125" s="67">
        <f t="shared" ca="1" si="15"/>
        <v>0.24074537240368368</v>
      </c>
      <c r="Q125" s="56">
        <f t="shared" ca="1" si="16"/>
        <v>106.29564786348428</v>
      </c>
      <c r="R125" s="56">
        <f t="shared" ca="1" si="17"/>
        <v>107</v>
      </c>
      <c r="S125" s="56">
        <f t="shared" ca="1" si="18"/>
        <v>107</v>
      </c>
      <c r="T125" s="39">
        <f t="shared" ca="1" si="19"/>
        <v>588500</v>
      </c>
      <c r="U125" s="61">
        <f t="shared" ca="1" si="20"/>
        <v>36000</v>
      </c>
      <c r="V125" s="61">
        <f t="shared" ca="1" si="21"/>
        <v>0</v>
      </c>
      <c r="W125" s="62">
        <f t="shared" ca="1" si="22"/>
        <v>124500</v>
      </c>
      <c r="X125" s="14"/>
      <c r="AB125"/>
      <c r="AC125"/>
      <c r="AD125"/>
      <c r="AE125"/>
      <c r="AF125"/>
      <c r="AG125"/>
      <c r="AH125"/>
      <c r="AI125"/>
    </row>
    <row r="126" spans="11:38" x14ac:dyDescent="0.3">
      <c r="K126" s="40">
        <v>122</v>
      </c>
      <c r="L126" s="39">
        <f t="shared" ca="1" si="12"/>
        <v>0.60904236046283955</v>
      </c>
      <c r="M126" s="39">
        <f t="shared" ca="1" si="13"/>
        <v>180</v>
      </c>
      <c r="N126" s="39">
        <f t="shared" ca="1" si="14"/>
        <v>0.87563026454883697</v>
      </c>
      <c r="O126" s="39">
        <f t="shared" ca="1" si="14"/>
        <v>0.83334940981050609</v>
      </c>
      <c r="P126" s="67">
        <f t="shared" ca="1" si="15"/>
        <v>0.37089796743593434</v>
      </c>
      <c r="Q126" s="56">
        <f t="shared" ca="1" si="16"/>
        <v>113.23836586153182</v>
      </c>
      <c r="R126" s="56">
        <f t="shared" ca="1" si="17"/>
        <v>114</v>
      </c>
      <c r="S126" s="56">
        <f t="shared" ca="1" si="18"/>
        <v>114</v>
      </c>
      <c r="T126" s="39">
        <f t="shared" ca="1" si="19"/>
        <v>627000</v>
      </c>
      <c r="U126" s="61">
        <f t="shared" ca="1" si="20"/>
        <v>22000</v>
      </c>
      <c r="V126" s="61">
        <f t="shared" ca="1" si="21"/>
        <v>0</v>
      </c>
      <c r="W126" s="62">
        <f t="shared" ca="1" si="22"/>
        <v>149000</v>
      </c>
      <c r="X126" s="14"/>
      <c r="AB126"/>
      <c r="AC126"/>
      <c r="AD126"/>
      <c r="AE126"/>
      <c r="AF126"/>
      <c r="AG126"/>
      <c r="AH126"/>
      <c r="AI126"/>
    </row>
    <row r="127" spans="11:38" x14ac:dyDescent="0.3">
      <c r="K127" s="40">
        <v>123</v>
      </c>
      <c r="L127" s="39">
        <f t="shared" ca="1" si="12"/>
        <v>0.70356735101242318</v>
      </c>
      <c r="M127" s="39">
        <f t="shared" ca="1" si="13"/>
        <v>200</v>
      </c>
      <c r="N127" s="39">
        <f t="shared" ca="1" si="14"/>
        <v>4.833808937319406E-2</v>
      </c>
      <c r="O127" s="39">
        <f t="shared" ca="1" si="14"/>
        <v>0.34628698786897172</v>
      </c>
      <c r="P127" s="67">
        <f t="shared" ca="1" si="15"/>
        <v>0.23946250772421659</v>
      </c>
      <c r="Q127" s="56">
        <f t="shared" ca="1" si="16"/>
        <v>152.10749845515667</v>
      </c>
      <c r="R127" s="56">
        <f t="shared" ca="1" si="17"/>
        <v>153</v>
      </c>
      <c r="S127" s="56">
        <f t="shared" ca="1" si="18"/>
        <v>125</v>
      </c>
      <c r="T127" s="39">
        <f t="shared" ca="1" si="19"/>
        <v>687500</v>
      </c>
      <c r="U127" s="61">
        <f t="shared" ca="1" si="20"/>
        <v>0</v>
      </c>
      <c r="V127" s="61">
        <f t="shared" ca="1" si="21"/>
        <v>42000</v>
      </c>
      <c r="W127" s="62">
        <f t="shared" ca="1" si="22"/>
        <v>145500</v>
      </c>
      <c r="X127" s="14"/>
      <c r="AB127"/>
      <c r="AC127"/>
      <c r="AD127"/>
      <c r="AE127"/>
      <c r="AF127"/>
      <c r="AG127"/>
      <c r="AH127"/>
      <c r="AI127"/>
    </row>
    <row r="128" spans="11:38" x14ac:dyDescent="0.3">
      <c r="K128" s="40">
        <v>124</v>
      </c>
      <c r="L128" s="39">
        <f t="shared" ca="1" si="12"/>
        <v>0.68156196900393695</v>
      </c>
      <c r="M128" s="39">
        <f t="shared" ca="1" si="13"/>
        <v>200</v>
      </c>
      <c r="N128" s="39">
        <f t="shared" ca="1" si="14"/>
        <v>0.19115461482687068</v>
      </c>
      <c r="O128" s="39">
        <f t="shared" ca="1" si="14"/>
        <v>0.41392145068429842</v>
      </c>
      <c r="P128" s="67">
        <f t="shared" ca="1" si="15"/>
        <v>0.26050760655111693</v>
      </c>
      <c r="Q128" s="56">
        <f t="shared" ca="1" si="16"/>
        <v>147.8984786897766</v>
      </c>
      <c r="R128" s="56">
        <f t="shared" ca="1" si="17"/>
        <v>148</v>
      </c>
      <c r="S128" s="56">
        <f t="shared" ca="1" si="18"/>
        <v>125</v>
      </c>
      <c r="T128" s="39">
        <f t="shared" ca="1" si="19"/>
        <v>687500</v>
      </c>
      <c r="U128" s="61">
        <f t="shared" ca="1" si="20"/>
        <v>0</v>
      </c>
      <c r="V128" s="61">
        <f t="shared" ca="1" si="21"/>
        <v>34500</v>
      </c>
      <c r="W128" s="62">
        <f t="shared" ca="1" si="22"/>
        <v>153000</v>
      </c>
      <c r="X128" s="14"/>
      <c r="AB128"/>
      <c r="AC128"/>
      <c r="AD128"/>
      <c r="AE128"/>
      <c r="AF128"/>
      <c r="AG128"/>
      <c r="AH128"/>
      <c r="AI128"/>
    </row>
    <row r="129" spans="11:35" x14ac:dyDescent="0.3">
      <c r="K129" s="40">
        <v>125</v>
      </c>
      <c r="L129" s="39">
        <f t="shared" ca="1" si="12"/>
        <v>0.11085687360474095</v>
      </c>
      <c r="M129" s="39">
        <f t="shared" ca="1" si="13"/>
        <v>140</v>
      </c>
      <c r="N129" s="39">
        <f t="shared" ca="1" si="14"/>
        <v>0.8677316425028494</v>
      </c>
      <c r="O129" s="39">
        <f t="shared" ca="1" si="14"/>
        <v>0.59621783669344441</v>
      </c>
      <c r="P129" s="67">
        <f t="shared" ca="1" si="15"/>
        <v>0.34639494791962938</v>
      </c>
      <c r="Q129" s="56">
        <f t="shared" ca="1" si="16"/>
        <v>91.50470729125189</v>
      </c>
      <c r="R129" s="56">
        <f t="shared" ca="1" si="17"/>
        <v>92</v>
      </c>
      <c r="S129" s="56">
        <f t="shared" ca="1" si="18"/>
        <v>92</v>
      </c>
      <c r="T129" s="39">
        <f t="shared" ca="1" si="19"/>
        <v>506000</v>
      </c>
      <c r="U129" s="61">
        <f t="shared" ca="1" si="20"/>
        <v>66000</v>
      </c>
      <c r="V129" s="61">
        <f t="shared" ca="1" si="21"/>
        <v>0</v>
      </c>
      <c r="W129" s="62">
        <f t="shared" ca="1" si="22"/>
        <v>72000</v>
      </c>
      <c r="X129" s="14"/>
      <c r="AB129"/>
      <c r="AC129"/>
      <c r="AD129"/>
      <c r="AE129"/>
      <c r="AF129"/>
      <c r="AG129"/>
      <c r="AH129"/>
      <c r="AI129"/>
    </row>
    <row r="130" spans="11:35" x14ac:dyDescent="0.3">
      <c r="K130" s="40">
        <v>126</v>
      </c>
      <c r="L130" s="39">
        <f t="shared" ca="1" si="12"/>
        <v>0.38663558283096233</v>
      </c>
      <c r="M130" s="39">
        <f t="shared" ca="1" si="13"/>
        <v>160</v>
      </c>
      <c r="N130" s="39">
        <f t="shared" ca="1" si="14"/>
        <v>0.78427896256608487</v>
      </c>
      <c r="O130" s="39">
        <f t="shared" ca="1" si="14"/>
        <v>0.63876066921334451</v>
      </c>
      <c r="P130" s="67">
        <f t="shared" ca="1" si="15"/>
        <v>0.34230396317794298</v>
      </c>
      <c r="Q130" s="56">
        <f t="shared" ca="1" si="16"/>
        <v>105.23136589152912</v>
      </c>
      <c r="R130" s="56">
        <f t="shared" ca="1" si="17"/>
        <v>106</v>
      </c>
      <c r="S130" s="56">
        <f t="shared" ca="1" si="18"/>
        <v>106</v>
      </c>
      <c r="T130" s="39">
        <f t="shared" ca="1" si="19"/>
        <v>583000</v>
      </c>
      <c r="U130" s="61">
        <f t="shared" ca="1" si="20"/>
        <v>38000</v>
      </c>
      <c r="V130" s="61">
        <f t="shared" ca="1" si="21"/>
        <v>0</v>
      </c>
      <c r="W130" s="62">
        <f t="shared" ca="1" si="22"/>
        <v>121000</v>
      </c>
      <c r="X130" s="14"/>
    </row>
    <row r="131" spans="11:35" x14ac:dyDescent="0.3">
      <c r="K131" s="40">
        <v>127</v>
      </c>
      <c r="L131" s="39">
        <f t="shared" ca="1" si="12"/>
        <v>0.50525529347403753</v>
      </c>
      <c r="M131" s="39">
        <f t="shared" ca="1" si="13"/>
        <v>180</v>
      </c>
      <c r="N131" s="39">
        <f t="shared" ca="1" si="14"/>
        <v>0.56541316838257472</v>
      </c>
      <c r="O131" s="39">
        <f t="shared" ca="1" si="14"/>
        <v>0.4308854803471982</v>
      </c>
      <c r="P131" s="67">
        <f t="shared" ca="1" si="15"/>
        <v>0.29962986487297733</v>
      </c>
      <c r="Q131" s="56">
        <f t="shared" ca="1" si="16"/>
        <v>126.06662432286407</v>
      </c>
      <c r="R131" s="56">
        <f t="shared" ca="1" si="17"/>
        <v>127</v>
      </c>
      <c r="S131" s="56">
        <f t="shared" ca="1" si="18"/>
        <v>125</v>
      </c>
      <c r="T131" s="39">
        <f t="shared" ca="1" si="19"/>
        <v>687500</v>
      </c>
      <c r="U131" s="61">
        <f t="shared" ca="1" si="20"/>
        <v>0</v>
      </c>
      <c r="V131" s="61">
        <f t="shared" ca="1" si="21"/>
        <v>3000</v>
      </c>
      <c r="W131" s="62">
        <f t="shared" ca="1" si="22"/>
        <v>184500</v>
      </c>
      <c r="X131" s="14"/>
    </row>
    <row r="132" spans="11:35" x14ac:dyDescent="0.3">
      <c r="K132" s="40">
        <v>128</v>
      </c>
      <c r="L132" s="39">
        <f t="shared" ca="1" si="12"/>
        <v>0.87114820638809576</v>
      </c>
      <c r="M132" s="39">
        <f t="shared" ca="1" si="13"/>
        <v>200</v>
      </c>
      <c r="N132" s="39">
        <f t="shared" ca="1" si="14"/>
        <v>0.69120434377878004</v>
      </c>
      <c r="O132" s="39">
        <f t="shared" ca="1" si="14"/>
        <v>0.40942482001796532</v>
      </c>
      <c r="P132" s="67">
        <f t="shared" ca="1" si="15"/>
        <v>0.31006291637967454</v>
      </c>
      <c r="Q132" s="56">
        <f t="shared" ca="1" si="16"/>
        <v>137.9874167240651</v>
      </c>
      <c r="R132" s="56">
        <f t="shared" ca="1" si="17"/>
        <v>138</v>
      </c>
      <c r="S132" s="56">
        <f t="shared" ca="1" si="18"/>
        <v>125</v>
      </c>
      <c r="T132" s="39">
        <f t="shared" ca="1" si="19"/>
        <v>687500</v>
      </c>
      <c r="U132" s="61">
        <f t="shared" ca="1" si="20"/>
        <v>0</v>
      </c>
      <c r="V132" s="61">
        <f t="shared" ca="1" si="21"/>
        <v>19500</v>
      </c>
      <c r="W132" s="62">
        <f t="shared" ca="1" si="22"/>
        <v>168000</v>
      </c>
      <c r="X132" s="14"/>
    </row>
    <row r="133" spans="11:35" x14ac:dyDescent="0.3">
      <c r="K133" s="40">
        <v>129</v>
      </c>
      <c r="L133" s="39">
        <f t="shared" ca="1" si="12"/>
        <v>0.11222073699966384</v>
      </c>
      <c r="M133" s="39">
        <f t="shared" ca="1" si="13"/>
        <v>140</v>
      </c>
      <c r="N133" s="39">
        <f t="shared" ca="1" si="14"/>
        <v>0.62967372932883481</v>
      </c>
      <c r="O133" s="39">
        <f t="shared" ca="1" si="14"/>
        <v>0.63421785889560667</v>
      </c>
      <c r="P133" s="67">
        <f t="shared" ca="1" si="15"/>
        <v>0.32638915882244413</v>
      </c>
      <c r="Q133" s="56">
        <f t="shared" ca="1" si="16"/>
        <v>94.305517764857825</v>
      </c>
      <c r="R133" s="56">
        <f t="shared" ca="1" si="17"/>
        <v>95</v>
      </c>
      <c r="S133" s="56">
        <f t="shared" ca="1" si="18"/>
        <v>95</v>
      </c>
      <c r="T133" s="39">
        <f t="shared" ca="1" si="19"/>
        <v>522500</v>
      </c>
      <c r="U133" s="61">
        <f t="shared" ca="1" si="20"/>
        <v>60000</v>
      </c>
      <c r="V133" s="61">
        <f t="shared" ca="1" si="21"/>
        <v>0</v>
      </c>
      <c r="W133" s="62">
        <f t="shared" ca="1" si="22"/>
        <v>82500</v>
      </c>
      <c r="X133" s="14"/>
    </row>
    <row r="134" spans="11:35" x14ac:dyDescent="0.3">
      <c r="K134" s="40">
        <v>130</v>
      </c>
      <c r="L134" s="39">
        <f t="shared" ref="L134:L197" ca="1" si="29">RAND()</f>
        <v>0.59986585491209554</v>
      </c>
      <c r="M134" s="39">
        <f t="shared" ref="M134:M197" ca="1" si="30">VLOOKUP(L134,$C$5:$E$9,3,TRUE)</f>
        <v>180</v>
      </c>
      <c r="N134" s="39">
        <f t="shared" ref="N134:O197" ca="1" si="31">RAND()</f>
        <v>0.67636688056212924</v>
      </c>
      <c r="O134" s="39">
        <f t="shared" ca="1" si="31"/>
        <v>0.40739570540386549</v>
      </c>
      <c r="P134" s="67">
        <f t="shared" ref="P134:P197" ca="1" si="32">$E$11+($E$12-$E$11)/2*(N134+O134)</f>
        <v>0.30837625859659951</v>
      </c>
      <c r="Q134" s="56">
        <f t="shared" ref="Q134:Q197" ca="1" si="33">M134-(M134*P134)</f>
        <v>124.4922734526121</v>
      </c>
      <c r="R134" s="56">
        <f t="shared" ref="R134:R197" ca="1" si="34">ROUNDUP(Q134,0)</f>
        <v>125</v>
      </c>
      <c r="S134" s="56">
        <f t="shared" ref="S134:S197" ca="1" si="35">MIN(R134,$M$1)</f>
        <v>125</v>
      </c>
      <c r="T134" s="39">
        <f t="shared" ref="T134:T197" ca="1" si="36">S134*$B$14</f>
        <v>687500</v>
      </c>
      <c r="U134" s="61">
        <f t="shared" ref="U134:U197" ca="1" si="37">($M$1-S134)*$B$15</f>
        <v>0</v>
      </c>
      <c r="V134" s="61">
        <f t="shared" ref="V134:V197" ca="1" si="38">IF(R134&gt;$M$1,(R134-$M$1)*1500,0)</f>
        <v>0</v>
      </c>
      <c r="W134" s="62">
        <f t="shared" ref="W134:W197" ca="1" si="39">U134+T134-$M$2-V134</f>
        <v>187500</v>
      </c>
      <c r="X134" s="14"/>
    </row>
    <row r="135" spans="11:35" x14ac:dyDescent="0.3">
      <c r="K135" s="40">
        <v>131</v>
      </c>
      <c r="L135" s="39">
        <f t="shared" ca="1" si="29"/>
        <v>0.13435829976579183</v>
      </c>
      <c r="M135" s="39">
        <f t="shared" ca="1" si="30"/>
        <v>140</v>
      </c>
      <c r="N135" s="39">
        <f t="shared" ca="1" si="31"/>
        <v>0.4367151844497642</v>
      </c>
      <c r="O135" s="39">
        <f t="shared" ca="1" si="31"/>
        <v>0.46906491140884299</v>
      </c>
      <c r="P135" s="67">
        <f t="shared" ca="1" si="32"/>
        <v>0.29057800958586072</v>
      </c>
      <c r="Q135" s="56">
        <f t="shared" ca="1" si="33"/>
        <v>99.319078657979503</v>
      </c>
      <c r="R135" s="56">
        <f t="shared" ca="1" si="34"/>
        <v>100</v>
      </c>
      <c r="S135" s="56">
        <f t="shared" ca="1" si="35"/>
        <v>100</v>
      </c>
      <c r="T135" s="39">
        <f t="shared" ca="1" si="36"/>
        <v>550000</v>
      </c>
      <c r="U135" s="61">
        <f t="shared" ca="1" si="37"/>
        <v>50000</v>
      </c>
      <c r="V135" s="61">
        <f t="shared" ca="1" si="38"/>
        <v>0</v>
      </c>
      <c r="W135" s="62">
        <f t="shared" ca="1" si="39"/>
        <v>100000</v>
      </c>
      <c r="X135" s="14"/>
    </row>
    <row r="136" spans="11:35" x14ac:dyDescent="0.3">
      <c r="K136" s="40">
        <v>132</v>
      </c>
      <c r="L136" s="39">
        <f t="shared" ca="1" si="29"/>
        <v>0.97422254402920516</v>
      </c>
      <c r="M136" s="39">
        <f t="shared" ca="1" si="30"/>
        <v>220</v>
      </c>
      <c r="N136" s="39">
        <f t="shared" ca="1" si="31"/>
        <v>0.35373908521886488</v>
      </c>
      <c r="O136" s="39">
        <f t="shared" ca="1" si="31"/>
        <v>0.87900665929991051</v>
      </c>
      <c r="P136" s="67">
        <f t="shared" ca="1" si="32"/>
        <v>0.32327457445187757</v>
      </c>
      <c r="Q136" s="56">
        <f t="shared" ca="1" si="33"/>
        <v>148.87959362058695</v>
      </c>
      <c r="R136" s="56">
        <f t="shared" ca="1" si="34"/>
        <v>149</v>
      </c>
      <c r="S136" s="56">
        <f t="shared" ca="1" si="35"/>
        <v>125</v>
      </c>
      <c r="T136" s="39">
        <f t="shared" ca="1" si="36"/>
        <v>687500</v>
      </c>
      <c r="U136" s="61">
        <f t="shared" ca="1" si="37"/>
        <v>0</v>
      </c>
      <c r="V136" s="61">
        <f t="shared" ca="1" si="38"/>
        <v>36000</v>
      </c>
      <c r="W136" s="62">
        <f t="shared" ca="1" si="39"/>
        <v>151500</v>
      </c>
      <c r="X136" s="14"/>
    </row>
    <row r="137" spans="11:35" x14ac:dyDescent="0.3">
      <c r="K137" s="40">
        <v>133</v>
      </c>
      <c r="L137" s="39">
        <f t="shared" ca="1" si="29"/>
        <v>0.56364284701985412</v>
      </c>
      <c r="M137" s="39">
        <f t="shared" ca="1" si="30"/>
        <v>180</v>
      </c>
      <c r="N137" s="39">
        <f t="shared" ca="1" si="31"/>
        <v>0.11937649490491198</v>
      </c>
      <c r="O137" s="39">
        <f t="shared" ca="1" si="31"/>
        <v>0.6561467829683022</v>
      </c>
      <c r="P137" s="67">
        <f t="shared" ca="1" si="32"/>
        <v>0.27755232778732142</v>
      </c>
      <c r="Q137" s="56">
        <f t="shared" ca="1" si="33"/>
        <v>130.04058099828214</v>
      </c>
      <c r="R137" s="56">
        <f t="shared" ca="1" si="34"/>
        <v>131</v>
      </c>
      <c r="S137" s="56">
        <f t="shared" ca="1" si="35"/>
        <v>125</v>
      </c>
      <c r="T137" s="39">
        <f t="shared" ca="1" si="36"/>
        <v>687500</v>
      </c>
      <c r="U137" s="61">
        <f t="shared" ca="1" si="37"/>
        <v>0</v>
      </c>
      <c r="V137" s="61">
        <f t="shared" ca="1" si="38"/>
        <v>9000</v>
      </c>
      <c r="W137" s="62">
        <f t="shared" ca="1" si="39"/>
        <v>178500</v>
      </c>
      <c r="X137" s="14"/>
    </row>
    <row r="138" spans="11:35" x14ac:dyDescent="0.3">
      <c r="K138" s="40">
        <v>134</v>
      </c>
      <c r="L138" s="39">
        <f t="shared" ca="1" si="29"/>
        <v>2.5787797783951683E-2</v>
      </c>
      <c r="M138" s="39">
        <f t="shared" ca="1" si="30"/>
        <v>140</v>
      </c>
      <c r="N138" s="39">
        <f t="shared" ca="1" si="31"/>
        <v>0.62536268292197839</v>
      </c>
      <c r="O138" s="39">
        <f t="shared" ca="1" si="31"/>
        <v>1.9263602099254484E-2</v>
      </c>
      <c r="P138" s="67">
        <f t="shared" ca="1" si="32"/>
        <v>0.26446262850212332</v>
      </c>
      <c r="Q138" s="56">
        <f t="shared" ca="1" si="33"/>
        <v>102.97523200970274</v>
      </c>
      <c r="R138" s="56">
        <f t="shared" ca="1" si="34"/>
        <v>103</v>
      </c>
      <c r="S138" s="56">
        <f t="shared" ca="1" si="35"/>
        <v>103</v>
      </c>
      <c r="T138" s="39">
        <f t="shared" ca="1" si="36"/>
        <v>566500</v>
      </c>
      <c r="U138" s="61">
        <f t="shared" ca="1" si="37"/>
        <v>44000</v>
      </c>
      <c r="V138" s="61">
        <f t="shared" ca="1" si="38"/>
        <v>0</v>
      </c>
      <c r="W138" s="62">
        <f t="shared" ca="1" si="39"/>
        <v>110500</v>
      </c>
      <c r="X138" s="14"/>
    </row>
    <row r="139" spans="11:35" x14ac:dyDescent="0.3">
      <c r="K139" s="40">
        <v>135</v>
      </c>
      <c r="L139" s="39">
        <f t="shared" ca="1" si="29"/>
        <v>2.7714433981198661E-2</v>
      </c>
      <c r="M139" s="39">
        <f t="shared" ca="1" si="30"/>
        <v>140</v>
      </c>
      <c r="N139" s="39">
        <f t="shared" ca="1" si="31"/>
        <v>0.27781502702081207</v>
      </c>
      <c r="O139" s="39">
        <f t="shared" ca="1" si="31"/>
        <v>0.47792053578672788</v>
      </c>
      <c r="P139" s="67">
        <f t="shared" ca="1" si="32"/>
        <v>0.27557355628075403</v>
      </c>
      <c r="Q139" s="56">
        <f t="shared" ca="1" si="33"/>
        <v>101.41970212069444</v>
      </c>
      <c r="R139" s="56">
        <f t="shared" ca="1" si="34"/>
        <v>102</v>
      </c>
      <c r="S139" s="56">
        <f t="shared" ca="1" si="35"/>
        <v>102</v>
      </c>
      <c r="T139" s="39">
        <f t="shared" ca="1" si="36"/>
        <v>561000</v>
      </c>
      <c r="U139" s="61">
        <f t="shared" ca="1" si="37"/>
        <v>46000</v>
      </c>
      <c r="V139" s="61">
        <f t="shared" ca="1" si="38"/>
        <v>0</v>
      </c>
      <c r="W139" s="62">
        <f t="shared" ca="1" si="39"/>
        <v>107000</v>
      </c>
      <c r="X139" s="14"/>
    </row>
    <row r="140" spans="11:35" x14ac:dyDescent="0.3">
      <c r="K140" s="40">
        <v>136</v>
      </c>
      <c r="L140" s="39">
        <f t="shared" ca="1" si="29"/>
        <v>0.37244891148670656</v>
      </c>
      <c r="M140" s="39">
        <f t="shared" ca="1" si="30"/>
        <v>160</v>
      </c>
      <c r="N140" s="39">
        <f t="shared" ca="1" si="31"/>
        <v>0.67523289948034726</v>
      </c>
      <c r="O140" s="39">
        <f t="shared" ca="1" si="31"/>
        <v>0.28956686844718371</v>
      </c>
      <c r="P140" s="67">
        <f t="shared" ca="1" si="32"/>
        <v>0.29647997679275312</v>
      </c>
      <c r="Q140" s="56">
        <f t="shared" ca="1" si="33"/>
        <v>112.56320371315951</v>
      </c>
      <c r="R140" s="56">
        <f t="shared" ca="1" si="34"/>
        <v>113</v>
      </c>
      <c r="S140" s="56">
        <f t="shared" ca="1" si="35"/>
        <v>113</v>
      </c>
      <c r="T140" s="39">
        <f t="shared" ca="1" si="36"/>
        <v>621500</v>
      </c>
      <c r="U140" s="61">
        <f t="shared" ca="1" si="37"/>
        <v>24000</v>
      </c>
      <c r="V140" s="61">
        <f t="shared" ca="1" si="38"/>
        <v>0</v>
      </c>
      <c r="W140" s="62">
        <f t="shared" ca="1" si="39"/>
        <v>145500</v>
      </c>
      <c r="X140" s="14"/>
    </row>
    <row r="141" spans="11:35" x14ac:dyDescent="0.3">
      <c r="K141" s="40">
        <v>137</v>
      </c>
      <c r="L141" s="39">
        <f t="shared" ca="1" si="29"/>
        <v>0.54986852547517895</v>
      </c>
      <c r="M141" s="39">
        <f t="shared" ca="1" si="30"/>
        <v>180</v>
      </c>
      <c r="N141" s="39">
        <f t="shared" ca="1" si="31"/>
        <v>0.5407981417357306</v>
      </c>
      <c r="O141" s="39">
        <f t="shared" ca="1" si="31"/>
        <v>0.37839213200160571</v>
      </c>
      <c r="P141" s="67">
        <f t="shared" ca="1" si="32"/>
        <v>0.29191902737373365</v>
      </c>
      <c r="Q141" s="56">
        <f t="shared" ca="1" si="33"/>
        <v>127.45457507272795</v>
      </c>
      <c r="R141" s="56">
        <f t="shared" ca="1" si="34"/>
        <v>128</v>
      </c>
      <c r="S141" s="56">
        <f t="shared" ca="1" si="35"/>
        <v>125</v>
      </c>
      <c r="T141" s="39">
        <f t="shared" ca="1" si="36"/>
        <v>687500</v>
      </c>
      <c r="U141" s="61">
        <f t="shared" ca="1" si="37"/>
        <v>0</v>
      </c>
      <c r="V141" s="61">
        <f t="shared" ca="1" si="38"/>
        <v>4500</v>
      </c>
      <c r="W141" s="62">
        <f t="shared" ca="1" si="39"/>
        <v>183000</v>
      </c>
      <c r="X141" s="14"/>
    </row>
    <row r="142" spans="11:35" x14ac:dyDescent="0.3">
      <c r="K142" s="40">
        <v>138</v>
      </c>
      <c r="L142" s="39">
        <f t="shared" ca="1" si="29"/>
        <v>0.39851418860378018</v>
      </c>
      <c r="M142" s="39">
        <f t="shared" ca="1" si="30"/>
        <v>160</v>
      </c>
      <c r="N142" s="39">
        <f t="shared" ca="1" si="31"/>
        <v>0.1974532042356596</v>
      </c>
      <c r="O142" s="39">
        <f t="shared" ca="1" si="31"/>
        <v>0.55225578743160519</v>
      </c>
      <c r="P142" s="67">
        <f t="shared" ca="1" si="32"/>
        <v>0.27497089916672651</v>
      </c>
      <c r="Q142" s="56">
        <f t="shared" ca="1" si="33"/>
        <v>116.00465613332375</v>
      </c>
      <c r="R142" s="56">
        <f t="shared" ca="1" si="34"/>
        <v>117</v>
      </c>
      <c r="S142" s="56">
        <f t="shared" ca="1" si="35"/>
        <v>117</v>
      </c>
      <c r="T142" s="39">
        <f t="shared" ca="1" si="36"/>
        <v>643500</v>
      </c>
      <c r="U142" s="61">
        <f t="shared" ca="1" si="37"/>
        <v>16000</v>
      </c>
      <c r="V142" s="61">
        <f t="shared" ca="1" si="38"/>
        <v>0</v>
      </c>
      <c r="W142" s="62">
        <f t="shared" ca="1" si="39"/>
        <v>159500</v>
      </c>
      <c r="X142" s="14"/>
    </row>
    <row r="143" spans="11:35" x14ac:dyDescent="0.3">
      <c r="K143" s="40">
        <v>139</v>
      </c>
      <c r="L143" s="39">
        <f t="shared" ca="1" si="29"/>
        <v>0.34198651989403706</v>
      </c>
      <c r="M143" s="39">
        <f t="shared" ca="1" si="30"/>
        <v>160</v>
      </c>
      <c r="N143" s="39">
        <f t="shared" ca="1" si="31"/>
        <v>7.9550839428002673E-2</v>
      </c>
      <c r="O143" s="39">
        <f t="shared" ca="1" si="31"/>
        <v>0.24502475399428736</v>
      </c>
      <c r="P143" s="67">
        <f t="shared" ca="1" si="32"/>
        <v>0.232457559342229</v>
      </c>
      <c r="Q143" s="56">
        <f t="shared" ca="1" si="33"/>
        <v>122.80679050524336</v>
      </c>
      <c r="R143" s="56">
        <f t="shared" ca="1" si="34"/>
        <v>123</v>
      </c>
      <c r="S143" s="56">
        <f t="shared" ca="1" si="35"/>
        <v>123</v>
      </c>
      <c r="T143" s="39">
        <f t="shared" ca="1" si="36"/>
        <v>676500</v>
      </c>
      <c r="U143" s="61">
        <f t="shared" ca="1" si="37"/>
        <v>4000</v>
      </c>
      <c r="V143" s="61">
        <f t="shared" ca="1" si="38"/>
        <v>0</v>
      </c>
      <c r="W143" s="62">
        <f t="shared" ca="1" si="39"/>
        <v>180500</v>
      </c>
      <c r="X143" s="14"/>
    </row>
    <row r="144" spans="11:35" x14ac:dyDescent="0.3">
      <c r="K144" s="40">
        <v>140</v>
      </c>
      <c r="L144" s="39">
        <f t="shared" ca="1" si="29"/>
        <v>0.85653387232684763</v>
      </c>
      <c r="M144" s="39">
        <f t="shared" ca="1" si="30"/>
        <v>200</v>
      </c>
      <c r="N144" s="39">
        <f t="shared" ca="1" si="31"/>
        <v>0.19876442993324406</v>
      </c>
      <c r="O144" s="39">
        <f t="shared" ca="1" si="31"/>
        <v>0.68975006357626778</v>
      </c>
      <c r="P144" s="67">
        <f t="shared" ca="1" si="32"/>
        <v>0.28885144935095119</v>
      </c>
      <c r="Q144" s="56">
        <f t="shared" ca="1" si="33"/>
        <v>142.22971012980975</v>
      </c>
      <c r="R144" s="56">
        <f t="shared" ca="1" si="34"/>
        <v>143</v>
      </c>
      <c r="S144" s="56">
        <f t="shared" ca="1" si="35"/>
        <v>125</v>
      </c>
      <c r="T144" s="39">
        <f t="shared" ca="1" si="36"/>
        <v>687500</v>
      </c>
      <c r="U144" s="61">
        <f t="shared" ca="1" si="37"/>
        <v>0</v>
      </c>
      <c r="V144" s="61">
        <f t="shared" ca="1" si="38"/>
        <v>27000</v>
      </c>
      <c r="W144" s="62">
        <f t="shared" ca="1" si="39"/>
        <v>160500</v>
      </c>
      <c r="X144" s="14"/>
    </row>
    <row r="145" spans="11:24" x14ac:dyDescent="0.3">
      <c r="K145" s="40">
        <v>141</v>
      </c>
      <c r="L145" s="39">
        <f t="shared" ca="1" si="29"/>
        <v>0.85257933510526163</v>
      </c>
      <c r="M145" s="39">
        <f t="shared" ca="1" si="30"/>
        <v>200</v>
      </c>
      <c r="N145" s="39">
        <f t="shared" ca="1" si="31"/>
        <v>0.58331194439517164</v>
      </c>
      <c r="O145" s="39">
        <f t="shared" ca="1" si="31"/>
        <v>0.33870578002710428</v>
      </c>
      <c r="P145" s="67">
        <f t="shared" ca="1" si="32"/>
        <v>0.29220177244222761</v>
      </c>
      <c r="Q145" s="56">
        <f t="shared" ca="1" si="33"/>
        <v>141.55964551155449</v>
      </c>
      <c r="R145" s="56">
        <f t="shared" ca="1" si="34"/>
        <v>142</v>
      </c>
      <c r="S145" s="56">
        <f t="shared" ca="1" si="35"/>
        <v>125</v>
      </c>
      <c r="T145" s="39">
        <f t="shared" ca="1" si="36"/>
        <v>687500</v>
      </c>
      <c r="U145" s="61">
        <f t="shared" ca="1" si="37"/>
        <v>0</v>
      </c>
      <c r="V145" s="61">
        <f t="shared" ca="1" si="38"/>
        <v>25500</v>
      </c>
      <c r="W145" s="62">
        <f t="shared" ca="1" si="39"/>
        <v>162000</v>
      </c>
      <c r="X145" s="14"/>
    </row>
    <row r="146" spans="11:24" x14ac:dyDescent="0.3">
      <c r="K146" s="40">
        <v>142</v>
      </c>
      <c r="L146" s="39">
        <f t="shared" ca="1" si="29"/>
        <v>0.80087594941729889</v>
      </c>
      <c r="M146" s="39">
        <f t="shared" ca="1" si="30"/>
        <v>200</v>
      </c>
      <c r="N146" s="39">
        <f t="shared" ca="1" si="31"/>
        <v>5.6311354487937448E-2</v>
      </c>
      <c r="O146" s="39">
        <f t="shared" ca="1" si="31"/>
        <v>0.973993249950313</v>
      </c>
      <c r="P146" s="67">
        <f t="shared" ca="1" si="32"/>
        <v>0.30303046044382509</v>
      </c>
      <c r="Q146" s="56">
        <f t="shared" ca="1" si="33"/>
        <v>139.39390791123498</v>
      </c>
      <c r="R146" s="56">
        <f t="shared" ca="1" si="34"/>
        <v>140</v>
      </c>
      <c r="S146" s="56">
        <f t="shared" ca="1" si="35"/>
        <v>125</v>
      </c>
      <c r="T146" s="39">
        <f t="shared" ca="1" si="36"/>
        <v>687500</v>
      </c>
      <c r="U146" s="61">
        <f t="shared" ca="1" si="37"/>
        <v>0</v>
      </c>
      <c r="V146" s="61">
        <f t="shared" ca="1" si="38"/>
        <v>22500</v>
      </c>
      <c r="W146" s="62">
        <f t="shared" ca="1" si="39"/>
        <v>165000</v>
      </c>
      <c r="X146" s="14"/>
    </row>
    <row r="147" spans="11:24" x14ac:dyDescent="0.3">
      <c r="K147" s="40">
        <v>143</v>
      </c>
      <c r="L147" s="39">
        <f t="shared" ca="1" si="29"/>
        <v>0.35427227027717911</v>
      </c>
      <c r="M147" s="39">
        <f t="shared" ca="1" si="30"/>
        <v>160</v>
      </c>
      <c r="N147" s="39">
        <f t="shared" ca="1" si="31"/>
        <v>0.61194075352424471</v>
      </c>
      <c r="O147" s="39">
        <f t="shared" ca="1" si="31"/>
        <v>0.16540382107947249</v>
      </c>
      <c r="P147" s="67">
        <f t="shared" ca="1" si="32"/>
        <v>0.27773445746037173</v>
      </c>
      <c r="Q147" s="56">
        <f t="shared" ca="1" si="33"/>
        <v>115.56248680634053</v>
      </c>
      <c r="R147" s="56">
        <f t="shared" ca="1" si="34"/>
        <v>116</v>
      </c>
      <c r="S147" s="56">
        <f t="shared" ca="1" si="35"/>
        <v>116</v>
      </c>
      <c r="T147" s="39">
        <f t="shared" ca="1" si="36"/>
        <v>638000</v>
      </c>
      <c r="U147" s="61">
        <f t="shared" ca="1" si="37"/>
        <v>18000</v>
      </c>
      <c r="V147" s="61">
        <f t="shared" ca="1" si="38"/>
        <v>0</v>
      </c>
      <c r="W147" s="62">
        <f t="shared" ca="1" si="39"/>
        <v>156000</v>
      </c>
      <c r="X147" s="14"/>
    </row>
    <row r="148" spans="11:24" x14ac:dyDescent="0.3">
      <c r="K148" s="40">
        <v>144</v>
      </c>
      <c r="L148" s="39">
        <f t="shared" ca="1" si="29"/>
        <v>6.5540170278479359E-2</v>
      </c>
      <c r="M148" s="39">
        <f t="shared" ca="1" si="30"/>
        <v>140</v>
      </c>
      <c r="N148" s="39">
        <f t="shared" ca="1" si="31"/>
        <v>0.8745655464500941</v>
      </c>
      <c r="O148" s="39">
        <f t="shared" ca="1" si="31"/>
        <v>0.92788048256454969</v>
      </c>
      <c r="P148" s="67">
        <f t="shared" ca="1" si="32"/>
        <v>0.38024460290146439</v>
      </c>
      <c r="Q148" s="56">
        <f t="shared" ca="1" si="33"/>
        <v>86.765755593794978</v>
      </c>
      <c r="R148" s="56">
        <f t="shared" ca="1" si="34"/>
        <v>87</v>
      </c>
      <c r="S148" s="56">
        <f t="shared" ca="1" si="35"/>
        <v>87</v>
      </c>
      <c r="T148" s="39">
        <f t="shared" ca="1" si="36"/>
        <v>478500</v>
      </c>
      <c r="U148" s="61">
        <f t="shared" ca="1" si="37"/>
        <v>76000</v>
      </c>
      <c r="V148" s="61">
        <f t="shared" ca="1" si="38"/>
        <v>0</v>
      </c>
      <c r="W148" s="62">
        <f t="shared" ca="1" si="39"/>
        <v>54500</v>
      </c>
      <c r="X148" s="14"/>
    </row>
    <row r="149" spans="11:24" x14ac:dyDescent="0.3">
      <c r="K149" s="40">
        <v>145</v>
      </c>
      <c r="L149" s="39">
        <f t="shared" ca="1" si="29"/>
        <v>0.49647010157755345</v>
      </c>
      <c r="M149" s="39">
        <f t="shared" ca="1" si="30"/>
        <v>160</v>
      </c>
      <c r="N149" s="39">
        <f t="shared" ca="1" si="31"/>
        <v>0.18735824527198541</v>
      </c>
      <c r="O149" s="39">
        <f t="shared" ca="1" si="31"/>
        <v>0.35138658997428551</v>
      </c>
      <c r="P149" s="67">
        <f t="shared" ca="1" si="32"/>
        <v>0.2538744835246271</v>
      </c>
      <c r="Q149" s="56">
        <f t="shared" ca="1" si="33"/>
        <v>119.38008263605965</v>
      </c>
      <c r="R149" s="56">
        <f t="shared" ca="1" si="34"/>
        <v>120</v>
      </c>
      <c r="S149" s="56">
        <f t="shared" ca="1" si="35"/>
        <v>120</v>
      </c>
      <c r="T149" s="39">
        <f t="shared" ca="1" si="36"/>
        <v>660000</v>
      </c>
      <c r="U149" s="61">
        <f t="shared" ca="1" si="37"/>
        <v>10000</v>
      </c>
      <c r="V149" s="61">
        <f t="shared" ca="1" si="38"/>
        <v>0</v>
      </c>
      <c r="W149" s="62">
        <f t="shared" ca="1" si="39"/>
        <v>170000</v>
      </c>
      <c r="X149" s="14"/>
    </row>
    <row r="150" spans="11:24" x14ac:dyDescent="0.3">
      <c r="K150" s="40">
        <v>146</v>
      </c>
      <c r="L150" s="39">
        <f t="shared" ca="1" si="29"/>
        <v>0.85950089038680033</v>
      </c>
      <c r="M150" s="39">
        <f t="shared" ca="1" si="30"/>
        <v>200</v>
      </c>
      <c r="N150" s="39">
        <f t="shared" ca="1" si="31"/>
        <v>0.95131635710446349</v>
      </c>
      <c r="O150" s="39">
        <f t="shared" ca="1" si="31"/>
        <v>0.60328176594962413</v>
      </c>
      <c r="P150" s="67">
        <f t="shared" ca="1" si="32"/>
        <v>0.3554598123054088</v>
      </c>
      <c r="Q150" s="56">
        <f t="shared" ca="1" si="33"/>
        <v>128.90803753891822</v>
      </c>
      <c r="R150" s="56">
        <f t="shared" ca="1" si="34"/>
        <v>129</v>
      </c>
      <c r="S150" s="56">
        <f t="shared" ca="1" si="35"/>
        <v>125</v>
      </c>
      <c r="T150" s="39">
        <f t="shared" ca="1" si="36"/>
        <v>687500</v>
      </c>
      <c r="U150" s="61">
        <f t="shared" ca="1" si="37"/>
        <v>0</v>
      </c>
      <c r="V150" s="61">
        <f t="shared" ca="1" si="38"/>
        <v>6000</v>
      </c>
      <c r="W150" s="62">
        <f t="shared" ca="1" si="39"/>
        <v>181500</v>
      </c>
      <c r="X150" s="14"/>
    </row>
    <row r="151" spans="11:24" x14ac:dyDescent="0.3">
      <c r="K151" s="40">
        <v>147</v>
      </c>
      <c r="L151" s="39">
        <f t="shared" ca="1" si="29"/>
        <v>5.7324010385228052E-2</v>
      </c>
      <c r="M151" s="39">
        <f t="shared" ca="1" si="30"/>
        <v>140</v>
      </c>
      <c r="N151" s="39">
        <f t="shared" ca="1" si="31"/>
        <v>0.82394080568299122</v>
      </c>
      <c r="O151" s="39">
        <f t="shared" ca="1" si="31"/>
        <v>0.17632549083994986</v>
      </c>
      <c r="P151" s="67">
        <f t="shared" ca="1" si="32"/>
        <v>0.30002662965229415</v>
      </c>
      <c r="Q151" s="56">
        <f t="shared" ca="1" si="33"/>
        <v>97.996271848678816</v>
      </c>
      <c r="R151" s="56">
        <f t="shared" ca="1" si="34"/>
        <v>98</v>
      </c>
      <c r="S151" s="56">
        <f t="shared" ca="1" si="35"/>
        <v>98</v>
      </c>
      <c r="T151" s="39">
        <f t="shared" ca="1" si="36"/>
        <v>539000</v>
      </c>
      <c r="U151" s="61">
        <f t="shared" ca="1" si="37"/>
        <v>54000</v>
      </c>
      <c r="V151" s="61">
        <f t="shared" ca="1" si="38"/>
        <v>0</v>
      </c>
      <c r="W151" s="62">
        <f t="shared" ca="1" si="39"/>
        <v>93000</v>
      </c>
      <c r="X151" s="14"/>
    </row>
    <row r="152" spans="11:24" x14ac:dyDescent="0.3">
      <c r="K152" s="40">
        <v>148</v>
      </c>
      <c r="L152" s="39">
        <f t="shared" ca="1" si="29"/>
        <v>0.67796496959959174</v>
      </c>
      <c r="M152" s="39">
        <f t="shared" ca="1" si="30"/>
        <v>200</v>
      </c>
      <c r="N152" s="39">
        <f t="shared" ca="1" si="31"/>
        <v>0.29796093287923042</v>
      </c>
      <c r="O152" s="39">
        <f t="shared" ca="1" si="31"/>
        <v>0.23398486417213893</v>
      </c>
      <c r="P152" s="67">
        <f t="shared" ca="1" si="32"/>
        <v>0.25319457970513692</v>
      </c>
      <c r="Q152" s="56">
        <f t="shared" ca="1" si="33"/>
        <v>149.36108405897261</v>
      </c>
      <c r="R152" s="56">
        <f t="shared" ca="1" si="34"/>
        <v>150</v>
      </c>
      <c r="S152" s="56">
        <f t="shared" ca="1" si="35"/>
        <v>125</v>
      </c>
      <c r="T152" s="39">
        <f t="shared" ca="1" si="36"/>
        <v>687500</v>
      </c>
      <c r="U152" s="61">
        <f t="shared" ca="1" si="37"/>
        <v>0</v>
      </c>
      <c r="V152" s="61">
        <f t="shared" ca="1" si="38"/>
        <v>37500</v>
      </c>
      <c r="W152" s="62">
        <f t="shared" ca="1" si="39"/>
        <v>150000</v>
      </c>
      <c r="X152" s="14"/>
    </row>
    <row r="153" spans="11:24" x14ac:dyDescent="0.3">
      <c r="K153" s="40">
        <v>149</v>
      </c>
      <c r="L153" s="39">
        <f t="shared" ca="1" si="29"/>
        <v>0.39133503194013075</v>
      </c>
      <c r="M153" s="39">
        <f t="shared" ca="1" si="30"/>
        <v>160</v>
      </c>
      <c r="N153" s="39">
        <f t="shared" ca="1" si="31"/>
        <v>0.91930815567591329</v>
      </c>
      <c r="O153" s="39">
        <f t="shared" ca="1" si="31"/>
        <v>0.77524326055327408</v>
      </c>
      <c r="P153" s="67">
        <f t="shared" ca="1" si="32"/>
        <v>0.36945514162291876</v>
      </c>
      <c r="Q153" s="56">
        <f t="shared" ca="1" si="33"/>
        <v>100.887177340333</v>
      </c>
      <c r="R153" s="56">
        <f t="shared" ca="1" si="34"/>
        <v>101</v>
      </c>
      <c r="S153" s="56">
        <f t="shared" ca="1" si="35"/>
        <v>101</v>
      </c>
      <c r="T153" s="39">
        <f t="shared" ca="1" si="36"/>
        <v>555500</v>
      </c>
      <c r="U153" s="61">
        <f t="shared" ca="1" si="37"/>
        <v>48000</v>
      </c>
      <c r="V153" s="61">
        <f t="shared" ca="1" si="38"/>
        <v>0</v>
      </c>
      <c r="W153" s="62">
        <f t="shared" ca="1" si="39"/>
        <v>103500</v>
      </c>
      <c r="X153" s="14"/>
    </row>
    <row r="154" spans="11:24" x14ac:dyDescent="0.3">
      <c r="K154" s="40">
        <v>150</v>
      </c>
      <c r="L154" s="39">
        <f t="shared" ca="1" si="29"/>
        <v>0.20111716322673201</v>
      </c>
      <c r="M154" s="39">
        <f t="shared" ca="1" si="30"/>
        <v>140</v>
      </c>
      <c r="N154" s="39">
        <f t="shared" ca="1" si="31"/>
        <v>0.90120305316765603</v>
      </c>
      <c r="O154" s="39">
        <f t="shared" ca="1" si="31"/>
        <v>0.56240531194502841</v>
      </c>
      <c r="P154" s="67">
        <f t="shared" ca="1" si="32"/>
        <v>0.34636083651126848</v>
      </c>
      <c r="Q154" s="56">
        <f t="shared" ca="1" si="33"/>
        <v>91.509482888422411</v>
      </c>
      <c r="R154" s="56">
        <f t="shared" ca="1" si="34"/>
        <v>92</v>
      </c>
      <c r="S154" s="56">
        <f t="shared" ca="1" si="35"/>
        <v>92</v>
      </c>
      <c r="T154" s="39">
        <f t="shared" ca="1" si="36"/>
        <v>506000</v>
      </c>
      <c r="U154" s="61">
        <f t="shared" ca="1" si="37"/>
        <v>66000</v>
      </c>
      <c r="V154" s="61">
        <f t="shared" ca="1" si="38"/>
        <v>0</v>
      </c>
      <c r="W154" s="62">
        <f t="shared" ca="1" si="39"/>
        <v>72000</v>
      </c>
      <c r="X154" s="14"/>
    </row>
    <row r="155" spans="11:24" x14ac:dyDescent="0.3">
      <c r="K155" s="40">
        <v>151</v>
      </c>
      <c r="L155" s="39">
        <f t="shared" ca="1" si="29"/>
        <v>0.39865145483276077</v>
      </c>
      <c r="M155" s="39">
        <f t="shared" ca="1" si="30"/>
        <v>160</v>
      </c>
      <c r="N155" s="39">
        <f t="shared" ca="1" si="31"/>
        <v>0.91419562813365285</v>
      </c>
      <c r="O155" s="39">
        <f t="shared" ca="1" si="31"/>
        <v>0.95135625371673271</v>
      </c>
      <c r="P155" s="67">
        <f t="shared" ca="1" si="32"/>
        <v>0.38655518818503859</v>
      </c>
      <c r="Q155" s="56">
        <f t="shared" ca="1" si="33"/>
        <v>98.151169890393817</v>
      </c>
      <c r="R155" s="56">
        <f t="shared" ca="1" si="34"/>
        <v>99</v>
      </c>
      <c r="S155" s="56">
        <f t="shared" ca="1" si="35"/>
        <v>99</v>
      </c>
      <c r="T155" s="39">
        <f t="shared" ca="1" si="36"/>
        <v>544500</v>
      </c>
      <c r="U155" s="61">
        <f t="shared" ca="1" si="37"/>
        <v>52000</v>
      </c>
      <c r="V155" s="61">
        <f t="shared" ca="1" si="38"/>
        <v>0</v>
      </c>
      <c r="W155" s="62">
        <f t="shared" ca="1" si="39"/>
        <v>96500</v>
      </c>
      <c r="X155" s="14"/>
    </row>
    <row r="156" spans="11:24" x14ac:dyDescent="0.3">
      <c r="K156" s="40">
        <v>152</v>
      </c>
      <c r="L156" s="39">
        <f t="shared" ca="1" si="29"/>
        <v>0.20293788992572404</v>
      </c>
      <c r="M156" s="39">
        <f t="shared" ca="1" si="30"/>
        <v>140</v>
      </c>
      <c r="N156" s="39">
        <f t="shared" ca="1" si="31"/>
        <v>2.9582247065595424E-2</v>
      </c>
      <c r="O156" s="39">
        <f t="shared" ca="1" si="31"/>
        <v>8.7943948415468154E-2</v>
      </c>
      <c r="P156" s="67">
        <f t="shared" ca="1" si="32"/>
        <v>0.21175261954810637</v>
      </c>
      <c r="Q156" s="56">
        <f t="shared" ca="1" si="33"/>
        <v>110.3546332632651</v>
      </c>
      <c r="R156" s="56">
        <f t="shared" ca="1" si="34"/>
        <v>111</v>
      </c>
      <c r="S156" s="56">
        <f t="shared" ca="1" si="35"/>
        <v>111</v>
      </c>
      <c r="T156" s="39">
        <f t="shared" ca="1" si="36"/>
        <v>610500</v>
      </c>
      <c r="U156" s="61">
        <f t="shared" ca="1" si="37"/>
        <v>28000</v>
      </c>
      <c r="V156" s="61">
        <f t="shared" ca="1" si="38"/>
        <v>0</v>
      </c>
      <c r="W156" s="62">
        <f t="shared" ca="1" si="39"/>
        <v>138500</v>
      </c>
      <c r="X156" s="14"/>
    </row>
    <row r="157" spans="11:24" x14ac:dyDescent="0.3">
      <c r="K157" s="40">
        <v>153</v>
      </c>
      <c r="L157" s="39">
        <f t="shared" ca="1" si="29"/>
        <v>3.208602720698317E-2</v>
      </c>
      <c r="M157" s="39">
        <f t="shared" ca="1" si="30"/>
        <v>140</v>
      </c>
      <c r="N157" s="39">
        <f t="shared" ca="1" si="31"/>
        <v>0.71280965451030842</v>
      </c>
      <c r="O157" s="39">
        <f t="shared" ca="1" si="31"/>
        <v>0.92055915930126242</v>
      </c>
      <c r="P157" s="67">
        <f t="shared" ca="1" si="32"/>
        <v>0.36333688138115711</v>
      </c>
      <c r="Q157" s="56">
        <f t="shared" ca="1" si="33"/>
        <v>89.132836606638008</v>
      </c>
      <c r="R157" s="56">
        <f t="shared" ca="1" si="34"/>
        <v>90</v>
      </c>
      <c r="S157" s="56">
        <f t="shared" ca="1" si="35"/>
        <v>90</v>
      </c>
      <c r="T157" s="39">
        <f t="shared" ca="1" si="36"/>
        <v>495000</v>
      </c>
      <c r="U157" s="61">
        <f t="shared" ca="1" si="37"/>
        <v>70000</v>
      </c>
      <c r="V157" s="61">
        <f t="shared" ca="1" si="38"/>
        <v>0</v>
      </c>
      <c r="W157" s="62">
        <f t="shared" ca="1" si="39"/>
        <v>65000</v>
      </c>
      <c r="X157" s="14"/>
    </row>
    <row r="158" spans="11:24" x14ac:dyDescent="0.3">
      <c r="K158" s="40">
        <v>154</v>
      </c>
      <c r="L158" s="39">
        <f t="shared" ca="1" si="29"/>
        <v>0.803684192756148</v>
      </c>
      <c r="M158" s="39">
        <f t="shared" ca="1" si="30"/>
        <v>200</v>
      </c>
      <c r="N158" s="39">
        <f t="shared" ca="1" si="31"/>
        <v>0.14528070823265715</v>
      </c>
      <c r="O158" s="39">
        <f t="shared" ca="1" si="31"/>
        <v>0.87259097061469559</v>
      </c>
      <c r="P158" s="67">
        <f t="shared" ca="1" si="32"/>
        <v>0.30178716788473531</v>
      </c>
      <c r="Q158" s="56">
        <f t="shared" ca="1" si="33"/>
        <v>139.64256642305293</v>
      </c>
      <c r="R158" s="56">
        <f t="shared" ca="1" si="34"/>
        <v>140</v>
      </c>
      <c r="S158" s="56">
        <f t="shared" ca="1" si="35"/>
        <v>125</v>
      </c>
      <c r="T158" s="39">
        <f t="shared" ca="1" si="36"/>
        <v>687500</v>
      </c>
      <c r="U158" s="61">
        <f t="shared" ca="1" si="37"/>
        <v>0</v>
      </c>
      <c r="V158" s="61">
        <f t="shared" ca="1" si="38"/>
        <v>22500</v>
      </c>
      <c r="W158" s="62">
        <f t="shared" ca="1" si="39"/>
        <v>165000</v>
      </c>
      <c r="X158" s="14"/>
    </row>
    <row r="159" spans="11:24" x14ac:dyDescent="0.3">
      <c r="K159" s="40">
        <v>155</v>
      </c>
      <c r="L159" s="39">
        <f t="shared" ca="1" si="29"/>
        <v>8.3560873498157218E-2</v>
      </c>
      <c r="M159" s="39">
        <f t="shared" ca="1" si="30"/>
        <v>140</v>
      </c>
      <c r="N159" s="39">
        <f t="shared" ca="1" si="31"/>
        <v>0.49355203063584108</v>
      </c>
      <c r="O159" s="39">
        <f t="shared" ca="1" si="31"/>
        <v>0.98433871962627761</v>
      </c>
      <c r="P159" s="67">
        <f t="shared" ca="1" si="32"/>
        <v>0.34778907502621187</v>
      </c>
      <c r="Q159" s="56">
        <f t="shared" ca="1" si="33"/>
        <v>91.309529496330342</v>
      </c>
      <c r="R159" s="56">
        <f t="shared" ca="1" si="34"/>
        <v>92</v>
      </c>
      <c r="S159" s="56">
        <f t="shared" ca="1" si="35"/>
        <v>92</v>
      </c>
      <c r="T159" s="39">
        <f t="shared" ca="1" si="36"/>
        <v>506000</v>
      </c>
      <c r="U159" s="61">
        <f t="shared" ca="1" si="37"/>
        <v>66000</v>
      </c>
      <c r="V159" s="61">
        <f t="shared" ca="1" si="38"/>
        <v>0</v>
      </c>
      <c r="W159" s="62">
        <f t="shared" ca="1" si="39"/>
        <v>72000</v>
      </c>
      <c r="X159" s="14"/>
    </row>
    <row r="160" spans="11:24" x14ac:dyDescent="0.3">
      <c r="K160" s="40">
        <v>156</v>
      </c>
      <c r="L160" s="39">
        <f t="shared" ca="1" si="29"/>
        <v>0.86407488525319709</v>
      </c>
      <c r="M160" s="39">
        <f t="shared" ca="1" si="30"/>
        <v>200</v>
      </c>
      <c r="N160" s="39">
        <f t="shared" ca="1" si="31"/>
        <v>0.16193460040879648</v>
      </c>
      <c r="O160" s="39">
        <f t="shared" ca="1" si="31"/>
        <v>3.9940352319980388E-2</v>
      </c>
      <c r="P160" s="67">
        <f t="shared" ca="1" si="32"/>
        <v>0.2201874952728777</v>
      </c>
      <c r="Q160" s="56">
        <f t="shared" ca="1" si="33"/>
        <v>155.96250094542447</v>
      </c>
      <c r="R160" s="56">
        <f t="shared" ca="1" si="34"/>
        <v>156</v>
      </c>
      <c r="S160" s="56">
        <f t="shared" ca="1" si="35"/>
        <v>125</v>
      </c>
      <c r="T160" s="39">
        <f t="shared" ca="1" si="36"/>
        <v>687500</v>
      </c>
      <c r="U160" s="61">
        <f t="shared" ca="1" si="37"/>
        <v>0</v>
      </c>
      <c r="V160" s="61">
        <f t="shared" ca="1" si="38"/>
        <v>46500</v>
      </c>
      <c r="W160" s="62">
        <f t="shared" ca="1" si="39"/>
        <v>141000</v>
      </c>
      <c r="X160" s="14"/>
    </row>
    <row r="161" spans="11:24" x14ac:dyDescent="0.3">
      <c r="K161" s="40">
        <v>157</v>
      </c>
      <c r="L161" s="39">
        <f t="shared" ca="1" si="29"/>
        <v>0.73707491975530215</v>
      </c>
      <c r="M161" s="39">
        <f t="shared" ca="1" si="30"/>
        <v>200</v>
      </c>
      <c r="N161" s="39">
        <f t="shared" ca="1" si="31"/>
        <v>0.30866662368426234</v>
      </c>
      <c r="O161" s="39">
        <f t="shared" ca="1" si="31"/>
        <v>0.84188874262084179</v>
      </c>
      <c r="P161" s="67">
        <f t="shared" ca="1" si="32"/>
        <v>0.31505553663051045</v>
      </c>
      <c r="Q161" s="56">
        <f t="shared" ca="1" si="33"/>
        <v>136.98889267389791</v>
      </c>
      <c r="R161" s="56">
        <f t="shared" ca="1" si="34"/>
        <v>137</v>
      </c>
      <c r="S161" s="56">
        <f t="shared" ca="1" si="35"/>
        <v>125</v>
      </c>
      <c r="T161" s="39">
        <f t="shared" ca="1" si="36"/>
        <v>687500</v>
      </c>
      <c r="U161" s="61">
        <f t="shared" ca="1" si="37"/>
        <v>0</v>
      </c>
      <c r="V161" s="61">
        <f t="shared" ca="1" si="38"/>
        <v>18000</v>
      </c>
      <c r="W161" s="62">
        <f t="shared" ca="1" si="39"/>
        <v>169500</v>
      </c>
      <c r="X161" s="14"/>
    </row>
    <row r="162" spans="11:24" x14ac:dyDescent="0.3">
      <c r="K162" s="40">
        <v>158</v>
      </c>
      <c r="L162" s="39">
        <f t="shared" ca="1" si="29"/>
        <v>0.95442914521060507</v>
      </c>
      <c r="M162" s="39">
        <f t="shared" ca="1" si="30"/>
        <v>220</v>
      </c>
      <c r="N162" s="39">
        <f t="shared" ca="1" si="31"/>
        <v>0.83749373351970469</v>
      </c>
      <c r="O162" s="39">
        <f t="shared" ca="1" si="31"/>
        <v>0.32745741202112011</v>
      </c>
      <c r="P162" s="67">
        <f t="shared" ca="1" si="32"/>
        <v>0.31649511455408252</v>
      </c>
      <c r="Q162" s="56">
        <f t="shared" ca="1" si="33"/>
        <v>150.37107479810186</v>
      </c>
      <c r="R162" s="56">
        <f t="shared" ca="1" si="34"/>
        <v>151</v>
      </c>
      <c r="S162" s="56">
        <f t="shared" ca="1" si="35"/>
        <v>125</v>
      </c>
      <c r="T162" s="39">
        <f t="shared" ca="1" si="36"/>
        <v>687500</v>
      </c>
      <c r="U162" s="61">
        <f t="shared" ca="1" si="37"/>
        <v>0</v>
      </c>
      <c r="V162" s="61">
        <f t="shared" ca="1" si="38"/>
        <v>39000</v>
      </c>
      <c r="W162" s="62">
        <f t="shared" ca="1" si="39"/>
        <v>148500</v>
      </c>
      <c r="X162" s="14"/>
    </row>
    <row r="163" spans="11:24" x14ac:dyDescent="0.3">
      <c r="K163" s="40">
        <v>159</v>
      </c>
      <c r="L163" s="39">
        <f t="shared" ca="1" si="29"/>
        <v>0.6160520029487303</v>
      </c>
      <c r="M163" s="39">
        <f t="shared" ca="1" si="30"/>
        <v>180</v>
      </c>
      <c r="N163" s="39">
        <f t="shared" ca="1" si="31"/>
        <v>0.39230731266157548</v>
      </c>
      <c r="O163" s="39">
        <f t="shared" ca="1" si="31"/>
        <v>0.6499541939649045</v>
      </c>
      <c r="P163" s="67">
        <f t="shared" ca="1" si="32"/>
        <v>0.30422615066264802</v>
      </c>
      <c r="Q163" s="56">
        <f t="shared" ca="1" si="33"/>
        <v>125.23929288072335</v>
      </c>
      <c r="R163" s="56">
        <f t="shared" ca="1" si="34"/>
        <v>126</v>
      </c>
      <c r="S163" s="56">
        <f t="shared" ca="1" si="35"/>
        <v>125</v>
      </c>
      <c r="T163" s="39">
        <f t="shared" ca="1" si="36"/>
        <v>687500</v>
      </c>
      <c r="U163" s="61">
        <f t="shared" ca="1" si="37"/>
        <v>0</v>
      </c>
      <c r="V163" s="61">
        <f t="shared" ca="1" si="38"/>
        <v>1500</v>
      </c>
      <c r="W163" s="62">
        <f t="shared" ca="1" si="39"/>
        <v>186000</v>
      </c>
      <c r="X163" s="14"/>
    </row>
    <row r="164" spans="11:24" x14ac:dyDescent="0.3">
      <c r="K164" s="40">
        <v>160</v>
      </c>
      <c r="L164" s="39">
        <f t="shared" ca="1" si="29"/>
        <v>0.78265593058857408</v>
      </c>
      <c r="M164" s="39">
        <f t="shared" ca="1" si="30"/>
        <v>200</v>
      </c>
      <c r="N164" s="39">
        <f t="shared" ca="1" si="31"/>
        <v>0.891156354835276</v>
      </c>
      <c r="O164" s="39">
        <f t="shared" ca="1" si="31"/>
        <v>0.47232007533034304</v>
      </c>
      <c r="P164" s="67">
        <f t="shared" ca="1" si="32"/>
        <v>0.33634764301656195</v>
      </c>
      <c r="Q164" s="56">
        <f t="shared" ca="1" si="33"/>
        <v>132.73047139668762</v>
      </c>
      <c r="R164" s="56">
        <f t="shared" ca="1" si="34"/>
        <v>133</v>
      </c>
      <c r="S164" s="56">
        <f t="shared" ca="1" si="35"/>
        <v>125</v>
      </c>
      <c r="T164" s="39">
        <f t="shared" ca="1" si="36"/>
        <v>687500</v>
      </c>
      <c r="U164" s="61">
        <f t="shared" ca="1" si="37"/>
        <v>0</v>
      </c>
      <c r="V164" s="61">
        <f t="shared" ca="1" si="38"/>
        <v>12000</v>
      </c>
      <c r="W164" s="62">
        <f t="shared" ca="1" si="39"/>
        <v>175500</v>
      </c>
      <c r="X164" s="14"/>
    </row>
    <row r="165" spans="11:24" x14ac:dyDescent="0.3">
      <c r="K165" s="40">
        <v>161</v>
      </c>
      <c r="L165" s="39">
        <f t="shared" ca="1" si="29"/>
        <v>0.62975975964911945</v>
      </c>
      <c r="M165" s="39">
        <f t="shared" ca="1" si="30"/>
        <v>180</v>
      </c>
      <c r="N165" s="39">
        <f t="shared" ca="1" si="31"/>
        <v>0.67088265179486883</v>
      </c>
      <c r="O165" s="39">
        <f t="shared" ca="1" si="31"/>
        <v>0.67588250562278984</v>
      </c>
      <c r="P165" s="67">
        <f t="shared" ca="1" si="32"/>
        <v>0.33467651574176588</v>
      </c>
      <c r="Q165" s="56">
        <f t="shared" ca="1" si="33"/>
        <v>119.75822716648214</v>
      </c>
      <c r="R165" s="56">
        <f t="shared" ca="1" si="34"/>
        <v>120</v>
      </c>
      <c r="S165" s="56">
        <f t="shared" ca="1" si="35"/>
        <v>120</v>
      </c>
      <c r="T165" s="39">
        <f t="shared" ca="1" si="36"/>
        <v>660000</v>
      </c>
      <c r="U165" s="61">
        <f t="shared" ca="1" si="37"/>
        <v>10000</v>
      </c>
      <c r="V165" s="61">
        <f t="shared" ca="1" si="38"/>
        <v>0</v>
      </c>
      <c r="W165" s="62">
        <f t="shared" ca="1" si="39"/>
        <v>170000</v>
      </c>
      <c r="X165" s="14"/>
    </row>
    <row r="166" spans="11:24" x14ac:dyDescent="0.3">
      <c r="K166" s="40">
        <v>162</v>
      </c>
      <c r="L166" s="39">
        <f t="shared" ca="1" si="29"/>
        <v>0.58247793530222769</v>
      </c>
      <c r="M166" s="39">
        <f t="shared" ca="1" si="30"/>
        <v>180</v>
      </c>
      <c r="N166" s="39">
        <f t="shared" ca="1" si="31"/>
        <v>0.12610796383764666</v>
      </c>
      <c r="O166" s="39">
        <f t="shared" ca="1" si="31"/>
        <v>0.78139901895840835</v>
      </c>
      <c r="P166" s="67">
        <f t="shared" ca="1" si="32"/>
        <v>0.29075069827960554</v>
      </c>
      <c r="Q166" s="56">
        <f t="shared" ca="1" si="33"/>
        <v>127.66487430967101</v>
      </c>
      <c r="R166" s="56">
        <f t="shared" ca="1" si="34"/>
        <v>128</v>
      </c>
      <c r="S166" s="56">
        <f t="shared" ca="1" si="35"/>
        <v>125</v>
      </c>
      <c r="T166" s="39">
        <f t="shared" ca="1" si="36"/>
        <v>687500</v>
      </c>
      <c r="U166" s="61">
        <f t="shared" ca="1" si="37"/>
        <v>0</v>
      </c>
      <c r="V166" s="61">
        <f t="shared" ca="1" si="38"/>
        <v>4500</v>
      </c>
      <c r="W166" s="62">
        <f t="shared" ca="1" si="39"/>
        <v>183000</v>
      </c>
      <c r="X166" s="14"/>
    </row>
    <row r="167" spans="11:24" x14ac:dyDescent="0.3">
      <c r="K167" s="40">
        <v>163</v>
      </c>
      <c r="L167" s="39">
        <f t="shared" ca="1" si="29"/>
        <v>0.14454934305628608</v>
      </c>
      <c r="M167" s="39">
        <f t="shared" ca="1" si="30"/>
        <v>140</v>
      </c>
      <c r="N167" s="39">
        <f t="shared" ca="1" si="31"/>
        <v>0.48914870565968271</v>
      </c>
      <c r="O167" s="39">
        <f t="shared" ca="1" si="31"/>
        <v>0.33243042949933699</v>
      </c>
      <c r="P167" s="67">
        <f t="shared" ca="1" si="32"/>
        <v>0.28215791351590197</v>
      </c>
      <c r="Q167" s="56">
        <f t="shared" ca="1" si="33"/>
        <v>100.49789210777372</v>
      </c>
      <c r="R167" s="56">
        <f t="shared" ca="1" si="34"/>
        <v>101</v>
      </c>
      <c r="S167" s="56">
        <f t="shared" ca="1" si="35"/>
        <v>101</v>
      </c>
      <c r="T167" s="39">
        <f t="shared" ca="1" si="36"/>
        <v>555500</v>
      </c>
      <c r="U167" s="61">
        <f t="shared" ca="1" si="37"/>
        <v>48000</v>
      </c>
      <c r="V167" s="61">
        <f t="shared" ca="1" si="38"/>
        <v>0</v>
      </c>
      <c r="W167" s="62">
        <f t="shared" ca="1" si="39"/>
        <v>103500</v>
      </c>
      <c r="X167" s="14"/>
    </row>
    <row r="168" spans="11:24" x14ac:dyDescent="0.3">
      <c r="K168" s="40">
        <v>164</v>
      </c>
      <c r="L168" s="39">
        <f t="shared" ca="1" si="29"/>
        <v>0.34703641391333617</v>
      </c>
      <c r="M168" s="39">
        <f t="shared" ca="1" si="30"/>
        <v>160</v>
      </c>
      <c r="N168" s="39">
        <f t="shared" ca="1" si="31"/>
        <v>0.33674458157226572</v>
      </c>
      <c r="O168" s="39">
        <f t="shared" ca="1" si="31"/>
        <v>0.56660896194121479</v>
      </c>
      <c r="P168" s="67">
        <f t="shared" ca="1" si="32"/>
        <v>0.29033535435134805</v>
      </c>
      <c r="Q168" s="56">
        <f t="shared" ca="1" si="33"/>
        <v>113.54634330378431</v>
      </c>
      <c r="R168" s="56">
        <f t="shared" ca="1" si="34"/>
        <v>114</v>
      </c>
      <c r="S168" s="56">
        <f t="shared" ca="1" si="35"/>
        <v>114</v>
      </c>
      <c r="T168" s="39">
        <f t="shared" ca="1" si="36"/>
        <v>627000</v>
      </c>
      <c r="U168" s="61">
        <f t="shared" ca="1" si="37"/>
        <v>22000</v>
      </c>
      <c r="V168" s="61">
        <f t="shared" ca="1" si="38"/>
        <v>0</v>
      </c>
      <c r="W168" s="62">
        <f t="shared" ca="1" si="39"/>
        <v>149000</v>
      </c>
      <c r="X168" s="14"/>
    </row>
    <row r="169" spans="11:24" x14ac:dyDescent="0.3">
      <c r="K169" s="40">
        <v>165</v>
      </c>
      <c r="L169" s="39">
        <f t="shared" ca="1" si="29"/>
        <v>0.39938299937903454</v>
      </c>
      <c r="M169" s="39">
        <f t="shared" ca="1" si="30"/>
        <v>160</v>
      </c>
      <c r="N169" s="39">
        <f t="shared" ca="1" si="31"/>
        <v>0.86872540035589618</v>
      </c>
      <c r="O169" s="39">
        <f t="shared" ca="1" si="31"/>
        <v>0.26763902460350442</v>
      </c>
      <c r="P169" s="67">
        <f t="shared" ca="1" si="32"/>
        <v>0.31363644249594008</v>
      </c>
      <c r="Q169" s="56">
        <f t="shared" ca="1" si="33"/>
        <v>109.81816920064958</v>
      </c>
      <c r="R169" s="56">
        <f t="shared" ca="1" si="34"/>
        <v>110</v>
      </c>
      <c r="S169" s="56">
        <f t="shared" ca="1" si="35"/>
        <v>110</v>
      </c>
      <c r="T169" s="39">
        <f t="shared" ca="1" si="36"/>
        <v>605000</v>
      </c>
      <c r="U169" s="61">
        <f t="shared" ca="1" si="37"/>
        <v>30000</v>
      </c>
      <c r="V169" s="61">
        <f t="shared" ca="1" si="38"/>
        <v>0</v>
      </c>
      <c r="W169" s="62">
        <f t="shared" ca="1" si="39"/>
        <v>135000</v>
      </c>
      <c r="X169" s="14"/>
    </row>
    <row r="170" spans="11:24" x14ac:dyDescent="0.3">
      <c r="K170" s="40">
        <v>166</v>
      </c>
      <c r="L170" s="39">
        <f t="shared" ca="1" si="29"/>
        <v>0.51961706650323025</v>
      </c>
      <c r="M170" s="39">
        <f t="shared" ca="1" si="30"/>
        <v>180</v>
      </c>
      <c r="N170" s="39">
        <f t="shared" ca="1" si="31"/>
        <v>0.7120015061535464</v>
      </c>
      <c r="O170" s="39">
        <f t="shared" ca="1" si="31"/>
        <v>0.33477141703125846</v>
      </c>
      <c r="P170" s="67">
        <f t="shared" ca="1" si="32"/>
        <v>0.30467729231848051</v>
      </c>
      <c r="Q170" s="56">
        <f t="shared" ca="1" si="33"/>
        <v>125.1580873826735</v>
      </c>
      <c r="R170" s="56">
        <f t="shared" ca="1" si="34"/>
        <v>126</v>
      </c>
      <c r="S170" s="56">
        <f t="shared" ca="1" si="35"/>
        <v>125</v>
      </c>
      <c r="T170" s="39">
        <f t="shared" ca="1" si="36"/>
        <v>687500</v>
      </c>
      <c r="U170" s="61">
        <f t="shared" ca="1" si="37"/>
        <v>0</v>
      </c>
      <c r="V170" s="61">
        <f t="shared" ca="1" si="38"/>
        <v>1500</v>
      </c>
      <c r="W170" s="62">
        <f t="shared" ca="1" si="39"/>
        <v>186000</v>
      </c>
      <c r="X170" s="14"/>
    </row>
    <row r="171" spans="11:24" x14ac:dyDescent="0.3">
      <c r="K171" s="40">
        <v>167</v>
      </c>
      <c r="L171" s="39">
        <f t="shared" ca="1" si="29"/>
        <v>0.83225855439241037</v>
      </c>
      <c r="M171" s="39">
        <f t="shared" ca="1" si="30"/>
        <v>200</v>
      </c>
      <c r="N171" s="39">
        <f t="shared" ca="1" si="31"/>
        <v>1.7393320757232877E-2</v>
      </c>
      <c r="O171" s="39">
        <f t="shared" ca="1" si="31"/>
        <v>0.3936248817180229</v>
      </c>
      <c r="P171" s="67">
        <f t="shared" ca="1" si="32"/>
        <v>0.24110182024752558</v>
      </c>
      <c r="Q171" s="56">
        <f t="shared" ca="1" si="33"/>
        <v>151.77963595049488</v>
      </c>
      <c r="R171" s="56">
        <f t="shared" ca="1" si="34"/>
        <v>152</v>
      </c>
      <c r="S171" s="56">
        <f t="shared" ca="1" si="35"/>
        <v>125</v>
      </c>
      <c r="T171" s="39">
        <f t="shared" ca="1" si="36"/>
        <v>687500</v>
      </c>
      <c r="U171" s="61">
        <f t="shared" ca="1" si="37"/>
        <v>0</v>
      </c>
      <c r="V171" s="61">
        <f t="shared" ca="1" si="38"/>
        <v>40500</v>
      </c>
      <c r="W171" s="62">
        <f t="shared" ca="1" si="39"/>
        <v>147000</v>
      </c>
      <c r="X171" s="14"/>
    </row>
    <row r="172" spans="11:24" x14ac:dyDescent="0.3">
      <c r="K172" s="40">
        <v>168</v>
      </c>
      <c r="L172" s="39">
        <f t="shared" ca="1" si="29"/>
        <v>0.50088005709927319</v>
      </c>
      <c r="M172" s="39">
        <f t="shared" ca="1" si="30"/>
        <v>180</v>
      </c>
      <c r="N172" s="39">
        <f t="shared" ca="1" si="31"/>
        <v>0.71769064382201253</v>
      </c>
      <c r="O172" s="39">
        <f t="shared" ca="1" si="31"/>
        <v>0.69756608457379199</v>
      </c>
      <c r="P172" s="67">
        <f t="shared" ca="1" si="32"/>
        <v>0.34152567283958046</v>
      </c>
      <c r="Q172" s="56">
        <f t="shared" ca="1" si="33"/>
        <v>118.52537888887551</v>
      </c>
      <c r="R172" s="56">
        <f t="shared" ca="1" si="34"/>
        <v>119</v>
      </c>
      <c r="S172" s="56">
        <f t="shared" ca="1" si="35"/>
        <v>119</v>
      </c>
      <c r="T172" s="39">
        <f t="shared" ca="1" si="36"/>
        <v>654500</v>
      </c>
      <c r="U172" s="61">
        <f t="shared" ca="1" si="37"/>
        <v>12000</v>
      </c>
      <c r="V172" s="61">
        <f t="shared" ca="1" si="38"/>
        <v>0</v>
      </c>
      <c r="W172" s="62">
        <f t="shared" ca="1" si="39"/>
        <v>166500</v>
      </c>
      <c r="X172" s="14"/>
    </row>
    <row r="173" spans="11:24" x14ac:dyDescent="0.3">
      <c r="K173" s="40">
        <v>169</v>
      </c>
      <c r="L173" s="39">
        <f t="shared" ca="1" si="29"/>
        <v>0.57920818706885047</v>
      </c>
      <c r="M173" s="39">
        <f t="shared" ca="1" si="30"/>
        <v>180</v>
      </c>
      <c r="N173" s="39">
        <f t="shared" ca="1" si="31"/>
        <v>0.51675796857243095</v>
      </c>
      <c r="O173" s="39">
        <f t="shared" ca="1" si="31"/>
        <v>0.30316306133618731</v>
      </c>
      <c r="P173" s="67">
        <f t="shared" ca="1" si="32"/>
        <v>0.28199210299086186</v>
      </c>
      <c r="Q173" s="56">
        <f t="shared" ca="1" si="33"/>
        <v>129.24142146164485</v>
      </c>
      <c r="R173" s="56">
        <f t="shared" ca="1" si="34"/>
        <v>130</v>
      </c>
      <c r="S173" s="56">
        <f t="shared" ca="1" si="35"/>
        <v>125</v>
      </c>
      <c r="T173" s="39">
        <f t="shared" ca="1" si="36"/>
        <v>687500</v>
      </c>
      <c r="U173" s="61">
        <f t="shared" ca="1" si="37"/>
        <v>0</v>
      </c>
      <c r="V173" s="61">
        <f t="shared" ca="1" si="38"/>
        <v>7500</v>
      </c>
      <c r="W173" s="62">
        <f t="shared" ca="1" si="39"/>
        <v>180000</v>
      </c>
      <c r="X173" s="14"/>
    </row>
    <row r="174" spans="11:24" x14ac:dyDescent="0.3">
      <c r="K174" s="40">
        <v>170</v>
      </c>
      <c r="L174" s="39">
        <f t="shared" ca="1" si="29"/>
        <v>0.15097066017566896</v>
      </c>
      <c r="M174" s="39">
        <f t="shared" ca="1" si="30"/>
        <v>140</v>
      </c>
      <c r="N174" s="39">
        <f t="shared" ca="1" si="31"/>
        <v>0.63828546473961656</v>
      </c>
      <c r="O174" s="39">
        <f t="shared" ca="1" si="31"/>
        <v>0.20325684407151767</v>
      </c>
      <c r="P174" s="67">
        <f t="shared" ca="1" si="32"/>
        <v>0.28415423088111347</v>
      </c>
      <c r="Q174" s="56">
        <f t="shared" ca="1" si="33"/>
        <v>100.21840767664412</v>
      </c>
      <c r="R174" s="56">
        <f t="shared" ca="1" si="34"/>
        <v>101</v>
      </c>
      <c r="S174" s="56">
        <f t="shared" ca="1" si="35"/>
        <v>101</v>
      </c>
      <c r="T174" s="39">
        <f t="shared" ca="1" si="36"/>
        <v>555500</v>
      </c>
      <c r="U174" s="61">
        <f t="shared" ca="1" si="37"/>
        <v>48000</v>
      </c>
      <c r="V174" s="61">
        <f t="shared" ca="1" si="38"/>
        <v>0</v>
      </c>
      <c r="W174" s="62">
        <f t="shared" ca="1" si="39"/>
        <v>103500</v>
      </c>
      <c r="X174" s="14"/>
    </row>
    <row r="175" spans="11:24" x14ac:dyDescent="0.3">
      <c r="K175" s="40">
        <v>171</v>
      </c>
      <c r="L175" s="39">
        <f t="shared" ca="1" si="29"/>
        <v>0.51388153295530048</v>
      </c>
      <c r="M175" s="39">
        <f t="shared" ca="1" si="30"/>
        <v>180</v>
      </c>
      <c r="N175" s="39">
        <f t="shared" ca="1" si="31"/>
        <v>0.20735346138139432</v>
      </c>
      <c r="O175" s="39">
        <f t="shared" ca="1" si="31"/>
        <v>0.87512058140966387</v>
      </c>
      <c r="P175" s="67">
        <f t="shared" ca="1" si="32"/>
        <v>0.30824740427910585</v>
      </c>
      <c r="Q175" s="56">
        <f t="shared" ca="1" si="33"/>
        <v>124.51546722976094</v>
      </c>
      <c r="R175" s="56">
        <f t="shared" ca="1" si="34"/>
        <v>125</v>
      </c>
      <c r="S175" s="56">
        <f t="shared" ca="1" si="35"/>
        <v>125</v>
      </c>
      <c r="T175" s="39">
        <f t="shared" ca="1" si="36"/>
        <v>687500</v>
      </c>
      <c r="U175" s="61">
        <f t="shared" ca="1" si="37"/>
        <v>0</v>
      </c>
      <c r="V175" s="61">
        <f t="shared" ca="1" si="38"/>
        <v>0</v>
      </c>
      <c r="W175" s="62">
        <f t="shared" ca="1" si="39"/>
        <v>187500</v>
      </c>
      <c r="X175" s="14"/>
    </row>
    <row r="176" spans="11:24" x14ac:dyDescent="0.3">
      <c r="K176" s="40">
        <v>172</v>
      </c>
      <c r="L176" s="39">
        <f t="shared" ca="1" si="29"/>
        <v>9.0141496197455928E-2</v>
      </c>
      <c r="M176" s="39">
        <f t="shared" ca="1" si="30"/>
        <v>140</v>
      </c>
      <c r="N176" s="39">
        <f t="shared" ca="1" si="31"/>
        <v>0.73530437869895227</v>
      </c>
      <c r="O176" s="39">
        <f t="shared" ca="1" si="31"/>
        <v>0.97772385549117191</v>
      </c>
      <c r="P176" s="67">
        <f t="shared" ca="1" si="32"/>
        <v>0.37130282341901244</v>
      </c>
      <c r="Q176" s="56">
        <f t="shared" ca="1" si="33"/>
        <v>88.017604721338259</v>
      </c>
      <c r="R176" s="56">
        <f t="shared" ca="1" si="34"/>
        <v>89</v>
      </c>
      <c r="S176" s="56">
        <f t="shared" ca="1" si="35"/>
        <v>89</v>
      </c>
      <c r="T176" s="39">
        <f t="shared" ca="1" si="36"/>
        <v>489500</v>
      </c>
      <c r="U176" s="61">
        <f t="shared" ca="1" si="37"/>
        <v>72000</v>
      </c>
      <c r="V176" s="61">
        <f t="shared" ca="1" si="38"/>
        <v>0</v>
      </c>
      <c r="W176" s="62">
        <f t="shared" ca="1" si="39"/>
        <v>61500</v>
      </c>
      <c r="X176" s="14"/>
    </row>
    <row r="177" spans="11:24" x14ac:dyDescent="0.3">
      <c r="K177" s="40">
        <v>173</v>
      </c>
      <c r="L177" s="39">
        <f t="shared" ca="1" si="29"/>
        <v>0.24401479171953833</v>
      </c>
      <c r="M177" s="39">
        <f t="shared" ca="1" si="30"/>
        <v>140</v>
      </c>
      <c r="N177" s="39">
        <f t="shared" ca="1" si="31"/>
        <v>0.68638205323556278</v>
      </c>
      <c r="O177" s="39">
        <f t="shared" ca="1" si="31"/>
        <v>0.93313751911722032</v>
      </c>
      <c r="P177" s="67">
        <f t="shared" ca="1" si="32"/>
        <v>0.36195195723527834</v>
      </c>
      <c r="Q177" s="56">
        <f t="shared" ca="1" si="33"/>
        <v>89.326725987061025</v>
      </c>
      <c r="R177" s="56">
        <f t="shared" ca="1" si="34"/>
        <v>90</v>
      </c>
      <c r="S177" s="56">
        <f t="shared" ca="1" si="35"/>
        <v>90</v>
      </c>
      <c r="T177" s="39">
        <f t="shared" ca="1" si="36"/>
        <v>495000</v>
      </c>
      <c r="U177" s="61">
        <f t="shared" ca="1" si="37"/>
        <v>70000</v>
      </c>
      <c r="V177" s="61">
        <f t="shared" ca="1" si="38"/>
        <v>0</v>
      </c>
      <c r="W177" s="62">
        <f t="shared" ca="1" si="39"/>
        <v>65000</v>
      </c>
      <c r="X177" s="14"/>
    </row>
    <row r="178" spans="11:24" x14ac:dyDescent="0.3">
      <c r="K178" s="40">
        <v>174</v>
      </c>
      <c r="L178" s="39">
        <f t="shared" ca="1" si="29"/>
        <v>0.97802783448315722</v>
      </c>
      <c r="M178" s="39">
        <f t="shared" ca="1" si="30"/>
        <v>220</v>
      </c>
      <c r="N178" s="39">
        <f t="shared" ca="1" si="31"/>
        <v>0.78368838287865761</v>
      </c>
      <c r="O178" s="39">
        <f t="shared" ca="1" si="31"/>
        <v>0.57155210013605229</v>
      </c>
      <c r="P178" s="67">
        <f t="shared" ca="1" si="32"/>
        <v>0.33552404830147098</v>
      </c>
      <c r="Q178" s="56">
        <f t="shared" ca="1" si="33"/>
        <v>146.18470937367638</v>
      </c>
      <c r="R178" s="56">
        <f t="shared" ca="1" si="34"/>
        <v>147</v>
      </c>
      <c r="S178" s="56">
        <f t="shared" ca="1" si="35"/>
        <v>125</v>
      </c>
      <c r="T178" s="39">
        <f t="shared" ca="1" si="36"/>
        <v>687500</v>
      </c>
      <c r="U178" s="61">
        <f t="shared" ca="1" si="37"/>
        <v>0</v>
      </c>
      <c r="V178" s="61">
        <f t="shared" ca="1" si="38"/>
        <v>33000</v>
      </c>
      <c r="W178" s="62">
        <f t="shared" ca="1" si="39"/>
        <v>154500</v>
      </c>
      <c r="X178" s="14"/>
    </row>
    <row r="179" spans="11:24" x14ac:dyDescent="0.3">
      <c r="K179" s="40">
        <v>175</v>
      </c>
      <c r="L179" s="39">
        <f t="shared" ca="1" si="29"/>
        <v>0.60965374341453604</v>
      </c>
      <c r="M179" s="39">
        <f t="shared" ca="1" si="30"/>
        <v>180</v>
      </c>
      <c r="N179" s="39">
        <f t="shared" ca="1" si="31"/>
        <v>0.78016363683145307</v>
      </c>
      <c r="O179" s="39">
        <f t="shared" ca="1" si="31"/>
        <v>0.43363098203929529</v>
      </c>
      <c r="P179" s="67">
        <f t="shared" ca="1" si="32"/>
        <v>0.32137946188707489</v>
      </c>
      <c r="Q179" s="56">
        <f t="shared" ca="1" si="33"/>
        <v>122.15169686032652</v>
      </c>
      <c r="R179" s="56">
        <f t="shared" ca="1" si="34"/>
        <v>123</v>
      </c>
      <c r="S179" s="56">
        <f t="shared" ca="1" si="35"/>
        <v>123</v>
      </c>
      <c r="T179" s="39">
        <f t="shared" ca="1" si="36"/>
        <v>676500</v>
      </c>
      <c r="U179" s="61">
        <f t="shared" ca="1" si="37"/>
        <v>4000</v>
      </c>
      <c r="V179" s="61">
        <f t="shared" ca="1" si="38"/>
        <v>0</v>
      </c>
      <c r="W179" s="62">
        <f t="shared" ca="1" si="39"/>
        <v>180500</v>
      </c>
      <c r="X179" s="14"/>
    </row>
    <row r="180" spans="11:24" x14ac:dyDescent="0.3">
      <c r="K180" s="40">
        <v>176</v>
      </c>
      <c r="L180" s="39">
        <f t="shared" ca="1" si="29"/>
        <v>0.38494980878174667</v>
      </c>
      <c r="M180" s="39">
        <f t="shared" ca="1" si="30"/>
        <v>160</v>
      </c>
      <c r="N180" s="39">
        <f t="shared" ca="1" si="31"/>
        <v>0.80543981464582382</v>
      </c>
      <c r="O180" s="39">
        <f t="shared" ca="1" si="31"/>
        <v>0.31766078314184254</v>
      </c>
      <c r="P180" s="67">
        <f t="shared" ca="1" si="32"/>
        <v>0.31231005977876669</v>
      </c>
      <c r="Q180" s="56">
        <f t="shared" ca="1" si="33"/>
        <v>110.03039043539732</v>
      </c>
      <c r="R180" s="56">
        <f t="shared" ca="1" si="34"/>
        <v>111</v>
      </c>
      <c r="S180" s="56">
        <f t="shared" ca="1" si="35"/>
        <v>111</v>
      </c>
      <c r="T180" s="39">
        <f t="shared" ca="1" si="36"/>
        <v>610500</v>
      </c>
      <c r="U180" s="61">
        <f t="shared" ca="1" si="37"/>
        <v>28000</v>
      </c>
      <c r="V180" s="61">
        <f t="shared" ca="1" si="38"/>
        <v>0</v>
      </c>
      <c r="W180" s="62">
        <f t="shared" ca="1" si="39"/>
        <v>138500</v>
      </c>
      <c r="X180" s="14"/>
    </row>
    <row r="181" spans="11:24" x14ac:dyDescent="0.3">
      <c r="K181" s="40">
        <v>177</v>
      </c>
      <c r="L181" s="39">
        <f t="shared" ca="1" si="29"/>
        <v>0.81308727727042562</v>
      </c>
      <c r="M181" s="39">
        <f t="shared" ca="1" si="30"/>
        <v>200</v>
      </c>
      <c r="N181" s="39">
        <f t="shared" ca="1" si="31"/>
        <v>0.74333077313998697</v>
      </c>
      <c r="O181" s="39">
        <f t="shared" ca="1" si="31"/>
        <v>0.23092450126469599</v>
      </c>
      <c r="P181" s="67">
        <f t="shared" ca="1" si="32"/>
        <v>0.2974255274404683</v>
      </c>
      <c r="Q181" s="56">
        <f t="shared" ca="1" si="33"/>
        <v>140.51489451190633</v>
      </c>
      <c r="R181" s="56">
        <f t="shared" ca="1" si="34"/>
        <v>141</v>
      </c>
      <c r="S181" s="56">
        <f t="shared" ca="1" si="35"/>
        <v>125</v>
      </c>
      <c r="T181" s="39">
        <f t="shared" ca="1" si="36"/>
        <v>687500</v>
      </c>
      <c r="U181" s="61">
        <f t="shared" ca="1" si="37"/>
        <v>0</v>
      </c>
      <c r="V181" s="61">
        <f t="shared" ca="1" si="38"/>
        <v>24000</v>
      </c>
      <c r="W181" s="62">
        <f t="shared" ca="1" si="39"/>
        <v>163500</v>
      </c>
      <c r="X181" s="14"/>
    </row>
    <row r="182" spans="11:24" x14ac:dyDescent="0.3">
      <c r="K182" s="40">
        <v>178</v>
      </c>
      <c r="L182" s="39">
        <f t="shared" ca="1" si="29"/>
        <v>0.64953916129890399</v>
      </c>
      <c r="M182" s="39">
        <f t="shared" ca="1" si="30"/>
        <v>180</v>
      </c>
      <c r="N182" s="39">
        <f t="shared" ca="1" si="31"/>
        <v>0.35173925396074002</v>
      </c>
      <c r="O182" s="39">
        <f t="shared" ca="1" si="31"/>
        <v>0.77570482099038873</v>
      </c>
      <c r="P182" s="67">
        <f t="shared" ca="1" si="32"/>
        <v>0.3127444074951129</v>
      </c>
      <c r="Q182" s="56">
        <f t="shared" ca="1" si="33"/>
        <v>123.70600665087969</v>
      </c>
      <c r="R182" s="56">
        <f t="shared" ca="1" si="34"/>
        <v>124</v>
      </c>
      <c r="S182" s="56">
        <f t="shared" ca="1" si="35"/>
        <v>124</v>
      </c>
      <c r="T182" s="39">
        <f t="shared" ca="1" si="36"/>
        <v>682000</v>
      </c>
      <c r="U182" s="61">
        <f t="shared" ca="1" si="37"/>
        <v>2000</v>
      </c>
      <c r="V182" s="61">
        <f t="shared" ca="1" si="38"/>
        <v>0</v>
      </c>
      <c r="W182" s="62">
        <f t="shared" ca="1" si="39"/>
        <v>184000</v>
      </c>
      <c r="X182" s="14"/>
    </row>
    <row r="183" spans="11:24" x14ac:dyDescent="0.3">
      <c r="K183" s="40">
        <v>179</v>
      </c>
      <c r="L183" s="39">
        <f t="shared" ca="1" si="29"/>
        <v>0.9993638357333462</v>
      </c>
      <c r="M183" s="39">
        <f t="shared" ca="1" si="30"/>
        <v>220</v>
      </c>
      <c r="N183" s="39">
        <f t="shared" ca="1" si="31"/>
        <v>0.80984152615488625</v>
      </c>
      <c r="O183" s="39">
        <f t="shared" ca="1" si="31"/>
        <v>0.26788280027484324</v>
      </c>
      <c r="P183" s="67">
        <f t="shared" ca="1" si="32"/>
        <v>0.30777243264297294</v>
      </c>
      <c r="Q183" s="56">
        <f t="shared" ca="1" si="33"/>
        <v>152.29006481854594</v>
      </c>
      <c r="R183" s="56">
        <f t="shared" ca="1" si="34"/>
        <v>153</v>
      </c>
      <c r="S183" s="56">
        <f t="shared" ca="1" si="35"/>
        <v>125</v>
      </c>
      <c r="T183" s="39">
        <f t="shared" ca="1" si="36"/>
        <v>687500</v>
      </c>
      <c r="U183" s="61">
        <f t="shared" ca="1" si="37"/>
        <v>0</v>
      </c>
      <c r="V183" s="61">
        <f t="shared" ca="1" si="38"/>
        <v>42000</v>
      </c>
      <c r="W183" s="62">
        <f t="shared" ca="1" si="39"/>
        <v>145500</v>
      </c>
      <c r="X183" s="14"/>
    </row>
    <row r="184" spans="11:24" x14ac:dyDescent="0.3">
      <c r="K184" s="40">
        <v>180</v>
      </c>
      <c r="L184" s="39">
        <f t="shared" ca="1" si="29"/>
        <v>9.2808225590272797E-2</v>
      </c>
      <c r="M184" s="39">
        <f t="shared" ca="1" si="30"/>
        <v>140</v>
      </c>
      <c r="N184" s="39">
        <f t="shared" ca="1" si="31"/>
        <v>0.7851705287126105</v>
      </c>
      <c r="O184" s="39">
        <f t="shared" ca="1" si="31"/>
        <v>0.60334056595267338</v>
      </c>
      <c r="P184" s="67">
        <f t="shared" ca="1" si="32"/>
        <v>0.33885110946652841</v>
      </c>
      <c r="Q184" s="56">
        <f t="shared" ca="1" si="33"/>
        <v>92.560844674686024</v>
      </c>
      <c r="R184" s="56">
        <f t="shared" ca="1" si="34"/>
        <v>93</v>
      </c>
      <c r="S184" s="56">
        <f t="shared" ca="1" si="35"/>
        <v>93</v>
      </c>
      <c r="T184" s="39">
        <f t="shared" ca="1" si="36"/>
        <v>511500</v>
      </c>
      <c r="U184" s="61">
        <f t="shared" ca="1" si="37"/>
        <v>64000</v>
      </c>
      <c r="V184" s="61">
        <f t="shared" ca="1" si="38"/>
        <v>0</v>
      </c>
      <c r="W184" s="62">
        <f t="shared" ca="1" si="39"/>
        <v>75500</v>
      </c>
      <c r="X184" s="14"/>
    </row>
    <row r="185" spans="11:24" x14ac:dyDescent="0.3">
      <c r="K185" s="40">
        <v>181</v>
      </c>
      <c r="L185" s="39">
        <f t="shared" ca="1" si="29"/>
        <v>0.17465846937922491</v>
      </c>
      <c r="M185" s="39">
        <f t="shared" ca="1" si="30"/>
        <v>140</v>
      </c>
      <c r="N185" s="39">
        <f t="shared" ca="1" si="31"/>
        <v>0.38710291407668296</v>
      </c>
      <c r="O185" s="39">
        <f t="shared" ca="1" si="31"/>
        <v>0.716623747264026</v>
      </c>
      <c r="P185" s="67">
        <f t="shared" ca="1" si="32"/>
        <v>0.31037266613407088</v>
      </c>
      <c r="Q185" s="56">
        <f t="shared" ca="1" si="33"/>
        <v>96.547826741230068</v>
      </c>
      <c r="R185" s="56">
        <f t="shared" ca="1" si="34"/>
        <v>97</v>
      </c>
      <c r="S185" s="56">
        <f t="shared" ca="1" si="35"/>
        <v>97</v>
      </c>
      <c r="T185" s="39">
        <f t="shared" ca="1" si="36"/>
        <v>533500</v>
      </c>
      <c r="U185" s="61">
        <f t="shared" ca="1" si="37"/>
        <v>56000</v>
      </c>
      <c r="V185" s="61">
        <f t="shared" ca="1" si="38"/>
        <v>0</v>
      </c>
      <c r="W185" s="62">
        <f t="shared" ca="1" si="39"/>
        <v>89500</v>
      </c>
      <c r="X185" s="14"/>
    </row>
    <row r="186" spans="11:24" x14ac:dyDescent="0.3">
      <c r="K186" s="40">
        <v>182</v>
      </c>
      <c r="L186" s="39">
        <f t="shared" ca="1" si="29"/>
        <v>0.74732134040222709</v>
      </c>
      <c r="M186" s="39">
        <f t="shared" ca="1" si="30"/>
        <v>200</v>
      </c>
      <c r="N186" s="39">
        <f t="shared" ca="1" si="31"/>
        <v>3.9466655791818073E-2</v>
      </c>
      <c r="O186" s="39">
        <f t="shared" ca="1" si="31"/>
        <v>0.60174476480291794</v>
      </c>
      <c r="P186" s="67">
        <f t="shared" ca="1" si="32"/>
        <v>0.26412114205947362</v>
      </c>
      <c r="Q186" s="56">
        <f t="shared" ca="1" si="33"/>
        <v>147.17577158810528</v>
      </c>
      <c r="R186" s="56">
        <f t="shared" ca="1" si="34"/>
        <v>148</v>
      </c>
      <c r="S186" s="56">
        <f t="shared" ca="1" si="35"/>
        <v>125</v>
      </c>
      <c r="T186" s="39">
        <f t="shared" ca="1" si="36"/>
        <v>687500</v>
      </c>
      <c r="U186" s="61">
        <f t="shared" ca="1" si="37"/>
        <v>0</v>
      </c>
      <c r="V186" s="61">
        <f t="shared" ca="1" si="38"/>
        <v>34500</v>
      </c>
      <c r="W186" s="62">
        <f t="shared" ca="1" si="39"/>
        <v>153000</v>
      </c>
      <c r="X186" s="14"/>
    </row>
    <row r="187" spans="11:24" x14ac:dyDescent="0.3">
      <c r="K187" s="40">
        <v>183</v>
      </c>
      <c r="L187" s="39">
        <f t="shared" ca="1" si="29"/>
        <v>3.7487328752239257E-2</v>
      </c>
      <c r="M187" s="39">
        <f t="shared" ca="1" si="30"/>
        <v>140</v>
      </c>
      <c r="N187" s="39">
        <f t="shared" ca="1" si="31"/>
        <v>7.5818590513823447E-2</v>
      </c>
      <c r="O187" s="39">
        <f t="shared" ca="1" si="31"/>
        <v>4.1456842578515563E-3</v>
      </c>
      <c r="P187" s="67">
        <f t="shared" ca="1" si="32"/>
        <v>0.20799642747716751</v>
      </c>
      <c r="Q187" s="56">
        <f t="shared" ca="1" si="33"/>
        <v>110.88050015319655</v>
      </c>
      <c r="R187" s="56">
        <f t="shared" ca="1" si="34"/>
        <v>111</v>
      </c>
      <c r="S187" s="56">
        <f t="shared" ca="1" si="35"/>
        <v>111</v>
      </c>
      <c r="T187" s="39">
        <f t="shared" ca="1" si="36"/>
        <v>610500</v>
      </c>
      <c r="U187" s="61">
        <f t="shared" ca="1" si="37"/>
        <v>28000</v>
      </c>
      <c r="V187" s="61">
        <f t="shared" ca="1" si="38"/>
        <v>0</v>
      </c>
      <c r="W187" s="62">
        <f t="shared" ca="1" si="39"/>
        <v>138500</v>
      </c>
      <c r="X187" s="14"/>
    </row>
    <row r="188" spans="11:24" x14ac:dyDescent="0.3">
      <c r="K188" s="40">
        <v>184</v>
      </c>
      <c r="L188" s="39">
        <f t="shared" ca="1" si="29"/>
        <v>0.5100851126501077</v>
      </c>
      <c r="M188" s="39">
        <f t="shared" ca="1" si="30"/>
        <v>180</v>
      </c>
      <c r="N188" s="39">
        <f t="shared" ca="1" si="31"/>
        <v>0.94650368434666599</v>
      </c>
      <c r="O188" s="39">
        <f t="shared" ca="1" si="31"/>
        <v>8.3804708687531426E-2</v>
      </c>
      <c r="P188" s="67">
        <f t="shared" ca="1" si="32"/>
        <v>0.30303083930341979</v>
      </c>
      <c r="Q188" s="56">
        <f t="shared" ca="1" si="33"/>
        <v>125.45444892538444</v>
      </c>
      <c r="R188" s="56">
        <f t="shared" ca="1" si="34"/>
        <v>126</v>
      </c>
      <c r="S188" s="56">
        <f t="shared" ca="1" si="35"/>
        <v>125</v>
      </c>
      <c r="T188" s="39">
        <f t="shared" ca="1" si="36"/>
        <v>687500</v>
      </c>
      <c r="U188" s="61">
        <f t="shared" ca="1" si="37"/>
        <v>0</v>
      </c>
      <c r="V188" s="61">
        <f t="shared" ca="1" si="38"/>
        <v>1500</v>
      </c>
      <c r="W188" s="62">
        <f t="shared" ca="1" si="39"/>
        <v>186000</v>
      </c>
      <c r="X188" s="14"/>
    </row>
    <row r="189" spans="11:24" x14ac:dyDescent="0.3">
      <c r="K189" s="40">
        <v>185</v>
      </c>
      <c r="L189" s="39">
        <f t="shared" ca="1" si="29"/>
        <v>9.2743470738230971E-2</v>
      </c>
      <c r="M189" s="39">
        <f t="shared" ca="1" si="30"/>
        <v>140</v>
      </c>
      <c r="N189" s="39">
        <f t="shared" ca="1" si="31"/>
        <v>0.51163298731467866</v>
      </c>
      <c r="O189" s="39">
        <f t="shared" ca="1" si="31"/>
        <v>0.73250464001490578</v>
      </c>
      <c r="P189" s="67">
        <f t="shared" ca="1" si="32"/>
        <v>0.32441376273295847</v>
      </c>
      <c r="Q189" s="56">
        <f t="shared" ca="1" si="33"/>
        <v>94.582073217385812</v>
      </c>
      <c r="R189" s="56">
        <f t="shared" ca="1" si="34"/>
        <v>95</v>
      </c>
      <c r="S189" s="56">
        <f t="shared" ca="1" si="35"/>
        <v>95</v>
      </c>
      <c r="T189" s="39">
        <f t="shared" ca="1" si="36"/>
        <v>522500</v>
      </c>
      <c r="U189" s="61">
        <f t="shared" ca="1" si="37"/>
        <v>60000</v>
      </c>
      <c r="V189" s="61">
        <f t="shared" ca="1" si="38"/>
        <v>0</v>
      </c>
      <c r="W189" s="62">
        <f t="shared" ca="1" si="39"/>
        <v>82500</v>
      </c>
      <c r="X189" s="14"/>
    </row>
    <row r="190" spans="11:24" x14ac:dyDescent="0.3">
      <c r="K190" s="40">
        <v>186</v>
      </c>
      <c r="L190" s="39">
        <f t="shared" ca="1" si="29"/>
        <v>0.88089771290179342</v>
      </c>
      <c r="M190" s="39">
        <f t="shared" ca="1" si="30"/>
        <v>200</v>
      </c>
      <c r="N190" s="39">
        <f t="shared" ca="1" si="31"/>
        <v>0.20741971890816391</v>
      </c>
      <c r="O190" s="39">
        <f t="shared" ca="1" si="31"/>
        <v>1.9419728072326059E-2</v>
      </c>
      <c r="P190" s="67">
        <f t="shared" ca="1" si="32"/>
        <v>0.222683944698049</v>
      </c>
      <c r="Q190" s="56">
        <f t="shared" ca="1" si="33"/>
        <v>155.46321106039019</v>
      </c>
      <c r="R190" s="56">
        <f t="shared" ca="1" si="34"/>
        <v>156</v>
      </c>
      <c r="S190" s="56">
        <f t="shared" ca="1" si="35"/>
        <v>125</v>
      </c>
      <c r="T190" s="39">
        <f t="shared" ca="1" si="36"/>
        <v>687500</v>
      </c>
      <c r="U190" s="61">
        <f t="shared" ca="1" si="37"/>
        <v>0</v>
      </c>
      <c r="V190" s="61">
        <f t="shared" ca="1" si="38"/>
        <v>46500</v>
      </c>
      <c r="W190" s="62">
        <f t="shared" ca="1" si="39"/>
        <v>141000</v>
      </c>
      <c r="X190" s="14"/>
    </row>
    <row r="191" spans="11:24" x14ac:dyDescent="0.3">
      <c r="K191" s="40">
        <v>187</v>
      </c>
      <c r="L191" s="39">
        <f t="shared" ca="1" si="29"/>
        <v>0.90706705872884974</v>
      </c>
      <c r="M191" s="39">
        <f t="shared" ca="1" si="30"/>
        <v>220</v>
      </c>
      <c r="N191" s="39">
        <f t="shared" ca="1" si="31"/>
        <v>0.49657814181431059</v>
      </c>
      <c r="O191" s="39">
        <f t="shared" ca="1" si="31"/>
        <v>0.48805247486859071</v>
      </c>
      <c r="P191" s="67">
        <f t="shared" ca="1" si="32"/>
        <v>0.29846306166829017</v>
      </c>
      <c r="Q191" s="56">
        <f t="shared" ca="1" si="33"/>
        <v>154.33812643297617</v>
      </c>
      <c r="R191" s="56">
        <f t="shared" ca="1" si="34"/>
        <v>155</v>
      </c>
      <c r="S191" s="56">
        <f t="shared" ca="1" si="35"/>
        <v>125</v>
      </c>
      <c r="T191" s="39">
        <f t="shared" ca="1" si="36"/>
        <v>687500</v>
      </c>
      <c r="U191" s="61">
        <f t="shared" ca="1" si="37"/>
        <v>0</v>
      </c>
      <c r="V191" s="61">
        <f t="shared" ca="1" si="38"/>
        <v>45000</v>
      </c>
      <c r="W191" s="62">
        <f t="shared" ca="1" si="39"/>
        <v>142500</v>
      </c>
      <c r="X191" s="14"/>
    </row>
    <row r="192" spans="11:24" x14ac:dyDescent="0.3">
      <c r="K192" s="40">
        <v>188</v>
      </c>
      <c r="L192" s="39">
        <f t="shared" ca="1" si="29"/>
        <v>0.12833271320447814</v>
      </c>
      <c r="M192" s="39">
        <f t="shared" ca="1" si="30"/>
        <v>140</v>
      </c>
      <c r="N192" s="39">
        <f t="shared" ca="1" si="31"/>
        <v>0.77761153439505748</v>
      </c>
      <c r="O192" s="39">
        <f t="shared" ca="1" si="31"/>
        <v>0.79817479023766591</v>
      </c>
      <c r="P192" s="67">
        <f t="shared" ca="1" si="32"/>
        <v>0.35757863246327237</v>
      </c>
      <c r="Q192" s="56">
        <f t="shared" ca="1" si="33"/>
        <v>89.93899145514186</v>
      </c>
      <c r="R192" s="56">
        <f t="shared" ca="1" si="34"/>
        <v>90</v>
      </c>
      <c r="S192" s="56">
        <f t="shared" ca="1" si="35"/>
        <v>90</v>
      </c>
      <c r="T192" s="39">
        <f t="shared" ca="1" si="36"/>
        <v>495000</v>
      </c>
      <c r="U192" s="61">
        <f t="shared" ca="1" si="37"/>
        <v>70000</v>
      </c>
      <c r="V192" s="61">
        <f t="shared" ca="1" si="38"/>
        <v>0</v>
      </c>
      <c r="W192" s="62">
        <f t="shared" ca="1" si="39"/>
        <v>65000</v>
      </c>
      <c r="X192" s="14"/>
    </row>
    <row r="193" spans="11:24" x14ac:dyDescent="0.3">
      <c r="K193" s="40">
        <v>189</v>
      </c>
      <c r="L193" s="39">
        <f t="shared" ca="1" si="29"/>
        <v>0.61829014214724742</v>
      </c>
      <c r="M193" s="39">
        <f t="shared" ca="1" si="30"/>
        <v>180</v>
      </c>
      <c r="N193" s="39">
        <f t="shared" ca="1" si="31"/>
        <v>0.66474321319176122</v>
      </c>
      <c r="O193" s="39">
        <f t="shared" ca="1" si="31"/>
        <v>0.69431961246208951</v>
      </c>
      <c r="P193" s="67">
        <f t="shared" ca="1" si="32"/>
        <v>0.33590628256538513</v>
      </c>
      <c r="Q193" s="56">
        <f t="shared" ca="1" si="33"/>
        <v>119.53686913823068</v>
      </c>
      <c r="R193" s="56">
        <f t="shared" ca="1" si="34"/>
        <v>120</v>
      </c>
      <c r="S193" s="56">
        <f t="shared" ca="1" si="35"/>
        <v>120</v>
      </c>
      <c r="T193" s="39">
        <f t="shared" ca="1" si="36"/>
        <v>660000</v>
      </c>
      <c r="U193" s="61">
        <f t="shared" ca="1" si="37"/>
        <v>10000</v>
      </c>
      <c r="V193" s="61">
        <f t="shared" ca="1" si="38"/>
        <v>0</v>
      </c>
      <c r="W193" s="62">
        <f t="shared" ca="1" si="39"/>
        <v>170000</v>
      </c>
      <c r="X193" s="14"/>
    </row>
    <row r="194" spans="11:24" x14ac:dyDescent="0.3">
      <c r="K194" s="40">
        <v>190</v>
      </c>
      <c r="L194" s="39">
        <f t="shared" ca="1" si="29"/>
        <v>0.90851281369864589</v>
      </c>
      <c r="M194" s="39">
        <f t="shared" ca="1" si="30"/>
        <v>220</v>
      </c>
      <c r="N194" s="39">
        <f t="shared" ca="1" si="31"/>
        <v>0.65287263158349595</v>
      </c>
      <c r="O194" s="39">
        <f t="shared" ca="1" si="31"/>
        <v>0.35948471410517158</v>
      </c>
      <c r="P194" s="67">
        <f t="shared" ca="1" si="32"/>
        <v>0.30123573456886676</v>
      </c>
      <c r="Q194" s="56">
        <f t="shared" ca="1" si="33"/>
        <v>153.72813839484931</v>
      </c>
      <c r="R194" s="56">
        <f t="shared" ca="1" si="34"/>
        <v>154</v>
      </c>
      <c r="S194" s="56">
        <f t="shared" ca="1" si="35"/>
        <v>125</v>
      </c>
      <c r="T194" s="39">
        <f t="shared" ca="1" si="36"/>
        <v>687500</v>
      </c>
      <c r="U194" s="61">
        <f t="shared" ca="1" si="37"/>
        <v>0</v>
      </c>
      <c r="V194" s="61">
        <f t="shared" ca="1" si="38"/>
        <v>43500</v>
      </c>
      <c r="W194" s="62">
        <f t="shared" ca="1" si="39"/>
        <v>144000</v>
      </c>
      <c r="X194" s="14"/>
    </row>
    <row r="195" spans="11:24" x14ac:dyDescent="0.3">
      <c r="K195" s="40">
        <v>191</v>
      </c>
      <c r="L195" s="39">
        <f t="shared" ca="1" si="29"/>
        <v>0.99713007507765206</v>
      </c>
      <c r="M195" s="39">
        <f t="shared" ca="1" si="30"/>
        <v>220</v>
      </c>
      <c r="N195" s="39">
        <f t="shared" ca="1" si="31"/>
        <v>0.63044540676716021</v>
      </c>
      <c r="O195" s="39">
        <f t="shared" ca="1" si="31"/>
        <v>0.45940708850194778</v>
      </c>
      <c r="P195" s="67">
        <f t="shared" ca="1" si="32"/>
        <v>0.30898524952691081</v>
      </c>
      <c r="Q195" s="56">
        <f t="shared" ca="1" si="33"/>
        <v>152.02324510407962</v>
      </c>
      <c r="R195" s="56">
        <f t="shared" ca="1" si="34"/>
        <v>153</v>
      </c>
      <c r="S195" s="56">
        <f t="shared" ca="1" si="35"/>
        <v>125</v>
      </c>
      <c r="T195" s="39">
        <f t="shared" ca="1" si="36"/>
        <v>687500</v>
      </c>
      <c r="U195" s="61">
        <f t="shared" ca="1" si="37"/>
        <v>0</v>
      </c>
      <c r="V195" s="61">
        <f t="shared" ca="1" si="38"/>
        <v>42000</v>
      </c>
      <c r="W195" s="62">
        <f t="shared" ca="1" si="39"/>
        <v>145500</v>
      </c>
      <c r="X195" s="14"/>
    </row>
    <row r="196" spans="11:24" x14ac:dyDescent="0.3">
      <c r="K196" s="40">
        <v>192</v>
      </c>
      <c r="L196" s="39">
        <f t="shared" ca="1" si="29"/>
        <v>0.13658902576569532</v>
      </c>
      <c r="M196" s="39">
        <f t="shared" ca="1" si="30"/>
        <v>140</v>
      </c>
      <c r="N196" s="39">
        <f t="shared" ca="1" si="31"/>
        <v>9.6031073668608746E-2</v>
      </c>
      <c r="O196" s="39">
        <f t="shared" ca="1" si="31"/>
        <v>0.23031224650938575</v>
      </c>
      <c r="P196" s="67">
        <f t="shared" ca="1" si="32"/>
        <v>0.23263433201779946</v>
      </c>
      <c r="Q196" s="56">
        <f t="shared" ca="1" si="33"/>
        <v>107.43119351750808</v>
      </c>
      <c r="R196" s="56">
        <f t="shared" ca="1" si="34"/>
        <v>108</v>
      </c>
      <c r="S196" s="56">
        <f t="shared" ca="1" si="35"/>
        <v>108</v>
      </c>
      <c r="T196" s="39">
        <f t="shared" ca="1" si="36"/>
        <v>594000</v>
      </c>
      <c r="U196" s="61">
        <f t="shared" ca="1" si="37"/>
        <v>34000</v>
      </c>
      <c r="V196" s="61">
        <f t="shared" ca="1" si="38"/>
        <v>0</v>
      </c>
      <c r="W196" s="62">
        <f t="shared" ca="1" si="39"/>
        <v>128000</v>
      </c>
      <c r="X196" s="14"/>
    </row>
    <row r="197" spans="11:24" x14ac:dyDescent="0.3">
      <c r="K197" s="40">
        <v>193</v>
      </c>
      <c r="L197" s="39">
        <f t="shared" ca="1" si="29"/>
        <v>3.4244757013131344E-2</v>
      </c>
      <c r="M197" s="39">
        <f t="shared" ca="1" si="30"/>
        <v>140</v>
      </c>
      <c r="N197" s="39">
        <f t="shared" ca="1" si="31"/>
        <v>0.41644908717231577</v>
      </c>
      <c r="O197" s="39">
        <f t="shared" ca="1" si="31"/>
        <v>0.17240893224184195</v>
      </c>
      <c r="P197" s="67">
        <f t="shared" ca="1" si="32"/>
        <v>0.25888580194141581</v>
      </c>
      <c r="Q197" s="56">
        <f t="shared" ca="1" si="33"/>
        <v>103.75598772820179</v>
      </c>
      <c r="R197" s="56">
        <f t="shared" ca="1" si="34"/>
        <v>104</v>
      </c>
      <c r="S197" s="56">
        <f t="shared" ca="1" si="35"/>
        <v>104</v>
      </c>
      <c r="T197" s="39">
        <f t="shared" ca="1" si="36"/>
        <v>572000</v>
      </c>
      <c r="U197" s="61">
        <f t="shared" ca="1" si="37"/>
        <v>42000</v>
      </c>
      <c r="V197" s="61">
        <f t="shared" ca="1" si="38"/>
        <v>0</v>
      </c>
      <c r="W197" s="62">
        <f t="shared" ca="1" si="39"/>
        <v>114000</v>
      </c>
      <c r="X197" s="14"/>
    </row>
    <row r="198" spans="11:24" x14ac:dyDescent="0.3">
      <c r="K198" s="40">
        <v>194</v>
      </c>
      <c r="L198" s="39">
        <f t="shared" ref="L198:L204" ca="1" si="40">RAND()</f>
        <v>2.2822531167187354E-2</v>
      </c>
      <c r="M198" s="39">
        <f t="shared" ref="M198:M204" ca="1" si="41">VLOOKUP(L198,$C$5:$E$9,3,TRUE)</f>
        <v>140</v>
      </c>
      <c r="N198" s="39">
        <f t="shared" ref="N198:O204" ca="1" si="42">RAND()</f>
        <v>0.49469277746139717</v>
      </c>
      <c r="O198" s="39">
        <f t="shared" ca="1" si="42"/>
        <v>0.9698564586921754</v>
      </c>
      <c r="P198" s="67">
        <f t="shared" ref="P198:P204" ca="1" si="43">$E$11+($E$12-$E$11)/2*(N198+O198)</f>
        <v>0.34645492361535724</v>
      </c>
      <c r="Q198" s="56">
        <f t="shared" ref="Q198:Q204" ca="1" si="44">M198-(M198*P198)</f>
        <v>91.496310693849978</v>
      </c>
      <c r="R198" s="56">
        <f t="shared" ref="R198:R204" ca="1" si="45">ROUNDUP(Q198,0)</f>
        <v>92</v>
      </c>
      <c r="S198" s="56">
        <f t="shared" ref="S198:S204" ca="1" si="46">MIN(R198,$M$1)</f>
        <v>92</v>
      </c>
      <c r="T198" s="39">
        <f t="shared" ref="T198:T204" ca="1" si="47">S198*$B$14</f>
        <v>506000</v>
      </c>
      <c r="U198" s="61">
        <f t="shared" ref="U198:U204" ca="1" si="48">($M$1-S198)*$B$15</f>
        <v>66000</v>
      </c>
      <c r="V198" s="61">
        <f t="shared" ref="V198:V204" ca="1" si="49">IF(R198&gt;$M$1,(R198-$M$1)*1500,0)</f>
        <v>0</v>
      </c>
      <c r="W198" s="62">
        <f t="shared" ref="W198:W204" ca="1" si="50">U198+T198-$M$2-V198</f>
        <v>72000</v>
      </c>
      <c r="X198" s="14"/>
    </row>
    <row r="199" spans="11:24" x14ac:dyDescent="0.3">
      <c r="K199" s="40">
        <v>195</v>
      </c>
      <c r="L199" s="39">
        <f t="shared" ca="1" si="40"/>
        <v>0.64317014311807463</v>
      </c>
      <c r="M199" s="39">
        <f t="shared" ca="1" si="41"/>
        <v>180</v>
      </c>
      <c r="N199" s="39">
        <f t="shared" ca="1" si="42"/>
        <v>0.63020551261742752</v>
      </c>
      <c r="O199" s="39">
        <f t="shared" ca="1" si="42"/>
        <v>0.95754848461230402</v>
      </c>
      <c r="P199" s="67">
        <f t="shared" ca="1" si="43"/>
        <v>0.35877539972297318</v>
      </c>
      <c r="Q199" s="56">
        <f t="shared" ca="1" si="44"/>
        <v>115.42042804986482</v>
      </c>
      <c r="R199" s="56">
        <f t="shared" ca="1" si="45"/>
        <v>116</v>
      </c>
      <c r="S199" s="56">
        <f t="shared" ca="1" si="46"/>
        <v>116</v>
      </c>
      <c r="T199" s="39">
        <f t="shared" ca="1" si="47"/>
        <v>638000</v>
      </c>
      <c r="U199" s="61">
        <f t="shared" ca="1" si="48"/>
        <v>18000</v>
      </c>
      <c r="V199" s="61">
        <f t="shared" ca="1" si="49"/>
        <v>0</v>
      </c>
      <c r="W199" s="62">
        <f t="shared" ca="1" si="50"/>
        <v>156000</v>
      </c>
      <c r="X199" s="14"/>
    </row>
    <row r="200" spans="11:24" x14ac:dyDescent="0.3">
      <c r="K200" s="40">
        <v>196</v>
      </c>
      <c r="L200" s="39">
        <f t="shared" ca="1" si="40"/>
        <v>0.16476322374672836</v>
      </c>
      <c r="M200" s="39">
        <f t="shared" ca="1" si="41"/>
        <v>140</v>
      </c>
      <c r="N200" s="39">
        <f t="shared" ca="1" si="42"/>
        <v>7.8510546853798213E-2</v>
      </c>
      <c r="O200" s="39">
        <f t="shared" ca="1" si="42"/>
        <v>0.40072297171127835</v>
      </c>
      <c r="P200" s="67">
        <f t="shared" ca="1" si="43"/>
        <v>0.24792335185650766</v>
      </c>
      <c r="Q200" s="56">
        <f t="shared" ca="1" si="44"/>
        <v>105.29073074008892</v>
      </c>
      <c r="R200" s="56">
        <f t="shared" ca="1" si="45"/>
        <v>106</v>
      </c>
      <c r="S200" s="56">
        <f t="shared" ca="1" si="46"/>
        <v>106</v>
      </c>
      <c r="T200" s="39">
        <f t="shared" ca="1" si="47"/>
        <v>583000</v>
      </c>
      <c r="U200" s="61">
        <f t="shared" ca="1" si="48"/>
        <v>38000</v>
      </c>
      <c r="V200" s="61">
        <f t="shared" ca="1" si="49"/>
        <v>0</v>
      </c>
      <c r="W200" s="62">
        <f t="shared" ca="1" si="50"/>
        <v>121000</v>
      </c>
      <c r="X200" s="14"/>
    </row>
    <row r="201" spans="11:24" x14ac:dyDescent="0.3">
      <c r="K201" s="40">
        <v>197</v>
      </c>
      <c r="L201" s="39">
        <f t="shared" ca="1" si="40"/>
        <v>0.35609116814281594</v>
      </c>
      <c r="M201" s="39">
        <f t="shared" ca="1" si="41"/>
        <v>160</v>
      </c>
      <c r="N201" s="39">
        <f t="shared" ca="1" si="42"/>
        <v>3.1634670560350409E-2</v>
      </c>
      <c r="O201" s="39">
        <f t="shared" ca="1" si="42"/>
        <v>0.9241663431076218</v>
      </c>
      <c r="P201" s="67">
        <f t="shared" ca="1" si="43"/>
        <v>0.29558010136679724</v>
      </c>
      <c r="Q201" s="56">
        <f t="shared" ca="1" si="44"/>
        <v>112.70718378131244</v>
      </c>
      <c r="R201" s="56">
        <f t="shared" ca="1" si="45"/>
        <v>113</v>
      </c>
      <c r="S201" s="56">
        <f t="shared" ca="1" si="46"/>
        <v>113</v>
      </c>
      <c r="T201" s="39">
        <f t="shared" ca="1" si="47"/>
        <v>621500</v>
      </c>
      <c r="U201" s="61">
        <f t="shared" ca="1" si="48"/>
        <v>24000</v>
      </c>
      <c r="V201" s="61">
        <f t="shared" ca="1" si="49"/>
        <v>0</v>
      </c>
      <c r="W201" s="62">
        <f t="shared" ca="1" si="50"/>
        <v>145500</v>
      </c>
      <c r="X201" s="14"/>
    </row>
    <row r="202" spans="11:24" x14ac:dyDescent="0.3">
      <c r="K202" s="40">
        <v>198</v>
      </c>
      <c r="L202" s="39">
        <f t="shared" ca="1" si="40"/>
        <v>0.82369164549339846</v>
      </c>
      <c r="M202" s="39">
        <f t="shared" ca="1" si="41"/>
        <v>200</v>
      </c>
      <c r="N202" s="39">
        <f t="shared" ca="1" si="42"/>
        <v>0.44170313313762066</v>
      </c>
      <c r="O202" s="39">
        <f t="shared" ca="1" si="42"/>
        <v>0.68974151685917018</v>
      </c>
      <c r="P202" s="67">
        <f t="shared" ca="1" si="43"/>
        <v>0.31314446499967907</v>
      </c>
      <c r="Q202" s="56">
        <f t="shared" ca="1" si="44"/>
        <v>137.37110700006417</v>
      </c>
      <c r="R202" s="56">
        <f t="shared" ca="1" si="45"/>
        <v>138</v>
      </c>
      <c r="S202" s="56">
        <f t="shared" ca="1" si="46"/>
        <v>125</v>
      </c>
      <c r="T202" s="39">
        <f t="shared" ca="1" si="47"/>
        <v>687500</v>
      </c>
      <c r="U202" s="61">
        <f t="shared" ca="1" si="48"/>
        <v>0</v>
      </c>
      <c r="V202" s="61">
        <f t="shared" ca="1" si="49"/>
        <v>19500</v>
      </c>
      <c r="W202" s="62">
        <f t="shared" ca="1" si="50"/>
        <v>168000</v>
      </c>
      <c r="X202" s="14"/>
    </row>
    <row r="203" spans="11:24" x14ac:dyDescent="0.3">
      <c r="K203" s="40">
        <v>199</v>
      </c>
      <c r="L203" s="39">
        <f t="shared" ca="1" si="40"/>
        <v>0.6140285419510384</v>
      </c>
      <c r="M203" s="39">
        <f t="shared" ca="1" si="41"/>
        <v>180</v>
      </c>
      <c r="N203" s="39">
        <f t="shared" ca="1" si="42"/>
        <v>0.61511612202982091</v>
      </c>
      <c r="O203" s="39">
        <f t="shared" ca="1" si="42"/>
        <v>0.67024023082537054</v>
      </c>
      <c r="P203" s="67">
        <f t="shared" ca="1" si="43"/>
        <v>0.32853563528551916</v>
      </c>
      <c r="Q203" s="56">
        <f t="shared" ca="1" si="44"/>
        <v>120.86358564860654</v>
      </c>
      <c r="R203" s="56">
        <f t="shared" ca="1" si="45"/>
        <v>121</v>
      </c>
      <c r="S203" s="56">
        <f t="shared" ca="1" si="46"/>
        <v>121</v>
      </c>
      <c r="T203" s="39">
        <f t="shared" ca="1" si="47"/>
        <v>665500</v>
      </c>
      <c r="U203" s="61">
        <f t="shared" ca="1" si="48"/>
        <v>8000</v>
      </c>
      <c r="V203" s="61">
        <f t="shared" ca="1" si="49"/>
        <v>0</v>
      </c>
      <c r="W203" s="62">
        <f t="shared" ca="1" si="50"/>
        <v>173500</v>
      </c>
      <c r="X203" s="14"/>
    </row>
    <row r="204" spans="11:24" x14ac:dyDescent="0.3">
      <c r="K204" s="41">
        <v>200</v>
      </c>
      <c r="L204" s="39">
        <f t="shared" ca="1" si="40"/>
        <v>0.96875828861287061</v>
      </c>
      <c r="M204" s="39">
        <f t="shared" ca="1" si="41"/>
        <v>220</v>
      </c>
      <c r="N204" s="39">
        <f t="shared" ca="1" si="42"/>
        <v>0.10399852615813709</v>
      </c>
      <c r="O204" s="39">
        <f t="shared" ca="1" si="42"/>
        <v>0.84155904507943757</v>
      </c>
      <c r="P204" s="67">
        <f t="shared" ca="1" si="43"/>
        <v>0.29455575712375748</v>
      </c>
      <c r="Q204" s="56">
        <f t="shared" ca="1" si="44"/>
        <v>155.19773343277336</v>
      </c>
      <c r="R204" s="56">
        <f t="shared" ca="1" si="45"/>
        <v>156</v>
      </c>
      <c r="S204" s="56">
        <f t="shared" ca="1" si="46"/>
        <v>125</v>
      </c>
      <c r="T204" s="39">
        <f t="shared" ca="1" si="47"/>
        <v>687500</v>
      </c>
      <c r="U204" s="61">
        <f t="shared" ca="1" si="48"/>
        <v>0</v>
      </c>
      <c r="V204" s="61">
        <f t="shared" ca="1" si="49"/>
        <v>46500</v>
      </c>
      <c r="W204" s="62">
        <f t="shared" ca="1" si="50"/>
        <v>141000</v>
      </c>
      <c r="X204" s="14"/>
    </row>
    <row r="205" spans="11:24" x14ac:dyDescent="0.3">
      <c r="X205" s="15"/>
    </row>
    <row r="206" spans="11:24" x14ac:dyDescent="0.3">
      <c r="U206"/>
      <c r="V206"/>
      <c r="W206"/>
      <c r="X206"/>
    </row>
    <row r="207" spans="11:24" x14ac:dyDescent="0.3">
      <c r="U207"/>
      <c r="V207"/>
      <c r="W207"/>
      <c r="X207"/>
    </row>
    <row r="208" spans="11:24" x14ac:dyDescent="0.3">
      <c r="U208"/>
      <c r="V208"/>
      <c r="W208"/>
      <c r="X208"/>
    </row>
    <row r="209" spans="21:24" x14ac:dyDescent="0.3">
      <c r="U209"/>
      <c r="V209"/>
      <c r="W209"/>
      <c r="X209"/>
    </row>
    <row r="210" spans="21:24" x14ac:dyDescent="0.3">
      <c r="U210"/>
      <c r="V210"/>
      <c r="W210"/>
      <c r="X210"/>
    </row>
    <row r="211" spans="21:24" x14ac:dyDescent="0.3">
      <c r="U211"/>
      <c r="V211"/>
      <c r="W211"/>
      <c r="X211"/>
    </row>
    <row r="212" spans="21:24" x14ac:dyDescent="0.3">
      <c r="U212"/>
      <c r="V212"/>
      <c r="W212"/>
      <c r="X212"/>
    </row>
    <row r="213" spans="21:24" x14ac:dyDescent="0.3">
      <c r="U213"/>
      <c r="V213"/>
      <c r="W213"/>
      <c r="X213"/>
    </row>
    <row r="214" spans="21:24" x14ac:dyDescent="0.3">
      <c r="U214"/>
      <c r="V214"/>
      <c r="W214"/>
      <c r="X214"/>
    </row>
    <row r="215" spans="21:24" x14ac:dyDescent="0.3">
      <c r="U215"/>
      <c r="V215"/>
      <c r="W215"/>
      <c r="X215"/>
    </row>
    <row r="216" spans="21:24" x14ac:dyDescent="0.3">
      <c r="U216"/>
      <c r="V216"/>
      <c r="W216"/>
      <c r="X216"/>
    </row>
    <row r="217" spans="21:24" x14ac:dyDescent="0.3">
      <c r="U217"/>
      <c r="V217"/>
      <c r="W217"/>
      <c r="X217"/>
    </row>
  </sheetData>
  <mergeCells count="8">
    <mergeCell ref="A26:B26"/>
    <mergeCell ref="A27:B27"/>
    <mergeCell ref="AC4:AL4"/>
    <mergeCell ref="A20:B20"/>
    <mergeCell ref="A21:B21"/>
    <mergeCell ref="A23:B23"/>
    <mergeCell ref="A24:B24"/>
    <mergeCell ref="A25:B25"/>
  </mergeCells>
  <pageMargins left="0.75" right="0.75" top="1" bottom="1" header="0.5" footer="0.5"/>
  <pageSetup paperSize="9" orientation="portrait" horizontalDpi="4294967294" verticalDpi="120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35466-7FF0-4A4B-BFBB-A77DB501DC40}">
  <dimension ref="A1:AL217"/>
  <sheetViews>
    <sheetView zoomScale="82" zoomScaleNormal="82" workbookViewId="0">
      <selection activeCell="H18" sqref="H18"/>
    </sheetView>
  </sheetViews>
  <sheetFormatPr defaultRowHeight="15.6" x14ac:dyDescent="0.3"/>
  <cols>
    <col min="1" max="1" width="16.69921875" customWidth="1"/>
    <col min="2" max="2" width="12.69921875" customWidth="1"/>
    <col min="3" max="3" width="15.5" customWidth="1"/>
    <col min="4" max="4" width="12.796875" customWidth="1"/>
    <col min="5" max="5" width="10" customWidth="1"/>
    <col min="11" max="11" width="12" style="7" customWidth="1"/>
    <col min="12" max="13" width="14.5" style="7" customWidth="1"/>
    <col min="14" max="14" width="14.09765625" style="7" customWidth="1"/>
    <col min="15" max="15" width="12.5" style="7" customWidth="1"/>
    <col min="16" max="16" width="11.69921875" style="7" customWidth="1"/>
    <col min="17" max="17" width="14.69921875" style="7" customWidth="1"/>
    <col min="18" max="18" width="12.5" style="7" customWidth="1"/>
    <col min="19" max="19" width="11.796875" style="7" customWidth="1"/>
    <col min="20" max="20" width="11.296875" style="7" customWidth="1"/>
    <col min="21" max="22" width="14.59765625" style="7" customWidth="1"/>
    <col min="23" max="23" width="20.09765625" style="7" customWidth="1"/>
    <col min="24" max="24" width="29.69921875" style="7" customWidth="1"/>
    <col min="25" max="25" width="13.59765625" style="7" customWidth="1"/>
    <col min="26" max="26" width="2.59765625" style="7" customWidth="1"/>
    <col min="27" max="27" width="15.796875" style="7" customWidth="1"/>
    <col min="28" max="28" width="17.19921875" style="7" customWidth="1"/>
    <col min="29" max="29" width="10.296875" style="7" customWidth="1"/>
    <col min="30" max="38" width="9" style="7" customWidth="1"/>
  </cols>
  <sheetData>
    <row r="1" spans="1:38" ht="23.4" thickBot="1" x14ac:dyDescent="0.45">
      <c r="A1" s="5" t="s">
        <v>36</v>
      </c>
      <c r="B1" s="5"/>
      <c r="C1" s="5"/>
      <c r="D1" s="5"/>
      <c r="E1" s="5"/>
      <c r="F1" s="6"/>
      <c r="G1" s="6"/>
      <c r="H1" s="6"/>
      <c r="I1" s="8"/>
      <c r="K1" s="34" t="s">
        <v>21</v>
      </c>
      <c r="L1" s="57" t="s">
        <v>22</v>
      </c>
      <c r="M1" s="58">
        <v>125</v>
      </c>
      <c r="N1" s="59" t="s">
        <v>48</v>
      </c>
    </row>
    <row r="2" spans="1:38" ht="16.2" thickBot="1" x14ac:dyDescent="0.35">
      <c r="A2" s="27"/>
      <c r="B2" s="27"/>
      <c r="C2" s="27"/>
      <c r="D2" s="27"/>
      <c r="E2" s="27"/>
      <c r="F2" s="27"/>
      <c r="G2" s="27"/>
      <c r="H2" s="27"/>
      <c r="I2" s="28"/>
      <c r="L2" s="60" t="s">
        <v>39</v>
      </c>
      <c r="M2" s="35">
        <f>M1*B13</f>
        <v>500000</v>
      </c>
      <c r="N2" s="36"/>
      <c r="O2" s="9"/>
      <c r="Q2" s="9"/>
      <c r="U2"/>
      <c r="V2"/>
      <c r="W2"/>
      <c r="X2"/>
      <c r="Y2"/>
      <c r="Z2"/>
      <c r="AA2"/>
    </row>
    <row r="3" spans="1:38" ht="16.2" thickBot="1" x14ac:dyDescent="0.35">
      <c r="A3" s="27"/>
      <c r="B3" s="27"/>
      <c r="C3" s="27"/>
      <c r="D3" s="29" t="s">
        <v>46</v>
      </c>
      <c r="E3" s="27"/>
      <c r="F3" s="27"/>
      <c r="G3" s="27"/>
      <c r="H3" s="27"/>
      <c r="I3" s="28"/>
      <c r="U3"/>
      <c r="V3"/>
      <c r="W3"/>
      <c r="X3"/>
      <c r="Y3"/>
      <c r="Z3"/>
      <c r="AA3"/>
      <c r="AB3" s="22"/>
    </row>
    <row r="4" spans="1:38" ht="63" thickBot="1" x14ac:dyDescent="0.35">
      <c r="A4" s="52" t="s">
        <v>4</v>
      </c>
      <c r="B4" s="30" t="s">
        <v>0</v>
      </c>
      <c r="C4" s="52" t="s">
        <v>5</v>
      </c>
      <c r="D4" s="52" t="s">
        <v>6</v>
      </c>
      <c r="E4" s="53" t="s">
        <v>7</v>
      </c>
      <c r="F4" s="27"/>
      <c r="G4" s="27"/>
      <c r="H4" s="27"/>
      <c r="I4" s="28"/>
      <c r="K4" s="12" t="s">
        <v>31</v>
      </c>
      <c r="L4" s="37" t="s">
        <v>23</v>
      </c>
      <c r="M4" s="37" t="s">
        <v>40</v>
      </c>
      <c r="N4" s="37" t="s">
        <v>32</v>
      </c>
      <c r="O4" s="37" t="s">
        <v>33</v>
      </c>
      <c r="P4" s="37" t="s">
        <v>37</v>
      </c>
      <c r="Q4" s="37" t="s">
        <v>41</v>
      </c>
      <c r="R4" s="37" t="s">
        <v>42</v>
      </c>
      <c r="S4" s="37" t="s">
        <v>44</v>
      </c>
      <c r="T4" s="37" t="s">
        <v>43</v>
      </c>
      <c r="U4" s="37" t="s">
        <v>45</v>
      </c>
      <c r="V4" s="70" t="s">
        <v>60</v>
      </c>
      <c r="W4" s="37" t="s">
        <v>59</v>
      </c>
      <c r="AB4" s="55" t="s">
        <v>24</v>
      </c>
      <c r="AC4" s="83" t="s">
        <v>25</v>
      </c>
      <c r="AD4" s="84"/>
      <c r="AE4" s="84"/>
      <c r="AF4" s="84"/>
      <c r="AG4" s="84"/>
      <c r="AH4" s="84"/>
      <c r="AI4" s="84"/>
      <c r="AJ4" s="84"/>
      <c r="AK4" s="84"/>
      <c r="AL4" s="85"/>
    </row>
    <row r="5" spans="1:38" ht="21.6" thickBot="1" x14ac:dyDescent="0.45">
      <c r="A5" s="31">
        <v>140</v>
      </c>
      <c r="B5" s="31">
        <v>0.3</v>
      </c>
      <c r="C5" s="31">
        <v>0</v>
      </c>
      <c r="D5" s="31">
        <v>0.3</v>
      </c>
      <c r="E5" s="31">
        <f>A5</f>
        <v>140</v>
      </c>
      <c r="F5" s="27"/>
      <c r="G5" s="27"/>
      <c r="H5" s="27"/>
      <c r="I5" s="28"/>
      <c r="K5" s="38">
        <v>1</v>
      </c>
      <c r="L5" s="39">
        <f ca="1">RAND()</f>
        <v>0.62081291199159105</v>
      </c>
      <c r="M5" s="39">
        <f ca="1">VLOOKUP(L5,$C$5:$E$9,3,TRUE)</f>
        <v>180</v>
      </c>
      <c r="N5" s="39">
        <f ca="1">RAND()</f>
        <v>0.66349491788900317</v>
      </c>
      <c r="O5" s="39">
        <f ca="1">RAND()</f>
        <v>0.76167744268389725</v>
      </c>
      <c r="P5" s="67">
        <f ca="1">$E$11+($E$12-$E$11)/2*(N5+O5)</f>
        <v>0.34251723605729001</v>
      </c>
      <c r="Q5" s="56">
        <f ca="1">M5+(M5*P5)</f>
        <v>241.65310249031219</v>
      </c>
      <c r="R5" s="56">
        <f ca="1">ROUNDUP(Q5,0)</f>
        <v>242</v>
      </c>
      <c r="S5" s="56">
        <f ca="1">MIN(R5,$M$1)</f>
        <v>125</v>
      </c>
      <c r="T5" s="39">
        <f ca="1">S5*$B$14</f>
        <v>687500</v>
      </c>
      <c r="U5" s="61">
        <f ca="1">($M$1-S5)*$B$15</f>
        <v>0</v>
      </c>
      <c r="V5" s="61">
        <f ca="1">IF(R5&gt;$M$1,(R5-$M$1)*1500,0)</f>
        <v>175500</v>
      </c>
      <c r="W5" s="62">
        <f ca="1">U5+T5-$M$2-V5</f>
        <v>12000</v>
      </c>
      <c r="AB5" s="66">
        <f ca="1">C21</f>
        <v>39315</v>
      </c>
      <c r="AC5" s="10">
        <v>80</v>
      </c>
      <c r="AD5" s="13">
        <v>90</v>
      </c>
      <c r="AE5" s="13">
        <v>100</v>
      </c>
      <c r="AF5" s="13">
        <v>110</v>
      </c>
      <c r="AG5" s="13">
        <v>120</v>
      </c>
      <c r="AH5" s="13">
        <v>130</v>
      </c>
      <c r="AI5" s="13">
        <v>140</v>
      </c>
      <c r="AJ5" s="13">
        <v>150</v>
      </c>
      <c r="AK5" s="13">
        <v>160</v>
      </c>
      <c r="AL5" s="13">
        <v>170</v>
      </c>
    </row>
    <row r="6" spans="1:38" ht="16.2" thickBot="1" x14ac:dyDescent="0.35">
      <c r="A6" s="31">
        <v>160</v>
      </c>
      <c r="B6" s="31">
        <v>0.2</v>
      </c>
      <c r="C6" s="31">
        <v>0.3</v>
      </c>
      <c r="D6" s="31">
        <v>0.5</v>
      </c>
      <c r="E6" s="31">
        <f t="shared" ref="E6:E9" si="0">A6</f>
        <v>160</v>
      </c>
      <c r="F6" s="27"/>
      <c r="G6" s="27"/>
      <c r="H6" s="27"/>
      <c r="I6" s="28"/>
      <c r="K6" s="40">
        <v>2</v>
      </c>
      <c r="L6" s="39">
        <f t="shared" ref="L6:L69" ca="1" si="1">RAND()</f>
        <v>0.81310224419456656</v>
      </c>
      <c r="M6" s="39">
        <f t="shared" ref="M6:M69" ca="1" si="2">VLOOKUP(L6,$C$5:$E$9,3,TRUE)</f>
        <v>200</v>
      </c>
      <c r="N6" s="39">
        <f t="shared" ref="N6:O69" ca="1" si="3">RAND()</f>
        <v>0.47237826490685153</v>
      </c>
      <c r="O6" s="39">
        <f t="shared" ca="1" si="3"/>
        <v>0.98446354759896626</v>
      </c>
      <c r="P6" s="67">
        <f t="shared" ref="P6:P69" ca="1" si="4">$E$11+($E$12-$E$11)/2*(N6+O6)</f>
        <v>0.34568418125058176</v>
      </c>
      <c r="Q6" s="56">
        <f t="shared" ref="Q6:Q69" ca="1" si="5">M6+(M6*P6)</f>
        <v>269.13683625011635</v>
      </c>
      <c r="R6" s="56">
        <f t="shared" ref="R6:R69" ca="1" si="6">ROUNDUP(Q6,0)</f>
        <v>270</v>
      </c>
      <c r="S6" s="56">
        <f t="shared" ref="S6:S69" ca="1" si="7">MIN(R6,$M$1)</f>
        <v>125</v>
      </c>
      <c r="T6" s="39">
        <f t="shared" ref="T6:T69" ca="1" si="8">S6*$B$14</f>
        <v>687500</v>
      </c>
      <c r="U6" s="61">
        <f t="shared" ref="U6:U69" ca="1" si="9">($M$1-S6)*$B$15</f>
        <v>0</v>
      </c>
      <c r="V6" s="61">
        <f t="shared" ref="V6:V69" ca="1" si="10">IF(R6&gt;$M$1,(R6-$M$1)*1500,0)</f>
        <v>217500</v>
      </c>
      <c r="W6" s="62">
        <f t="shared" ref="W6:W69" ca="1" si="11">U6+T6-$M$2-V6</f>
        <v>-30000</v>
      </c>
      <c r="AB6" s="11">
        <v>1</v>
      </c>
      <c r="AC6">
        <f t="dataTable" ref="AC6:AL105" dt2D="1" dtr="1" r1="M1" r2="Y8" ca="1"/>
        <v>-98407.5</v>
      </c>
      <c r="AD6">
        <v>-64987.5</v>
      </c>
      <c r="AE6">
        <v>-39495</v>
      </c>
      <c r="AF6">
        <v>-11460</v>
      </c>
      <c r="AG6">
        <v>25605</v>
      </c>
      <c r="AH6">
        <v>56700</v>
      </c>
      <c r="AI6">
        <v>81435</v>
      </c>
      <c r="AJ6">
        <v>115860</v>
      </c>
      <c r="AK6">
        <v>146610</v>
      </c>
      <c r="AL6">
        <v>168967.5</v>
      </c>
    </row>
    <row r="7" spans="1:38" ht="16.2" thickBot="1" x14ac:dyDescent="0.35">
      <c r="A7" s="31">
        <v>180</v>
      </c>
      <c r="B7" s="31">
        <v>0.15</v>
      </c>
      <c r="C7" s="31">
        <v>0.5</v>
      </c>
      <c r="D7" s="31">
        <v>0.65</v>
      </c>
      <c r="E7" s="31">
        <f t="shared" si="0"/>
        <v>180</v>
      </c>
      <c r="F7" s="27"/>
      <c r="G7" s="27"/>
      <c r="H7" s="27"/>
      <c r="I7" s="28"/>
      <c r="K7" s="40">
        <v>3</v>
      </c>
      <c r="L7" s="39">
        <f t="shared" ca="1" si="1"/>
        <v>0.91309915840587308</v>
      </c>
      <c r="M7" s="39">
        <f t="shared" ca="1" si="2"/>
        <v>220</v>
      </c>
      <c r="N7" s="39">
        <f t="shared" ca="1" si="3"/>
        <v>0.34468576619318392</v>
      </c>
      <c r="O7" s="39">
        <f t="shared" ca="1" si="3"/>
        <v>0.61327873433587743</v>
      </c>
      <c r="P7" s="67">
        <f t="shared" ca="1" si="4"/>
        <v>0.29579645005290617</v>
      </c>
      <c r="Q7" s="56">
        <f t="shared" ca="1" si="5"/>
        <v>285.07521901163938</v>
      </c>
      <c r="R7" s="56">
        <f t="shared" ca="1" si="6"/>
        <v>286</v>
      </c>
      <c r="S7" s="56">
        <f t="shared" ca="1" si="7"/>
        <v>125</v>
      </c>
      <c r="T7" s="39">
        <f t="shared" ca="1" si="8"/>
        <v>687500</v>
      </c>
      <c r="U7" s="61">
        <f t="shared" ca="1" si="9"/>
        <v>0</v>
      </c>
      <c r="V7" s="61">
        <f t="shared" ca="1" si="10"/>
        <v>241500</v>
      </c>
      <c r="W7" s="62">
        <f t="shared" ca="1" si="11"/>
        <v>-54000</v>
      </c>
      <c r="X7" s="14"/>
      <c r="AB7" s="11">
        <v>2</v>
      </c>
      <c r="AC7">
        <v>-98497.5</v>
      </c>
      <c r="AD7">
        <v>-71895</v>
      </c>
      <c r="AE7">
        <v>-36675</v>
      </c>
      <c r="AF7">
        <v>-5625</v>
      </c>
      <c r="AG7">
        <v>27885</v>
      </c>
      <c r="AH7">
        <v>58507.5</v>
      </c>
      <c r="AI7">
        <v>80527.5</v>
      </c>
      <c r="AJ7">
        <v>108900</v>
      </c>
      <c r="AK7">
        <v>138870</v>
      </c>
      <c r="AL7">
        <v>171562.5</v>
      </c>
    </row>
    <row r="8" spans="1:38" ht="16.2" thickBot="1" x14ac:dyDescent="0.35">
      <c r="A8" s="31">
        <v>200</v>
      </c>
      <c r="B8" s="31">
        <v>0.25</v>
      </c>
      <c r="C8" s="31">
        <v>0.65</v>
      </c>
      <c r="D8" s="31">
        <v>0.9</v>
      </c>
      <c r="E8" s="31">
        <f t="shared" si="0"/>
        <v>200</v>
      </c>
      <c r="F8" s="27"/>
      <c r="G8" s="27"/>
      <c r="H8" s="27"/>
      <c r="I8" s="28"/>
      <c r="K8" s="40">
        <v>4</v>
      </c>
      <c r="L8" s="39">
        <f t="shared" ca="1" si="1"/>
        <v>0.89011525651623546</v>
      </c>
      <c r="M8" s="39">
        <f t="shared" ca="1" si="2"/>
        <v>200</v>
      </c>
      <c r="N8" s="39">
        <f t="shared" ca="1" si="3"/>
        <v>0.43366069468072466</v>
      </c>
      <c r="O8" s="39">
        <f t="shared" ca="1" si="3"/>
        <v>0.88975410119951148</v>
      </c>
      <c r="P8" s="67">
        <f t="shared" ca="1" si="4"/>
        <v>0.33234147958802362</v>
      </c>
      <c r="Q8" s="56">
        <f t="shared" ca="1" si="5"/>
        <v>266.46829591760473</v>
      </c>
      <c r="R8" s="56">
        <f t="shared" ca="1" si="6"/>
        <v>267</v>
      </c>
      <c r="S8" s="56">
        <f t="shared" ca="1" si="7"/>
        <v>125</v>
      </c>
      <c r="T8" s="39">
        <f t="shared" ca="1" si="8"/>
        <v>687500</v>
      </c>
      <c r="U8" s="61">
        <f t="shared" ca="1" si="9"/>
        <v>0</v>
      </c>
      <c r="V8" s="61">
        <f t="shared" ca="1" si="10"/>
        <v>213000</v>
      </c>
      <c r="W8" s="62">
        <f t="shared" ca="1" si="11"/>
        <v>-25500</v>
      </c>
      <c r="X8" s="14"/>
      <c r="AB8" s="11">
        <v>3</v>
      </c>
      <c r="AC8">
        <v>-101940</v>
      </c>
      <c r="AD8">
        <v>-67492.5</v>
      </c>
      <c r="AE8">
        <v>-46455</v>
      </c>
      <c r="AF8">
        <v>-12337.5</v>
      </c>
      <c r="AG8">
        <v>22387.5</v>
      </c>
      <c r="AH8">
        <v>51060</v>
      </c>
      <c r="AI8">
        <v>92235</v>
      </c>
      <c r="AJ8">
        <v>112282.5</v>
      </c>
      <c r="AK8">
        <v>150210</v>
      </c>
      <c r="AL8">
        <v>170100</v>
      </c>
    </row>
    <row r="9" spans="1:38" ht="16.2" thickBot="1" x14ac:dyDescent="0.35">
      <c r="A9" s="31">
        <v>220</v>
      </c>
      <c r="B9" s="31">
        <v>0.1</v>
      </c>
      <c r="C9" s="31">
        <v>0.9</v>
      </c>
      <c r="D9" s="31">
        <v>1</v>
      </c>
      <c r="E9" s="31">
        <f t="shared" si="0"/>
        <v>220</v>
      </c>
      <c r="F9" s="27"/>
      <c r="G9" s="27"/>
      <c r="H9" s="27"/>
      <c r="I9" s="28"/>
      <c r="K9" s="40">
        <v>5</v>
      </c>
      <c r="L9" s="39">
        <f t="shared" ca="1" si="1"/>
        <v>3.0334160700432267E-2</v>
      </c>
      <c r="M9" s="39">
        <f t="shared" ca="1" si="2"/>
        <v>140</v>
      </c>
      <c r="N9" s="39">
        <f t="shared" ca="1" si="3"/>
        <v>0.87850061813333935</v>
      </c>
      <c r="O9" s="39">
        <f t="shared" ca="1" si="3"/>
        <v>0.88377379122640987</v>
      </c>
      <c r="P9" s="67">
        <f t="shared" ca="1" si="4"/>
        <v>0.37622744093597493</v>
      </c>
      <c r="Q9" s="56">
        <f t="shared" ca="1" si="5"/>
        <v>192.67184173103649</v>
      </c>
      <c r="R9" s="56">
        <f t="shared" ca="1" si="6"/>
        <v>193</v>
      </c>
      <c r="S9" s="56">
        <f t="shared" ca="1" si="7"/>
        <v>125</v>
      </c>
      <c r="T9" s="39">
        <f t="shared" ca="1" si="8"/>
        <v>687500</v>
      </c>
      <c r="U9" s="61">
        <f t="shared" ca="1" si="9"/>
        <v>0</v>
      </c>
      <c r="V9" s="61">
        <f t="shared" ca="1" si="10"/>
        <v>102000</v>
      </c>
      <c r="W9" s="62">
        <f t="shared" ca="1" si="11"/>
        <v>85500</v>
      </c>
      <c r="X9" s="14"/>
      <c r="AB9" s="11">
        <v>4</v>
      </c>
      <c r="AC9">
        <v>-95107.5</v>
      </c>
      <c r="AD9">
        <v>-75645</v>
      </c>
      <c r="AE9">
        <v>-39487.5</v>
      </c>
      <c r="AF9">
        <v>-5677.5</v>
      </c>
      <c r="AG9">
        <v>18075</v>
      </c>
      <c r="AH9">
        <v>53370</v>
      </c>
      <c r="AI9">
        <v>73387.5</v>
      </c>
      <c r="AJ9">
        <v>109717.5</v>
      </c>
      <c r="AK9">
        <v>145560</v>
      </c>
      <c r="AL9">
        <v>166125</v>
      </c>
    </row>
    <row r="10" spans="1:38" x14ac:dyDescent="0.3">
      <c r="A10" s="27"/>
      <c r="B10" s="27"/>
      <c r="C10" s="27"/>
      <c r="D10" s="27"/>
      <c r="E10" s="27"/>
      <c r="F10" s="27"/>
      <c r="G10" s="27"/>
      <c r="H10" s="27"/>
      <c r="I10" s="28"/>
      <c r="K10" s="40">
        <v>6</v>
      </c>
      <c r="L10" s="39">
        <f t="shared" ca="1" si="1"/>
        <v>0.36187695359867988</v>
      </c>
      <c r="M10" s="39">
        <f t="shared" ca="1" si="2"/>
        <v>160</v>
      </c>
      <c r="N10" s="39">
        <f t="shared" ca="1" si="3"/>
        <v>0.47260678912376808</v>
      </c>
      <c r="O10" s="39">
        <f t="shared" ca="1" si="3"/>
        <v>0.11568243200769257</v>
      </c>
      <c r="P10" s="67">
        <f t="shared" ca="1" si="4"/>
        <v>0.25882892211314606</v>
      </c>
      <c r="Q10" s="56">
        <f t="shared" ca="1" si="5"/>
        <v>201.41262753810338</v>
      </c>
      <c r="R10" s="56">
        <f t="shared" ca="1" si="6"/>
        <v>202</v>
      </c>
      <c r="S10" s="56">
        <f t="shared" ca="1" si="7"/>
        <v>125</v>
      </c>
      <c r="T10" s="39">
        <f t="shared" ca="1" si="8"/>
        <v>687500</v>
      </c>
      <c r="U10" s="61">
        <f t="shared" ca="1" si="9"/>
        <v>0</v>
      </c>
      <c r="V10" s="61">
        <f t="shared" ca="1" si="10"/>
        <v>115500</v>
      </c>
      <c r="W10" s="62">
        <f t="shared" ca="1" si="11"/>
        <v>72000</v>
      </c>
      <c r="X10" s="14"/>
      <c r="AB10" s="11">
        <v>5</v>
      </c>
      <c r="AC10">
        <v>-93540</v>
      </c>
      <c r="AD10">
        <v>-69960</v>
      </c>
      <c r="AE10">
        <v>-39787.5</v>
      </c>
      <c r="AF10">
        <v>-8212.5</v>
      </c>
      <c r="AG10">
        <v>16132.5</v>
      </c>
      <c r="AH10">
        <v>50400</v>
      </c>
      <c r="AI10">
        <v>81637.5</v>
      </c>
      <c r="AJ10">
        <v>111367.5</v>
      </c>
      <c r="AK10">
        <v>143932.5</v>
      </c>
      <c r="AL10">
        <v>172100</v>
      </c>
    </row>
    <row r="11" spans="1:38" x14ac:dyDescent="0.3">
      <c r="A11" s="54" t="s">
        <v>37</v>
      </c>
      <c r="B11" s="54" t="s">
        <v>47</v>
      </c>
      <c r="C11" s="29"/>
      <c r="D11" s="32" t="s">
        <v>2</v>
      </c>
      <c r="E11" s="33">
        <v>0.2</v>
      </c>
      <c r="F11" s="29" t="s">
        <v>8</v>
      </c>
      <c r="G11" s="27"/>
      <c r="H11" s="29"/>
      <c r="I11" s="29"/>
      <c r="K11" s="40">
        <v>7</v>
      </c>
      <c r="L11" s="39">
        <f t="shared" ca="1" si="1"/>
        <v>0.23002241138266211</v>
      </c>
      <c r="M11" s="39">
        <f t="shared" ca="1" si="2"/>
        <v>140</v>
      </c>
      <c r="N11" s="39">
        <f t="shared" ca="1" si="3"/>
        <v>0.28363689635408906</v>
      </c>
      <c r="O11" s="39">
        <f t="shared" ca="1" si="3"/>
        <v>0.63238257346293847</v>
      </c>
      <c r="P11" s="67">
        <f t="shared" ca="1" si="4"/>
        <v>0.29160194698170278</v>
      </c>
      <c r="Q11" s="56">
        <f t="shared" ca="1" si="5"/>
        <v>180.82427257743839</v>
      </c>
      <c r="R11" s="56">
        <f t="shared" ca="1" si="6"/>
        <v>181</v>
      </c>
      <c r="S11" s="56">
        <f t="shared" ca="1" si="7"/>
        <v>125</v>
      </c>
      <c r="T11" s="39">
        <f t="shared" ca="1" si="8"/>
        <v>687500</v>
      </c>
      <c r="U11" s="61">
        <f t="shared" ca="1" si="9"/>
        <v>0</v>
      </c>
      <c r="V11" s="61">
        <f t="shared" ca="1" si="10"/>
        <v>84000</v>
      </c>
      <c r="W11" s="62">
        <f t="shared" ca="1" si="11"/>
        <v>103500</v>
      </c>
      <c r="X11" s="14"/>
      <c r="AB11" s="11">
        <v>6</v>
      </c>
      <c r="AC11">
        <v>-101392.5</v>
      </c>
      <c r="AD11">
        <v>-63127.5</v>
      </c>
      <c r="AE11">
        <v>-37665</v>
      </c>
      <c r="AF11">
        <v>-14317.5</v>
      </c>
      <c r="AG11">
        <v>21817.5</v>
      </c>
      <c r="AH11">
        <v>56265</v>
      </c>
      <c r="AI11">
        <v>89970</v>
      </c>
      <c r="AJ11">
        <v>112537.5</v>
      </c>
      <c r="AK11">
        <v>138705</v>
      </c>
      <c r="AL11">
        <v>169957.5</v>
      </c>
    </row>
    <row r="12" spans="1:38" x14ac:dyDescent="0.3">
      <c r="A12" s="29"/>
      <c r="B12" s="29"/>
      <c r="C12" s="29"/>
      <c r="D12" s="32" t="s">
        <v>3</v>
      </c>
      <c r="E12" s="33">
        <v>0.4</v>
      </c>
      <c r="F12" s="29"/>
      <c r="G12" s="29"/>
      <c r="H12" s="29"/>
      <c r="I12" s="29"/>
      <c r="K12" s="40">
        <v>8</v>
      </c>
      <c r="L12" s="39">
        <f t="shared" ca="1" si="1"/>
        <v>0.23400511258957657</v>
      </c>
      <c r="M12" s="39">
        <f t="shared" ca="1" si="2"/>
        <v>140</v>
      </c>
      <c r="N12" s="39">
        <f t="shared" ca="1" si="3"/>
        <v>0.7670106298636169</v>
      </c>
      <c r="O12" s="39">
        <f t="shared" ca="1" si="3"/>
        <v>0.59679784893324217</v>
      </c>
      <c r="P12" s="67">
        <f t="shared" ca="1" si="4"/>
        <v>0.33638084787968592</v>
      </c>
      <c r="Q12" s="56">
        <f t="shared" ca="1" si="5"/>
        <v>187.09331870315603</v>
      </c>
      <c r="R12" s="56">
        <f t="shared" ca="1" si="6"/>
        <v>188</v>
      </c>
      <c r="S12" s="56">
        <f t="shared" ca="1" si="7"/>
        <v>125</v>
      </c>
      <c r="T12" s="39">
        <f t="shared" ca="1" si="8"/>
        <v>687500</v>
      </c>
      <c r="U12" s="61">
        <f t="shared" ca="1" si="9"/>
        <v>0</v>
      </c>
      <c r="V12" s="61">
        <f t="shared" ca="1" si="10"/>
        <v>94500</v>
      </c>
      <c r="W12" s="62">
        <f t="shared" ca="1" si="11"/>
        <v>93000</v>
      </c>
      <c r="X12" s="14"/>
      <c r="AB12" s="11">
        <v>7</v>
      </c>
      <c r="AC12">
        <v>-99240</v>
      </c>
      <c r="AD12">
        <v>-69007.5</v>
      </c>
      <c r="AE12">
        <v>-33150</v>
      </c>
      <c r="AF12">
        <v>-8407.5</v>
      </c>
      <c r="AG12">
        <v>28537.5</v>
      </c>
      <c r="AH12">
        <v>52155</v>
      </c>
      <c r="AI12">
        <v>82477.5</v>
      </c>
      <c r="AJ12">
        <v>106110</v>
      </c>
      <c r="AK12">
        <v>143632.5</v>
      </c>
      <c r="AL12">
        <v>176437.5</v>
      </c>
    </row>
    <row r="13" spans="1:38" x14ac:dyDescent="0.3">
      <c r="A13" s="29" t="s">
        <v>9</v>
      </c>
      <c r="B13" s="29">
        <v>4000</v>
      </c>
      <c r="C13" s="29" t="s">
        <v>1</v>
      </c>
      <c r="D13" s="27"/>
      <c r="E13" s="27"/>
      <c r="F13" s="29"/>
      <c r="G13" s="29"/>
      <c r="H13" s="29"/>
      <c r="I13" s="29"/>
      <c r="K13" s="40">
        <v>9</v>
      </c>
      <c r="L13" s="39">
        <f t="shared" ca="1" si="1"/>
        <v>0.60065019500641337</v>
      </c>
      <c r="M13" s="39">
        <f t="shared" ca="1" si="2"/>
        <v>180</v>
      </c>
      <c r="N13" s="39">
        <f t="shared" ca="1" si="3"/>
        <v>0.99339534862060086</v>
      </c>
      <c r="O13" s="39">
        <f t="shared" ca="1" si="3"/>
        <v>0.89166720614143335</v>
      </c>
      <c r="P13" s="67">
        <f t="shared" ca="1" si="4"/>
        <v>0.38850625547620343</v>
      </c>
      <c r="Q13" s="56">
        <f t="shared" ca="1" si="5"/>
        <v>249.93112598571662</v>
      </c>
      <c r="R13" s="56">
        <f t="shared" ca="1" si="6"/>
        <v>250</v>
      </c>
      <c r="S13" s="56">
        <f t="shared" ca="1" si="7"/>
        <v>125</v>
      </c>
      <c r="T13" s="39">
        <f t="shared" ca="1" si="8"/>
        <v>687500</v>
      </c>
      <c r="U13" s="61">
        <f t="shared" ca="1" si="9"/>
        <v>0</v>
      </c>
      <c r="V13" s="61">
        <f t="shared" ca="1" si="10"/>
        <v>187500</v>
      </c>
      <c r="W13" s="62">
        <f t="shared" ca="1" si="11"/>
        <v>0</v>
      </c>
      <c r="X13" s="14"/>
      <c r="AB13" s="11">
        <v>8</v>
      </c>
      <c r="AC13">
        <v>-94072.5</v>
      </c>
      <c r="AD13">
        <v>-64222.5</v>
      </c>
      <c r="AE13">
        <v>-42172.5</v>
      </c>
      <c r="AF13">
        <v>-11707.5</v>
      </c>
      <c r="AG13">
        <v>25147.5</v>
      </c>
      <c r="AH13">
        <v>52687.5</v>
      </c>
      <c r="AI13">
        <v>78285</v>
      </c>
      <c r="AJ13">
        <v>111952.5</v>
      </c>
      <c r="AK13">
        <v>134925</v>
      </c>
      <c r="AL13">
        <v>167610</v>
      </c>
    </row>
    <row r="14" spans="1:38" x14ac:dyDescent="0.3">
      <c r="A14" s="29" t="s">
        <v>10</v>
      </c>
      <c r="B14" s="29">
        <v>5500</v>
      </c>
      <c r="C14" s="29" t="s">
        <v>1</v>
      </c>
      <c r="D14" s="27"/>
      <c r="E14" s="27"/>
      <c r="F14" s="27"/>
      <c r="G14" s="27"/>
      <c r="H14" s="27"/>
      <c r="I14" s="28"/>
      <c r="K14" s="40">
        <v>10</v>
      </c>
      <c r="L14" s="39">
        <f t="shared" ca="1" si="1"/>
        <v>0.15037119880489414</v>
      </c>
      <c r="M14" s="39">
        <f t="shared" ca="1" si="2"/>
        <v>140</v>
      </c>
      <c r="N14" s="39">
        <f t="shared" ca="1" si="3"/>
        <v>0.63530828832927788</v>
      </c>
      <c r="O14" s="39">
        <f t="shared" ca="1" si="3"/>
        <v>0.7951039331149794</v>
      </c>
      <c r="P14" s="67">
        <f t="shared" ca="1" si="4"/>
        <v>0.34304122214442573</v>
      </c>
      <c r="Q14" s="56">
        <f t="shared" ca="1" si="5"/>
        <v>188.0257711002196</v>
      </c>
      <c r="R14" s="56">
        <f t="shared" ca="1" si="6"/>
        <v>189</v>
      </c>
      <c r="S14" s="56">
        <f t="shared" ca="1" si="7"/>
        <v>125</v>
      </c>
      <c r="T14" s="39">
        <f t="shared" ca="1" si="8"/>
        <v>687500</v>
      </c>
      <c r="U14" s="61">
        <f t="shared" ca="1" si="9"/>
        <v>0</v>
      </c>
      <c r="V14" s="61">
        <f t="shared" ca="1" si="10"/>
        <v>96000</v>
      </c>
      <c r="W14" s="62">
        <f t="shared" ca="1" si="11"/>
        <v>91500</v>
      </c>
      <c r="X14" s="14"/>
      <c r="AB14" s="11">
        <v>9</v>
      </c>
      <c r="AC14">
        <v>-103912.5</v>
      </c>
      <c r="AD14">
        <v>-75210</v>
      </c>
      <c r="AE14">
        <v>-29655</v>
      </c>
      <c r="AF14">
        <v>-7245</v>
      </c>
      <c r="AG14">
        <v>20557.5</v>
      </c>
      <c r="AH14">
        <v>49965</v>
      </c>
      <c r="AI14">
        <v>87600</v>
      </c>
      <c r="AJ14">
        <v>112417.5</v>
      </c>
      <c r="AK14">
        <v>139702.5</v>
      </c>
      <c r="AL14">
        <v>167295</v>
      </c>
    </row>
    <row r="15" spans="1:38" x14ac:dyDescent="0.3">
      <c r="A15" s="29" t="s">
        <v>11</v>
      </c>
      <c r="B15" s="29">
        <v>2000</v>
      </c>
      <c r="C15" s="29" t="s">
        <v>1</v>
      </c>
      <c r="D15" s="29" t="s">
        <v>34</v>
      </c>
      <c r="E15" s="29"/>
      <c r="F15" s="27"/>
      <c r="G15" s="27"/>
      <c r="H15" s="27"/>
      <c r="I15" s="28"/>
      <c r="K15" s="40">
        <v>11</v>
      </c>
      <c r="L15" s="39">
        <f t="shared" ca="1" si="1"/>
        <v>0.10451333750627645</v>
      </c>
      <c r="M15" s="39">
        <f t="shared" ca="1" si="2"/>
        <v>140</v>
      </c>
      <c r="N15" s="39">
        <f t="shared" ca="1" si="3"/>
        <v>0.14706815197122669</v>
      </c>
      <c r="O15" s="39">
        <f t="shared" ca="1" si="3"/>
        <v>0.15614986521155005</v>
      </c>
      <c r="P15" s="67">
        <f t="shared" ca="1" si="4"/>
        <v>0.23032180171827768</v>
      </c>
      <c r="Q15" s="56">
        <f t="shared" ca="1" si="5"/>
        <v>172.24505224055889</v>
      </c>
      <c r="R15" s="56">
        <f t="shared" ca="1" si="6"/>
        <v>173</v>
      </c>
      <c r="S15" s="56">
        <f t="shared" ca="1" si="7"/>
        <v>125</v>
      </c>
      <c r="T15" s="39">
        <f t="shared" ca="1" si="8"/>
        <v>687500</v>
      </c>
      <c r="U15" s="61">
        <f t="shared" ca="1" si="9"/>
        <v>0</v>
      </c>
      <c r="V15" s="61">
        <f t="shared" ca="1" si="10"/>
        <v>72000</v>
      </c>
      <c r="W15" s="62">
        <f t="shared" ca="1" si="11"/>
        <v>115500</v>
      </c>
      <c r="X15" s="14"/>
      <c r="AB15" s="11">
        <v>10</v>
      </c>
      <c r="AC15">
        <v>-105945</v>
      </c>
      <c r="AD15">
        <v>-67792.5</v>
      </c>
      <c r="AE15">
        <v>-36487.5</v>
      </c>
      <c r="AF15">
        <v>-13912.5</v>
      </c>
      <c r="AG15">
        <v>21952.5</v>
      </c>
      <c r="AH15">
        <v>51082.5</v>
      </c>
      <c r="AI15">
        <v>79297.5</v>
      </c>
      <c r="AJ15">
        <v>117420</v>
      </c>
      <c r="AK15">
        <v>139680</v>
      </c>
      <c r="AL15">
        <v>164032.5</v>
      </c>
    </row>
    <row r="16" spans="1:38" x14ac:dyDescent="0.3">
      <c r="A16" s="7"/>
      <c r="B16" s="7"/>
      <c r="C16" s="7"/>
      <c r="D16" s="7"/>
      <c r="E16" s="7"/>
      <c r="F16" s="7"/>
      <c r="G16" s="7"/>
      <c r="H16" s="7"/>
      <c r="K16" s="40">
        <v>12</v>
      </c>
      <c r="L16" s="39">
        <f t="shared" ca="1" si="1"/>
        <v>0.80368659280081289</v>
      </c>
      <c r="M16" s="39">
        <f t="shared" ca="1" si="2"/>
        <v>200</v>
      </c>
      <c r="N16" s="39">
        <f t="shared" ca="1" si="3"/>
        <v>0.64367922624655294</v>
      </c>
      <c r="O16" s="39">
        <f t="shared" ca="1" si="3"/>
        <v>0.60688485169047002</v>
      </c>
      <c r="P16" s="67">
        <f t="shared" ca="1" si="4"/>
        <v>0.32505640779370226</v>
      </c>
      <c r="Q16" s="56">
        <f t="shared" ca="1" si="5"/>
        <v>265.01128155874045</v>
      </c>
      <c r="R16" s="56">
        <f t="shared" ca="1" si="6"/>
        <v>266</v>
      </c>
      <c r="S16" s="56">
        <f t="shared" ca="1" si="7"/>
        <v>125</v>
      </c>
      <c r="T16" s="39">
        <f t="shared" ca="1" si="8"/>
        <v>687500</v>
      </c>
      <c r="U16" s="61">
        <f t="shared" ca="1" si="9"/>
        <v>0</v>
      </c>
      <c r="V16" s="61">
        <f t="shared" ca="1" si="10"/>
        <v>211500</v>
      </c>
      <c r="W16" s="62">
        <f t="shared" ca="1" si="11"/>
        <v>-24000</v>
      </c>
      <c r="X16" s="14"/>
      <c r="AB16" s="11">
        <v>11</v>
      </c>
      <c r="AC16">
        <v>-96945</v>
      </c>
      <c r="AD16">
        <v>-61987.5</v>
      </c>
      <c r="AE16">
        <v>-43177.5</v>
      </c>
      <c r="AF16">
        <v>-4845</v>
      </c>
      <c r="AG16">
        <v>21555</v>
      </c>
      <c r="AH16">
        <v>55072.5</v>
      </c>
      <c r="AI16">
        <v>76552.5</v>
      </c>
      <c r="AJ16">
        <v>118102.5</v>
      </c>
      <c r="AK16">
        <v>141082.5</v>
      </c>
      <c r="AL16">
        <v>170580</v>
      </c>
    </row>
    <row r="17" spans="1:38" x14ac:dyDescent="0.3">
      <c r="A17" s="7"/>
      <c r="B17" s="7"/>
      <c r="C17" s="7"/>
      <c r="D17" s="1"/>
      <c r="E17" s="2"/>
      <c r="F17" s="7"/>
      <c r="G17" s="7"/>
      <c r="H17" s="7"/>
      <c r="K17" s="40">
        <v>13</v>
      </c>
      <c r="L17" s="39">
        <f t="shared" ca="1" si="1"/>
        <v>0.91567287765112748</v>
      </c>
      <c r="M17" s="39">
        <f t="shared" ca="1" si="2"/>
        <v>220</v>
      </c>
      <c r="N17" s="39">
        <f t="shared" ca="1" si="3"/>
        <v>0.87080949155965703</v>
      </c>
      <c r="O17" s="39">
        <f t="shared" ca="1" si="3"/>
        <v>0.10840463537373723</v>
      </c>
      <c r="P17" s="67">
        <f t="shared" ca="1" si="4"/>
        <v>0.29792141269333944</v>
      </c>
      <c r="Q17" s="56">
        <f t="shared" ca="1" si="5"/>
        <v>285.54271079253465</v>
      </c>
      <c r="R17" s="56">
        <f t="shared" ca="1" si="6"/>
        <v>286</v>
      </c>
      <c r="S17" s="56">
        <f t="shared" ca="1" si="7"/>
        <v>125</v>
      </c>
      <c r="T17" s="39">
        <f t="shared" ca="1" si="8"/>
        <v>687500</v>
      </c>
      <c r="U17" s="61">
        <f t="shared" ca="1" si="9"/>
        <v>0</v>
      </c>
      <c r="V17" s="61">
        <f t="shared" ca="1" si="10"/>
        <v>241500</v>
      </c>
      <c r="W17" s="62">
        <f t="shared" ca="1" si="11"/>
        <v>-54000</v>
      </c>
      <c r="X17" s="14"/>
      <c r="AB17" s="11">
        <v>12</v>
      </c>
      <c r="AC17">
        <v>-99345</v>
      </c>
      <c r="AD17">
        <v>-63247.5</v>
      </c>
      <c r="AE17">
        <v>-40290</v>
      </c>
      <c r="AF17">
        <v>-14692.5</v>
      </c>
      <c r="AG17">
        <v>18727.5</v>
      </c>
      <c r="AH17">
        <v>49657.5</v>
      </c>
      <c r="AI17">
        <v>83632.5</v>
      </c>
      <c r="AJ17">
        <v>114840</v>
      </c>
      <c r="AK17">
        <v>140580</v>
      </c>
      <c r="AL17">
        <v>171360</v>
      </c>
    </row>
    <row r="18" spans="1:38" ht="21" x14ac:dyDescent="0.4">
      <c r="A18" s="48" t="s">
        <v>35</v>
      </c>
      <c r="B18" s="49"/>
      <c r="C18" s="49"/>
      <c r="D18" s="49"/>
      <c r="E18" s="50"/>
      <c r="F18" s="51">
        <f>M1</f>
        <v>125</v>
      </c>
      <c r="G18" s="7"/>
      <c r="H18" s="7"/>
      <c r="K18" s="40">
        <v>14</v>
      </c>
      <c r="L18" s="39">
        <f t="shared" ca="1" si="1"/>
        <v>0.61312004157054656</v>
      </c>
      <c r="M18" s="39">
        <f t="shared" ca="1" si="2"/>
        <v>180</v>
      </c>
      <c r="N18" s="39">
        <f t="shared" ca="1" si="3"/>
        <v>6.9736983702367694E-2</v>
      </c>
      <c r="O18" s="39">
        <f t="shared" ca="1" si="3"/>
        <v>0.916047582730386</v>
      </c>
      <c r="P18" s="67">
        <f t="shared" ca="1" si="4"/>
        <v>0.29857845664327537</v>
      </c>
      <c r="Q18" s="56">
        <f t="shared" ca="1" si="5"/>
        <v>233.74412219578957</v>
      </c>
      <c r="R18" s="56">
        <f t="shared" ca="1" si="6"/>
        <v>234</v>
      </c>
      <c r="S18" s="56">
        <f t="shared" ca="1" si="7"/>
        <v>125</v>
      </c>
      <c r="T18" s="39">
        <f t="shared" ca="1" si="8"/>
        <v>687500</v>
      </c>
      <c r="U18" s="61">
        <f t="shared" ca="1" si="9"/>
        <v>0</v>
      </c>
      <c r="V18" s="61">
        <f t="shared" ca="1" si="10"/>
        <v>163500</v>
      </c>
      <c r="W18" s="62">
        <f t="shared" ca="1" si="11"/>
        <v>24000</v>
      </c>
      <c r="X18" s="14"/>
      <c r="AB18" s="11">
        <v>13</v>
      </c>
      <c r="AC18">
        <v>-97912.5</v>
      </c>
      <c r="AD18">
        <v>-67612.5</v>
      </c>
      <c r="AE18">
        <v>-45030</v>
      </c>
      <c r="AF18">
        <v>-5302.5</v>
      </c>
      <c r="AG18">
        <v>17527.5</v>
      </c>
      <c r="AH18">
        <v>59040</v>
      </c>
      <c r="AI18">
        <v>84930</v>
      </c>
      <c r="AJ18">
        <v>106695</v>
      </c>
      <c r="AK18">
        <v>143272.5</v>
      </c>
      <c r="AL18">
        <v>163260</v>
      </c>
    </row>
    <row r="19" spans="1:38" x14ac:dyDescent="0.3">
      <c r="A19" s="43"/>
      <c r="B19" s="43"/>
      <c r="C19" s="43"/>
      <c r="D19" s="43"/>
      <c r="E19" s="7"/>
      <c r="F19" s="7"/>
      <c r="G19" s="7"/>
      <c r="H19" s="7"/>
      <c r="K19" s="40">
        <v>15</v>
      </c>
      <c r="L19" s="39">
        <f t="shared" ca="1" si="1"/>
        <v>0.14990945788405041</v>
      </c>
      <c r="M19" s="39">
        <f t="shared" ca="1" si="2"/>
        <v>140</v>
      </c>
      <c r="N19" s="39">
        <f t="shared" ca="1" si="3"/>
        <v>0.67035094028459286</v>
      </c>
      <c r="O19" s="39">
        <f t="shared" ca="1" si="3"/>
        <v>0.98076939305956345</v>
      </c>
      <c r="P19" s="67">
        <f t="shared" ca="1" si="4"/>
        <v>0.36511203333441566</v>
      </c>
      <c r="Q19" s="56">
        <f t="shared" ca="1" si="5"/>
        <v>191.1156846668182</v>
      </c>
      <c r="R19" s="56">
        <f t="shared" ca="1" si="6"/>
        <v>192</v>
      </c>
      <c r="S19" s="56">
        <f t="shared" ca="1" si="7"/>
        <v>125</v>
      </c>
      <c r="T19" s="39">
        <f t="shared" ca="1" si="8"/>
        <v>687500</v>
      </c>
      <c r="U19" s="61">
        <f t="shared" ca="1" si="9"/>
        <v>0</v>
      </c>
      <c r="V19" s="61">
        <f t="shared" ca="1" si="10"/>
        <v>100500</v>
      </c>
      <c r="W19" s="62">
        <f t="shared" ca="1" si="11"/>
        <v>87000</v>
      </c>
      <c r="X19" s="14"/>
      <c r="AB19" s="11">
        <v>14</v>
      </c>
      <c r="AC19">
        <v>-93510</v>
      </c>
      <c r="AD19">
        <v>-70042.5</v>
      </c>
      <c r="AE19">
        <v>-41242.5</v>
      </c>
      <c r="AF19">
        <v>-6435</v>
      </c>
      <c r="AG19">
        <v>28125</v>
      </c>
      <c r="AH19">
        <v>58245</v>
      </c>
      <c r="AI19">
        <v>83295</v>
      </c>
      <c r="AJ19">
        <v>112335</v>
      </c>
      <c r="AK19">
        <v>135607.5</v>
      </c>
      <c r="AL19">
        <v>174645</v>
      </c>
    </row>
    <row r="20" spans="1:38" x14ac:dyDescent="0.3">
      <c r="A20" s="81" t="s">
        <v>12</v>
      </c>
      <c r="B20" s="82"/>
      <c r="C20" s="44">
        <v>200</v>
      </c>
      <c r="E20" s="7"/>
      <c r="F20" s="7"/>
      <c r="G20" s="7"/>
      <c r="H20" s="7"/>
      <c r="K20" s="40">
        <v>16</v>
      </c>
      <c r="L20" s="39">
        <f t="shared" ca="1" si="1"/>
        <v>0.83861043996605322</v>
      </c>
      <c r="M20" s="39">
        <f t="shared" ca="1" si="2"/>
        <v>200</v>
      </c>
      <c r="N20" s="39">
        <f t="shared" ca="1" si="3"/>
        <v>2.8974159554553514E-2</v>
      </c>
      <c r="O20" s="39">
        <f t="shared" ca="1" si="3"/>
        <v>0.46761637618691232</v>
      </c>
      <c r="P20" s="67">
        <f t="shared" ca="1" si="4"/>
        <v>0.24965905357414658</v>
      </c>
      <c r="Q20" s="56">
        <f t="shared" ca="1" si="5"/>
        <v>249.93181071482931</v>
      </c>
      <c r="R20" s="56">
        <f t="shared" ca="1" si="6"/>
        <v>250</v>
      </c>
      <c r="S20" s="56">
        <f t="shared" ca="1" si="7"/>
        <v>125</v>
      </c>
      <c r="T20" s="39">
        <f t="shared" ca="1" si="8"/>
        <v>687500</v>
      </c>
      <c r="U20" s="61">
        <f t="shared" ca="1" si="9"/>
        <v>0</v>
      </c>
      <c r="V20" s="61">
        <f t="shared" ca="1" si="10"/>
        <v>187500</v>
      </c>
      <c r="W20" s="62">
        <f t="shared" ca="1" si="11"/>
        <v>0</v>
      </c>
      <c r="X20" s="14"/>
      <c r="AB20" s="11">
        <v>15</v>
      </c>
      <c r="AC20">
        <v>-97567.5</v>
      </c>
      <c r="AD20">
        <v>-71385</v>
      </c>
      <c r="AE20">
        <v>-32497.5</v>
      </c>
      <c r="AF20">
        <v>-7230</v>
      </c>
      <c r="AG20">
        <v>21270</v>
      </c>
      <c r="AH20">
        <v>50137.5</v>
      </c>
      <c r="AI20">
        <v>82282.5</v>
      </c>
      <c r="AJ20">
        <v>110520</v>
      </c>
      <c r="AK20">
        <v>138750</v>
      </c>
      <c r="AL20">
        <v>172545</v>
      </c>
    </row>
    <row r="21" spans="1:38" x14ac:dyDescent="0.3">
      <c r="A21" s="81" t="s">
        <v>13</v>
      </c>
      <c r="B21" s="82"/>
      <c r="C21" s="63">
        <f ca="1">AVERAGE(W5:W204)</f>
        <v>39315</v>
      </c>
      <c r="E21" s="7"/>
      <c r="F21" s="7"/>
      <c r="G21" s="7"/>
      <c r="H21" s="7"/>
      <c r="I21" s="4"/>
      <c r="K21" s="40">
        <v>17</v>
      </c>
      <c r="L21" s="39">
        <f t="shared" ca="1" si="1"/>
        <v>3.7701648267145504E-3</v>
      </c>
      <c r="M21" s="39">
        <f t="shared" ca="1" si="2"/>
        <v>140</v>
      </c>
      <c r="N21" s="39">
        <f t="shared" ca="1" si="3"/>
        <v>0.94093886899277457</v>
      </c>
      <c r="O21" s="39">
        <f t="shared" ca="1" si="3"/>
        <v>0.89125127478244648</v>
      </c>
      <c r="P21" s="67">
        <f t="shared" ca="1" si="4"/>
        <v>0.38321901437752215</v>
      </c>
      <c r="Q21" s="56">
        <f t="shared" ca="1" si="5"/>
        <v>193.6506620128531</v>
      </c>
      <c r="R21" s="56">
        <f t="shared" ca="1" si="6"/>
        <v>194</v>
      </c>
      <c r="S21" s="56">
        <f t="shared" ca="1" si="7"/>
        <v>125</v>
      </c>
      <c r="T21" s="39">
        <f t="shared" ca="1" si="8"/>
        <v>687500</v>
      </c>
      <c r="U21" s="61">
        <f t="shared" ca="1" si="9"/>
        <v>0</v>
      </c>
      <c r="V21" s="61">
        <f t="shared" ca="1" si="10"/>
        <v>103500</v>
      </c>
      <c r="W21" s="62">
        <f t="shared" ca="1" si="11"/>
        <v>84000</v>
      </c>
      <c r="X21" s="14"/>
      <c r="AB21" s="11">
        <v>16</v>
      </c>
      <c r="AC21">
        <v>-96007.5</v>
      </c>
      <c r="AD21">
        <v>-65985</v>
      </c>
      <c r="AE21">
        <v>-35467.5</v>
      </c>
      <c r="AF21">
        <v>-10312.5</v>
      </c>
      <c r="AG21">
        <v>16335</v>
      </c>
      <c r="AH21">
        <v>55597.5</v>
      </c>
      <c r="AI21">
        <v>78570</v>
      </c>
      <c r="AJ21">
        <v>115642.5</v>
      </c>
      <c r="AK21">
        <v>139050</v>
      </c>
      <c r="AL21">
        <v>171105</v>
      </c>
    </row>
    <row r="22" spans="1:38" x14ac:dyDescent="0.3">
      <c r="A22" s="45" t="s">
        <v>14</v>
      </c>
      <c r="B22" s="46" t="s">
        <v>49</v>
      </c>
      <c r="C22" s="65">
        <f ca="1">((COUNTIF(W5:W204,"&gt;100000"))/200)*100%</f>
        <v>0.17499999999999999</v>
      </c>
      <c r="G22" s="3"/>
      <c r="H22" s="3"/>
      <c r="I22" s="3"/>
      <c r="K22" s="40">
        <v>18</v>
      </c>
      <c r="L22" s="39">
        <f t="shared" ca="1" si="1"/>
        <v>7.3406605757873278E-2</v>
      </c>
      <c r="M22" s="39">
        <f t="shared" ca="1" si="2"/>
        <v>140</v>
      </c>
      <c r="N22" s="39">
        <f t="shared" ca="1" si="3"/>
        <v>0.24929932955146716</v>
      </c>
      <c r="O22" s="39">
        <f t="shared" ca="1" si="3"/>
        <v>0.89772531361479979</v>
      </c>
      <c r="P22" s="67">
        <f t="shared" ca="1" si="4"/>
        <v>0.31470246431662674</v>
      </c>
      <c r="Q22" s="56">
        <f t="shared" ca="1" si="5"/>
        <v>184.05834500432775</v>
      </c>
      <c r="R22" s="56">
        <f t="shared" ca="1" si="6"/>
        <v>185</v>
      </c>
      <c r="S22" s="56">
        <f t="shared" ca="1" si="7"/>
        <v>125</v>
      </c>
      <c r="T22" s="39">
        <f t="shared" ca="1" si="8"/>
        <v>687500</v>
      </c>
      <c r="U22" s="61">
        <f t="shared" ca="1" si="9"/>
        <v>0</v>
      </c>
      <c r="V22" s="61">
        <f t="shared" ca="1" si="10"/>
        <v>90000</v>
      </c>
      <c r="W22" s="62">
        <f t="shared" ca="1" si="11"/>
        <v>97500</v>
      </c>
      <c r="X22" s="14"/>
      <c r="AB22" s="11">
        <v>17</v>
      </c>
      <c r="AC22">
        <v>-101640</v>
      </c>
      <c r="AD22">
        <v>-68655</v>
      </c>
      <c r="AE22">
        <v>-34815</v>
      </c>
      <c r="AF22">
        <v>-7342.5</v>
      </c>
      <c r="AG22">
        <v>27285</v>
      </c>
      <c r="AH22">
        <v>49245</v>
      </c>
      <c r="AI22">
        <v>79890</v>
      </c>
      <c r="AJ22">
        <v>117232.5</v>
      </c>
      <c r="AK22">
        <v>138442.5</v>
      </c>
      <c r="AL22">
        <v>171155</v>
      </c>
    </row>
    <row r="23" spans="1:38" x14ac:dyDescent="0.3">
      <c r="A23" s="81" t="s">
        <v>15</v>
      </c>
      <c r="B23" s="82"/>
      <c r="C23" s="47">
        <f ca="1">_xlfn.STDEV.S(W5:W204)</f>
        <v>57739.370881130526</v>
      </c>
      <c r="G23" s="3"/>
      <c r="H23" s="3"/>
      <c r="I23" s="3"/>
      <c r="K23" s="40">
        <v>19</v>
      </c>
      <c r="L23" s="39">
        <f t="shared" ca="1" si="1"/>
        <v>0.65675180647226872</v>
      </c>
      <c r="M23" s="39">
        <f t="shared" ca="1" si="2"/>
        <v>200</v>
      </c>
      <c r="N23" s="39">
        <f t="shared" ca="1" si="3"/>
        <v>0.90662623573058643</v>
      </c>
      <c r="O23" s="39">
        <f t="shared" ca="1" si="3"/>
        <v>0.3951876163380873</v>
      </c>
      <c r="P23" s="67">
        <f t="shared" ca="1" si="4"/>
        <v>0.33018138520686735</v>
      </c>
      <c r="Q23" s="56">
        <f t="shared" ca="1" si="5"/>
        <v>266.03627704137347</v>
      </c>
      <c r="R23" s="56">
        <f t="shared" ca="1" si="6"/>
        <v>267</v>
      </c>
      <c r="S23" s="56">
        <f t="shared" ca="1" si="7"/>
        <v>125</v>
      </c>
      <c r="T23" s="39">
        <f t="shared" ca="1" si="8"/>
        <v>687500</v>
      </c>
      <c r="U23" s="61">
        <f t="shared" ca="1" si="9"/>
        <v>0</v>
      </c>
      <c r="V23" s="61">
        <f t="shared" ca="1" si="10"/>
        <v>213000</v>
      </c>
      <c r="W23" s="62">
        <f t="shared" ca="1" si="11"/>
        <v>-25500</v>
      </c>
      <c r="X23" s="14"/>
      <c r="AB23" s="11">
        <v>18</v>
      </c>
      <c r="AC23">
        <v>-105247.5</v>
      </c>
      <c r="AD23">
        <v>-67425</v>
      </c>
      <c r="AE23">
        <v>-43500</v>
      </c>
      <c r="AF23">
        <v>-9975</v>
      </c>
      <c r="AG23">
        <v>19672.5</v>
      </c>
      <c r="AH23">
        <v>57645</v>
      </c>
      <c r="AI23">
        <v>80362.5</v>
      </c>
      <c r="AJ23">
        <v>112762.5</v>
      </c>
      <c r="AK23">
        <v>138022.5</v>
      </c>
      <c r="AL23">
        <v>168585</v>
      </c>
    </row>
    <row r="24" spans="1:38" x14ac:dyDescent="0.3">
      <c r="A24" s="81" t="s">
        <v>16</v>
      </c>
      <c r="B24" s="82"/>
      <c r="C24" s="64">
        <f ca="1">MIN(W5:W204)</f>
        <v>-73500</v>
      </c>
      <c r="G24" s="3"/>
      <c r="H24" s="3"/>
      <c r="I24" s="3"/>
      <c r="K24" s="40">
        <v>20</v>
      </c>
      <c r="L24" s="39">
        <f t="shared" ca="1" si="1"/>
        <v>0.60035821583401416</v>
      </c>
      <c r="M24" s="39">
        <f t="shared" ca="1" si="2"/>
        <v>180</v>
      </c>
      <c r="N24" s="39">
        <f t="shared" ca="1" si="3"/>
        <v>0.87616789837212272</v>
      </c>
      <c r="O24" s="39">
        <f t="shared" ca="1" si="3"/>
        <v>0.85512927413199435</v>
      </c>
      <c r="P24" s="67">
        <f t="shared" ca="1" si="4"/>
        <v>0.37312971725041172</v>
      </c>
      <c r="Q24" s="56">
        <f t="shared" ca="1" si="5"/>
        <v>247.1633491050741</v>
      </c>
      <c r="R24" s="56">
        <f t="shared" ca="1" si="6"/>
        <v>248</v>
      </c>
      <c r="S24" s="56">
        <f t="shared" ca="1" si="7"/>
        <v>125</v>
      </c>
      <c r="T24" s="39">
        <f t="shared" ca="1" si="8"/>
        <v>687500</v>
      </c>
      <c r="U24" s="61">
        <f t="shared" ca="1" si="9"/>
        <v>0</v>
      </c>
      <c r="V24" s="61">
        <f t="shared" ca="1" si="10"/>
        <v>184500</v>
      </c>
      <c r="W24" s="62">
        <f t="shared" ca="1" si="11"/>
        <v>3000</v>
      </c>
      <c r="X24" s="14"/>
      <c r="AB24" s="11">
        <v>19</v>
      </c>
      <c r="AC24">
        <v>-92775</v>
      </c>
      <c r="AD24">
        <v>-70230</v>
      </c>
      <c r="AE24">
        <v>-41167.5</v>
      </c>
      <c r="AF24">
        <v>-4470</v>
      </c>
      <c r="AG24">
        <v>19507.5</v>
      </c>
      <c r="AH24">
        <v>54892.5</v>
      </c>
      <c r="AI24">
        <v>89227.5</v>
      </c>
      <c r="AJ24">
        <v>105502.5</v>
      </c>
      <c r="AK24">
        <v>141427.5</v>
      </c>
      <c r="AL24">
        <v>171405</v>
      </c>
    </row>
    <row r="25" spans="1:38" x14ac:dyDescent="0.3">
      <c r="A25" s="81" t="s">
        <v>17</v>
      </c>
      <c r="B25" s="82"/>
      <c r="C25" s="64">
        <f ca="1">MAX(W5:W204)</f>
        <v>120000</v>
      </c>
      <c r="G25" s="3"/>
      <c r="H25" s="3"/>
      <c r="I25" s="3"/>
      <c r="K25" s="40">
        <v>21</v>
      </c>
      <c r="L25" s="39">
        <f t="shared" ca="1" si="1"/>
        <v>0.12616046769742906</v>
      </c>
      <c r="M25" s="39">
        <f t="shared" ca="1" si="2"/>
        <v>140</v>
      </c>
      <c r="N25" s="39">
        <f t="shared" ca="1" si="3"/>
        <v>0.73013857355298328</v>
      </c>
      <c r="O25" s="39">
        <f t="shared" ca="1" si="3"/>
        <v>0.37871909556406236</v>
      </c>
      <c r="P25" s="67">
        <f t="shared" ca="1" si="4"/>
        <v>0.31088576691170461</v>
      </c>
      <c r="Q25" s="56">
        <f t="shared" ca="1" si="5"/>
        <v>183.52400736763866</v>
      </c>
      <c r="R25" s="56">
        <f t="shared" ca="1" si="6"/>
        <v>184</v>
      </c>
      <c r="S25" s="56">
        <f t="shared" ca="1" si="7"/>
        <v>125</v>
      </c>
      <c r="T25" s="39">
        <f t="shared" ca="1" si="8"/>
        <v>687500</v>
      </c>
      <c r="U25" s="61">
        <f t="shared" ca="1" si="9"/>
        <v>0</v>
      </c>
      <c r="V25" s="61">
        <f t="shared" ca="1" si="10"/>
        <v>88500</v>
      </c>
      <c r="W25" s="62">
        <f t="shared" ca="1" si="11"/>
        <v>99000</v>
      </c>
      <c r="X25" s="14"/>
      <c r="AB25" s="11">
        <v>20</v>
      </c>
      <c r="AC25">
        <v>-98745</v>
      </c>
      <c r="AD25">
        <v>-74280</v>
      </c>
      <c r="AE25">
        <v>-40590</v>
      </c>
      <c r="AF25">
        <v>-877.5</v>
      </c>
      <c r="AG25">
        <v>24037.5</v>
      </c>
      <c r="AH25">
        <v>51652.5</v>
      </c>
      <c r="AI25">
        <v>88657.5</v>
      </c>
      <c r="AJ25">
        <v>113520</v>
      </c>
      <c r="AK25">
        <v>139245</v>
      </c>
      <c r="AL25">
        <v>172785</v>
      </c>
    </row>
    <row r="26" spans="1:38" x14ac:dyDescent="0.3">
      <c r="A26" s="81" t="s">
        <v>18</v>
      </c>
      <c r="B26" s="82"/>
      <c r="C26" s="47">
        <f ca="1">_xlfn.CONFIDENCE.T(0.05,C23,200)</f>
        <v>8051.0845956649346</v>
      </c>
      <c r="G26" s="3"/>
      <c r="H26" s="3"/>
      <c r="I26" s="3"/>
      <c r="K26" s="40">
        <v>22</v>
      </c>
      <c r="L26" s="39">
        <f t="shared" ca="1" si="1"/>
        <v>0.80687267775614546</v>
      </c>
      <c r="M26" s="39">
        <f t="shared" ca="1" si="2"/>
        <v>200</v>
      </c>
      <c r="N26" s="39">
        <f t="shared" ca="1" si="3"/>
        <v>0.77199573838833013</v>
      </c>
      <c r="O26" s="39">
        <f t="shared" ca="1" si="3"/>
        <v>0.85523187379986709</v>
      </c>
      <c r="P26" s="67">
        <f t="shared" ca="1" si="4"/>
        <v>0.36272276121881974</v>
      </c>
      <c r="Q26" s="56">
        <f t="shared" ca="1" si="5"/>
        <v>272.54455224376397</v>
      </c>
      <c r="R26" s="56">
        <f t="shared" ca="1" si="6"/>
        <v>273</v>
      </c>
      <c r="S26" s="56">
        <f t="shared" ca="1" si="7"/>
        <v>125</v>
      </c>
      <c r="T26" s="39">
        <f t="shared" ca="1" si="8"/>
        <v>687500</v>
      </c>
      <c r="U26" s="61">
        <f t="shared" ca="1" si="9"/>
        <v>0</v>
      </c>
      <c r="V26" s="61">
        <f t="shared" ca="1" si="10"/>
        <v>222000</v>
      </c>
      <c r="W26" s="62">
        <f t="shared" ca="1" si="11"/>
        <v>-34500</v>
      </c>
      <c r="X26" s="14"/>
      <c r="AB26" s="11">
        <v>21</v>
      </c>
      <c r="AC26">
        <v>-94005</v>
      </c>
      <c r="AD26">
        <v>-67515</v>
      </c>
      <c r="AE26">
        <v>-42285</v>
      </c>
      <c r="AF26">
        <v>-6810</v>
      </c>
      <c r="AG26">
        <v>18930</v>
      </c>
      <c r="AH26">
        <v>53250</v>
      </c>
      <c r="AI26">
        <v>87442.5</v>
      </c>
      <c r="AJ26">
        <v>106462.5</v>
      </c>
      <c r="AK26">
        <v>141802.5</v>
      </c>
      <c r="AL26">
        <v>176925</v>
      </c>
    </row>
    <row r="27" spans="1:38" x14ac:dyDescent="0.3">
      <c r="A27" s="81" t="s">
        <v>19</v>
      </c>
      <c r="B27" s="82"/>
      <c r="C27" s="64">
        <f ca="1">C21-C26</f>
        <v>31263.915404335065</v>
      </c>
      <c r="K27" s="40">
        <v>23</v>
      </c>
      <c r="L27" s="39">
        <f t="shared" ca="1" si="1"/>
        <v>0.93477044863810321</v>
      </c>
      <c r="M27" s="39">
        <f t="shared" ca="1" si="2"/>
        <v>220</v>
      </c>
      <c r="N27" s="39">
        <f t="shared" ca="1" si="3"/>
        <v>0.31014039257151393</v>
      </c>
      <c r="O27" s="39">
        <f t="shared" ca="1" si="3"/>
        <v>0.62762404491094048</v>
      </c>
      <c r="P27" s="67">
        <f t="shared" ca="1" si="4"/>
        <v>0.29377644374824546</v>
      </c>
      <c r="Q27" s="56">
        <f t="shared" ca="1" si="5"/>
        <v>284.630817624614</v>
      </c>
      <c r="R27" s="56">
        <f t="shared" ca="1" si="6"/>
        <v>285</v>
      </c>
      <c r="S27" s="56">
        <f t="shared" ca="1" si="7"/>
        <v>125</v>
      </c>
      <c r="T27" s="39">
        <f t="shared" ca="1" si="8"/>
        <v>687500</v>
      </c>
      <c r="U27" s="61">
        <f t="shared" ca="1" si="9"/>
        <v>0</v>
      </c>
      <c r="V27" s="61">
        <f t="shared" ca="1" si="10"/>
        <v>240000</v>
      </c>
      <c r="W27" s="62">
        <f t="shared" ca="1" si="11"/>
        <v>-52500</v>
      </c>
      <c r="X27" s="14"/>
      <c r="AB27" s="11">
        <v>22</v>
      </c>
      <c r="AC27">
        <v>-100792.5</v>
      </c>
      <c r="AD27">
        <v>-72375</v>
      </c>
      <c r="AE27">
        <v>-40680</v>
      </c>
      <c r="AF27">
        <v>-13327.5</v>
      </c>
      <c r="AG27">
        <v>22507.5</v>
      </c>
      <c r="AH27">
        <v>51645</v>
      </c>
      <c r="AI27">
        <v>82830</v>
      </c>
      <c r="AJ27">
        <v>111187.5</v>
      </c>
      <c r="AK27">
        <v>139140</v>
      </c>
      <c r="AL27">
        <v>179707.5</v>
      </c>
    </row>
    <row r="28" spans="1:38" x14ac:dyDescent="0.3">
      <c r="A28" s="45" t="s">
        <v>20</v>
      </c>
      <c r="B28" s="46"/>
      <c r="C28" s="64">
        <f ca="1">C21+C26</f>
        <v>47366.084595664935</v>
      </c>
      <c r="K28" s="40">
        <v>24</v>
      </c>
      <c r="L28" s="39">
        <f t="shared" ca="1" si="1"/>
        <v>9.0175202201244975E-2</v>
      </c>
      <c r="M28" s="39">
        <f t="shared" ca="1" si="2"/>
        <v>140</v>
      </c>
      <c r="N28" s="39">
        <f t="shared" ca="1" si="3"/>
        <v>0.22452987070350006</v>
      </c>
      <c r="O28" s="39">
        <f t="shared" ca="1" si="3"/>
        <v>0.36902200672283658</v>
      </c>
      <c r="P28" s="67">
        <f t="shared" ca="1" si="4"/>
        <v>0.25935518774263366</v>
      </c>
      <c r="Q28" s="56">
        <f t="shared" ca="1" si="5"/>
        <v>176.3097262839687</v>
      </c>
      <c r="R28" s="56">
        <f t="shared" ca="1" si="6"/>
        <v>177</v>
      </c>
      <c r="S28" s="56">
        <f t="shared" ca="1" si="7"/>
        <v>125</v>
      </c>
      <c r="T28" s="39">
        <f t="shared" ca="1" si="8"/>
        <v>687500</v>
      </c>
      <c r="U28" s="61">
        <f t="shared" ca="1" si="9"/>
        <v>0</v>
      </c>
      <c r="V28" s="61">
        <f t="shared" ca="1" si="10"/>
        <v>78000</v>
      </c>
      <c r="W28" s="62">
        <f t="shared" ca="1" si="11"/>
        <v>109500</v>
      </c>
      <c r="X28" s="14"/>
      <c r="AB28" s="11">
        <v>23</v>
      </c>
      <c r="AC28">
        <v>-88140</v>
      </c>
      <c r="AD28">
        <v>-69052.5</v>
      </c>
      <c r="AE28">
        <v>-36030</v>
      </c>
      <c r="AF28">
        <v>-6442.5</v>
      </c>
      <c r="AG28">
        <v>26070</v>
      </c>
      <c r="AH28">
        <v>48082.5</v>
      </c>
      <c r="AI28">
        <v>81210</v>
      </c>
      <c r="AJ28">
        <v>116265</v>
      </c>
      <c r="AK28">
        <v>139192.5</v>
      </c>
      <c r="AL28">
        <v>177960</v>
      </c>
    </row>
    <row r="29" spans="1:38" x14ac:dyDescent="0.3">
      <c r="K29" s="40">
        <v>25</v>
      </c>
      <c r="L29" s="39">
        <f t="shared" ca="1" si="1"/>
        <v>0.28501204942465297</v>
      </c>
      <c r="M29" s="39">
        <f t="shared" ca="1" si="2"/>
        <v>140</v>
      </c>
      <c r="N29" s="39">
        <f t="shared" ca="1" si="3"/>
        <v>0.45361820039620759</v>
      </c>
      <c r="O29" s="39">
        <f t="shared" ca="1" si="3"/>
        <v>2.2442572305717556E-2</v>
      </c>
      <c r="P29" s="67">
        <f t="shared" ca="1" si="4"/>
        <v>0.24760607727019252</v>
      </c>
      <c r="Q29" s="56">
        <f t="shared" ca="1" si="5"/>
        <v>174.66485081782696</v>
      </c>
      <c r="R29" s="56">
        <f t="shared" ca="1" si="6"/>
        <v>175</v>
      </c>
      <c r="S29" s="56">
        <f t="shared" ca="1" si="7"/>
        <v>125</v>
      </c>
      <c r="T29" s="39">
        <f t="shared" ca="1" si="8"/>
        <v>687500</v>
      </c>
      <c r="U29" s="61">
        <f t="shared" ca="1" si="9"/>
        <v>0</v>
      </c>
      <c r="V29" s="61">
        <f t="shared" ca="1" si="10"/>
        <v>75000</v>
      </c>
      <c r="W29" s="62">
        <f t="shared" ca="1" si="11"/>
        <v>112500</v>
      </c>
      <c r="X29" s="14"/>
      <c r="AB29" s="11">
        <v>24</v>
      </c>
      <c r="AC29">
        <v>-98355</v>
      </c>
      <c r="AD29">
        <v>-65017.5</v>
      </c>
      <c r="AE29">
        <v>-32362.5</v>
      </c>
      <c r="AF29">
        <v>-7350</v>
      </c>
      <c r="AG29">
        <v>26932.5</v>
      </c>
      <c r="AH29">
        <v>47970</v>
      </c>
      <c r="AI29">
        <v>84945</v>
      </c>
      <c r="AJ29">
        <v>113520</v>
      </c>
      <c r="AK29">
        <v>143460</v>
      </c>
      <c r="AL29">
        <v>171950</v>
      </c>
    </row>
    <row r="30" spans="1:38" x14ac:dyDescent="0.3">
      <c r="K30" s="40">
        <v>26</v>
      </c>
      <c r="L30" s="39">
        <f t="shared" ca="1" si="1"/>
        <v>0.10471289161082986</v>
      </c>
      <c r="M30" s="39">
        <f t="shared" ca="1" si="2"/>
        <v>140</v>
      </c>
      <c r="N30" s="39">
        <f t="shared" ca="1" si="3"/>
        <v>9.5776429680228259E-2</v>
      </c>
      <c r="O30" s="39">
        <f t="shared" ca="1" si="3"/>
        <v>0.54828366147263607</v>
      </c>
      <c r="P30" s="67">
        <f t="shared" ca="1" si="4"/>
        <v>0.26440600911528644</v>
      </c>
      <c r="Q30" s="56">
        <f t="shared" ca="1" si="5"/>
        <v>177.0168412761401</v>
      </c>
      <c r="R30" s="56">
        <f t="shared" ca="1" si="6"/>
        <v>178</v>
      </c>
      <c r="S30" s="56">
        <f t="shared" ca="1" si="7"/>
        <v>125</v>
      </c>
      <c r="T30" s="39">
        <f t="shared" ca="1" si="8"/>
        <v>687500</v>
      </c>
      <c r="U30" s="61">
        <f t="shared" ca="1" si="9"/>
        <v>0</v>
      </c>
      <c r="V30" s="61">
        <f t="shared" ca="1" si="10"/>
        <v>79500</v>
      </c>
      <c r="W30" s="62">
        <f t="shared" ca="1" si="11"/>
        <v>108000</v>
      </c>
      <c r="X30" s="14"/>
      <c r="AB30" s="11">
        <v>25</v>
      </c>
      <c r="AC30">
        <v>-102547.5</v>
      </c>
      <c r="AD30">
        <v>-66615</v>
      </c>
      <c r="AE30">
        <v>-44107.5</v>
      </c>
      <c r="AF30">
        <v>-6225</v>
      </c>
      <c r="AG30">
        <v>24990</v>
      </c>
      <c r="AH30">
        <v>51457.5</v>
      </c>
      <c r="AI30">
        <v>83625</v>
      </c>
      <c r="AJ30">
        <v>111052.5</v>
      </c>
      <c r="AK30">
        <v>144712.5</v>
      </c>
      <c r="AL30">
        <v>169035</v>
      </c>
    </row>
    <row r="31" spans="1:38" x14ac:dyDescent="0.3">
      <c r="K31" s="40">
        <v>27</v>
      </c>
      <c r="L31" s="39">
        <f t="shared" ca="1" si="1"/>
        <v>0.30348071030963408</v>
      </c>
      <c r="M31" s="39">
        <f t="shared" ca="1" si="2"/>
        <v>160</v>
      </c>
      <c r="N31" s="39">
        <f t="shared" ca="1" si="3"/>
        <v>1.0345212097153778E-2</v>
      </c>
      <c r="O31" s="39">
        <f t="shared" ca="1" si="3"/>
        <v>0.42728908744190242</v>
      </c>
      <c r="P31" s="67">
        <f t="shared" ca="1" si="4"/>
        <v>0.24376342995390562</v>
      </c>
      <c r="Q31" s="56">
        <f t="shared" ca="1" si="5"/>
        <v>199.00214879262489</v>
      </c>
      <c r="R31" s="56">
        <f t="shared" ca="1" si="6"/>
        <v>200</v>
      </c>
      <c r="S31" s="56">
        <f t="shared" ca="1" si="7"/>
        <v>125</v>
      </c>
      <c r="T31" s="39">
        <f t="shared" ca="1" si="8"/>
        <v>687500</v>
      </c>
      <c r="U31" s="61">
        <f t="shared" ca="1" si="9"/>
        <v>0</v>
      </c>
      <c r="V31" s="61">
        <f t="shared" ca="1" si="10"/>
        <v>112500</v>
      </c>
      <c r="W31" s="62">
        <f t="shared" ca="1" si="11"/>
        <v>75000</v>
      </c>
      <c r="X31" s="14"/>
      <c r="AB31" s="11">
        <v>26</v>
      </c>
      <c r="AC31">
        <v>-103455</v>
      </c>
      <c r="AD31">
        <v>-69772.5</v>
      </c>
      <c r="AE31">
        <v>-37275</v>
      </c>
      <c r="AF31">
        <v>-3412.5</v>
      </c>
      <c r="AG31">
        <v>18480</v>
      </c>
      <c r="AH31">
        <v>55822.5</v>
      </c>
      <c r="AI31">
        <v>80197.5</v>
      </c>
      <c r="AJ31">
        <v>112057.5</v>
      </c>
      <c r="AK31">
        <v>137332.5</v>
      </c>
      <c r="AL31">
        <v>167382.5</v>
      </c>
    </row>
    <row r="32" spans="1:38" x14ac:dyDescent="0.3">
      <c r="K32" s="40">
        <v>28</v>
      </c>
      <c r="L32" s="39">
        <f t="shared" ca="1" si="1"/>
        <v>0.96030802762238976</v>
      </c>
      <c r="M32" s="39">
        <f t="shared" ca="1" si="2"/>
        <v>220</v>
      </c>
      <c r="N32" s="39">
        <f t="shared" ca="1" si="3"/>
        <v>0.86630692296826661</v>
      </c>
      <c r="O32" s="39">
        <f t="shared" ca="1" si="3"/>
        <v>6.9525187224940499E-2</v>
      </c>
      <c r="P32" s="67">
        <f t="shared" ca="1" si="4"/>
        <v>0.29358321101932072</v>
      </c>
      <c r="Q32" s="56">
        <f t="shared" ca="1" si="5"/>
        <v>284.58830642425056</v>
      </c>
      <c r="R32" s="56">
        <f t="shared" ca="1" si="6"/>
        <v>285</v>
      </c>
      <c r="S32" s="56">
        <f t="shared" ca="1" si="7"/>
        <v>125</v>
      </c>
      <c r="T32" s="39">
        <f t="shared" ca="1" si="8"/>
        <v>687500</v>
      </c>
      <c r="U32" s="61">
        <f t="shared" ca="1" si="9"/>
        <v>0</v>
      </c>
      <c r="V32" s="61">
        <f t="shared" ca="1" si="10"/>
        <v>240000</v>
      </c>
      <c r="W32" s="62">
        <f t="shared" ca="1" si="11"/>
        <v>-52500</v>
      </c>
      <c r="X32" s="14"/>
      <c r="AB32" s="11">
        <v>27</v>
      </c>
      <c r="AC32">
        <v>-98092.5</v>
      </c>
      <c r="AD32">
        <v>-65655</v>
      </c>
      <c r="AE32">
        <v>-35842.5</v>
      </c>
      <c r="AF32">
        <v>-2482.5</v>
      </c>
      <c r="AG32">
        <v>21300</v>
      </c>
      <c r="AH32">
        <v>47947.5</v>
      </c>
      <c r="AI32">
        <v>82905</v>
      </c>
      <c r="AJ32">
        <v>105990</v>
      </c>
      <c r="AK32">
        <v>139425</v>
      </c>
      <c r="AL32">
        <v>172425</v>
      </c>
    </row>
    <row r="33" spans="11:38" x14ac:dyDescent="0.3">
      <c r="K33" s="40">
        <v>29</v>
      </c>
      <c r="L33" s="39">
        <f t="shared" ca="1" si="1"/>
        <v>0.74760112090307407</v>
      </c>
      <c r="M33" s="39">
        <f t="shared" ca="1" si="2"/>
        <v>200</v>
      </c>
      <c r="N33" s="39">
        <f t="shared" ca="1" si="3"/>
        <v>0.941478751736327</v>
      </c>
      <c r="O33" s="39">
        <f t="shared" ca="1" si="3"/>
        <v>0.57542006155741443</v>
      </c>
      <c r="P33" s="67">
        <f t="shared" ca="1" si="4"/>
        <v>0.35168988132937418</v>
      </c>
      <c r="Q33" s="56">
        <f t="shared" ca="1" si="5"/>
        <v>270.33797626587483</v>
      </c>
      <c r="R33" s="56">
        <f t="shared" ca="1" si="6"/>
        <v>271</v>
      </c>
      <c r="S33" s="56">
        <f t="shared" ca="1" si="7"/>
        <v>125</v>
      </c>
      <c r="T33" s="39">
        <f t="shared" ca="1" si="8"/>
        <v>687500</v>
      </c>
      <c r="U33" s="61">
        <f t="shared" ca="1" si="9"/>
        <v>0</v>
      </c>
      <c r="V33" s="61">
        <f t="shared" ca="1" si="10"/>
        <v>219000</v>
      </c>
      <c r="W33" s="62">
        <f t="shared" ca="1" si="11"/>
        <v>-31500</v>
      </c>
      <c r="X33" s="14"/>
      <c r="AB33" s="11">
        <v>28</v>
      </c>
      <c r="AC33">
        <v>-103815</v>
      </c>
      <c r="AD33">
        <v>-69712.5</v>
      </c>
      <c r="AE33">
        <v>-42742.5</v>
      </c>
      <c r="AF33">
        <v>-7665</v>
      </c>
      <c r="AG33">
        <v>23865</v>
      </c>
      <c r="AH33">
        <v>49822.5</v>
      </c>
      <c r="AI33">
        <v>77647.5</v>
      </c>
      <c r="AJ33">
        <v>112687.5</v>
      </c>
      <c r="AK33">
        <v>137685</v>
      </c>
      <c r="AL33">
        <v>164527.5</v>
      </c>
    </row>
    <row r="34" spans="11:38" x14ac:dyDescent="0.3">
      <c r="K34" s="40">
        <v>30</v>
      </c>
      <c r="L34" s="39">
        <f t="shared" ca="1" si="1"/>
        <v>0.33629598442585773</v>
      </c>
      <c r="M34" s="39">
        <f t="shared" ca="1" si="2"/>
        <v>160</v>
      </c>
      <c r="N34" s="39">
        <f t="shared" ca="1" si="3"/>
        <v>0.41943635864905138</v>
      </c>
      <c r="O34" s="39">
        <f t="shared" ca="1" si="3"/>
        <v>0.89947517758644979</v>
      </c>
      <c r="P34" s="67">
        <f t="shared" ca="1" si="4"/>
        <v>0.33189115362355015</v>
      </c>
      <c r="Q34" s="56">
        <f t="shared" ca="1" si="5"/>
        <v>213.10258457976801</v>
      </c>
      <c r="R34" s="56">
        <f t="shared" ca="1" si="6"/>
        <v>214</v>
      </c>
      <c r="S34" s="56">
        <f t="shared" ca="1" si="7"/>
        <v>125</v>
      </c>
      <c r="T34" s="39">
        <f t="shared" ca="1" si="8"/>
        <v>687500</v>
      </c>
      <c r="U34" s="61">
        <f t="shared" ca="1" si="9"/>
        <v>0</v>
      </c>
      <c r="V34" s="61">
        <f t="shared" ca="1" si="10"/>
        <v>133500</v>
      </c>
      <c r="W34" s="62">
        <f t="shared" ca="1" si="11"/>
        <v>54000</v>
      </c>
      <c r="X34" s="14"/>
      <c r="AB34" s="11">
        <v>29</v>
      </c>
      <c r="AC34">
        <v>-92542.5</v>
      </c>
      <c r="AD34">
        <v>-65505</v>
      </c>
      <c r="AE34">
        <v>-33112.5</v>
      </c>
      <c r="AF34">
        <v>-6652.5</v>
      </c>
      <c r="AG34">
        <v>23535</v>
      </c>
      <c r="AH34">
        <v>56797.5</v>
      </c>
      <c r="AI34">
        <v>78795</v>
      </c>
      <c r="AJ34">
        <v>112897.5</v>
      </c>
      <c r="AK34">
        <v>146325</v>
      </c>
      <c r="AL34">
        <v>169662.5</v>
      </c>
    </row>
    <row r="35" spans="11:38" x14ac:dyDescent="0.3">
      <c r="K35" s="40">
        <v>31</v>
      </c>
      <c r="L35" s="39">
        <f t="shared" ca="1" si="1"/>
        <v>0.83708656661273961</v>
      </c>
      <c r="M35" s="39">
        <f t="shared" ca="1" si="2"/>
        <v>200</v>
      </c>
      <c r="N35" s="39">
        <f t="shared" ca="1" si="3"/>
        <v>0.10384467215470305</v>
      </c>
      <c r="O35" s="39">
        <f t="shared" ca="1" si="3"/>
        <v>0.43170190611929149</v>
      </c>
      <c r="P35" s="67">
        <f t="shared" ca="1" si="4"/>
        <v>0.2535546578273995</v>
      </c>
      <c r="Q35" s="56">
        <f t="shared" ca="1" si="5"/>
        <v>250.71093156547988</v>
      </c>
      <c r="R35" s="56">
        <f t="shared" ca="1" si="6"/>
        <v>251</v>
      </c>
      <c r="S35" s="56">
        <f t="shared" ca="1" si="7"/>
        <v>125</v>
      </c>
      <c r="T35" s="39">
        <f t="shared" ca="1" si="8"/>
        <v>687500</v>
      </c>
      <c r="U35" s="61">
        <f t="shared" ca="1" si="9"/>
        <v>0</v>
      </c>
      <c r="V35" s="61">
        <f t="shared" ca="1" si="10"/>
        <v>189000</v>
      </c>
      <c r="W35" s="62">
        <f t="shared" ca="1" si="11"/>
        <v>-1500</v>
      </c>
      <c r="X35" s="14"/>
      <c r="AB35" s="11">
        <v>30</v>
      </c>
      <c r="AC35">
        <v>-91155</v>
      </c>
      <c r="AD35">
        <v>-67882.5</v>
      </c>
      <c r="AE35">
        <v>-33727.5</v>
      </c>
      <c r="AF35">
        <v>-5370</v>
      </c>
      <c r="AG35">
        <v>23445</v>
      </c>
      <c r="AH35">
        <v>50445</v>
      </c>
      <c r="AI35">
        <v>81960</v>
      </c>
      <c r="AJ35">
        <v>115050</v>
      </c>
      <c r="AK35">
        <v>136800</v>
      </c>
      <c r="AL35">
        <v>174487.5</v>
      </c>
    </row>
    <row r="36" spans="11:38" x14ac:dyDescent="0.3">
      <c r="K36" s="40">
        <v>32</v>
      </c>
      <c r="L36" s="39">
        <f t="shared" ca="1" si="1"/>
        <v>3.0095866971975083E-2</v>
      </c>
      <c r="M36" s="39">
        <f t="shared" ca="1" si="2"/>
        <v>140</v>
      </c>
      <c r="N36" s="39">
        <f t="shared" ca="1" si="3"/>
        <v>0.32191680611592999</v>
      </c>
      <c r="O36" s="39">
        <f t="shared" ca="1" si="3"/>
        <v>0.82200984485194417</v>
      </c>
      <c r="P36" s="67">
        <f t="shared" ca="1" si="4"/>
        <v>0.31439266509678743</v>
      </c>
      <c r="Q36" s="56">
        <f t="shared" ca="1" si="5"/>
        <v>184.01497311355024</v>
      </c>
      <c r="R36" s="56">
        <f t="shared" ca="1" si="6"/>
        <v>185</v>
      </c>
      <c r="S36" s="56">
        <f t="shared" ca="1" si="7"/>
        <v>125</v>
      </c>
      <c r="T36" s="39">
        <f t="shared" ca="1" si="8"/>
        <v>687500</v>
      </c>
      <c r="U36" s="61">
        <f t="shared" ca="1" si="9"/>
        <v>0</v>
      </c>
      <c r="V36" s="61">
        <f t="shared" ca="1" si="10"/>
        <v>90000</v>
      </c>
      <c r="W36" s="62">
        <f t="shared" ca="1" si="11"/>
        <v>97500</v>
      </c>
      <c r="X36" s="14"/>
      <c r="AB36" s="11">
        <v>31</v>
      </c>
      <c r="AC36">
        <v>-95767.5</v>
      </c>
      <c r="AD36">
        <v>-61537.5</v>
      </c>
      <c r="AE36">
        <v>-42405</v>
      </c>
      <c r="AF36">
        <v>-2925</v>
      </c>
      <c r="AG36">
        <v>20017.5</v>
      </c>
      <c r="AH36">
        <v>59677.5</v>
      </c>
      <c r="AI36">
        <v>79230</v>
      </c>
      <c r="AJ36">
        <v>111945</v>
      </c>
      <c r="AK36">
        <v>132742.5</v>
      </c>
      <c r="AL36">
        <v>168165</v>
      </c>
    </row>
    <row r="37" spans="11:38" x14ac:dyDescent="0.3">
      <c r="K37" s="40">
        <v>33</v>
      </c>
      <c r="L37" s="39">
        <f t="shared" ca="1" si="1"/>
        <v>1.6034120263441975E-2</v>
      </c>
      <c r="M37" s="39">
        <f t="shared" ca="1" si="2"/>
        <v>140</v>
      </c>
      <c r="N37" s="39">
        <f t="shared" ca="1" si="3"/>
        <v>0.24696302211163967</v>
      </c>
      <c r="O37" s="39">
        <f t="shared" ca="1" si="3"/>
        <v>8.5031614476544393E-2</v>
      </c>
      <c r="P37" s="67">
        <f t="shared" ca="1" si="4"/>
        <v>0.23319946365881841</v>
      </c>
      <c r="Q37" s="56">
        <f t="shared" ca="1" si="5"/>
        <v>172.64792491223457</v>
      </c>
      <c r="R37" s="56">
        <f t="shared" ca="1" si="6"/>
        <v>173</v>
      </c>
      <c r="S37" s="56">
        <f t="shared" ca="1" si="7"/>
        <v>125</v>
      </c>
      <c r="T37" s="39">
        <f t="shared" ca="1" si="8"/>
        <v>687500</v>
      </c>
      <c r="U37" s="61">
        <f t="shared" ca="1" si="9"/>
        <v>0</v>
      </c>
      <c r="V37" s="61">
        <f t="shared" ca="1" si="10"/>
        <v>72000</v>
      </c>
      <c r="W37" s="62">
        <f t="shared" ca="1" si="11"/>
        <v>115500</v>
      </c>
      <c r="X37" s="14"/>
      <c r="AB37" s="11">
        <v>32</v>
      </c>
      <c r="AC37">
        <v>-99555</v>
      </c>
      <c r="AD37">
        <v>-70125</v>
      </c>
      <c r="AE37">
        <v>-34905</v>
      </c>
      <c r="AF37">
        <v>-8175</v>
      </c>
      <c r="AG37">
        <v>22935</v>
      </c>
      <c r="AH37">
        <v>57532.5</v>
      </c>
      <c r="AI37">
        <v>75007.5</v>
      </c>
      <c r="AJ37">
        <v>112500</v>
      </c>
      <c r="AK37">
        <v>140212.5</v>
      </c>
      <c r="AL37">
        <v>170595</v>
      </c>
    </row>
    <row r="38" spans="11:38" x14ac:dyDescent="0.3">
      <c r="K38" s="40">
        <v>34</v>
      </c>
      <c r="L38" s="39">
        <f t="shared" ca="1" si="1"/>
        <v>0.38511267220100831</v>
      </c>
      <c r="M38" s="39">
        <f t="shared" ca="1" si="2"/>
        <v>160</v>
      </c>
      <c r="N38" s="39">
        <f t="shared" ca="1" si="3"/>
        <v>0.99886983595253298</v>
      </c>
      <c r="O38" s="39">
        <f t="shared" ca="1" si="3"/>
        <v>0.93074869758393608</v>
      </c>
      <c r="P38" s="67">
        <f t="shared" ca="1" si="4"/>
        <v>0.39296185335364692</v>
      </c>
      <c r="Q38" s="56">
        <f t="shared" ca="1" si="5"/>
        <v>222.87389653658352</v>
      </c>
      <c r="R38" s="56">
        <f t="shared" ca="1" si="6"/>
        <v>223</v>
      </c>
      <c r="S38" s="56">
        <f t="shared" ca="1" si="7"/>
        <v>125</v>
      </c>
      <c r="T38" s="39">
        <f t="shared" ca="1" si="8"/>
        <v>687500</v>
      </c>
      <c r="U38" s="61">
        <f t="shared" ca="1" si="9"/>
        <v>0</v>
      </c>
      <c r="V38" s="61">
        <f t="shared" ca="1" si="10"/>
        <v>147000</v>
      </c>
      <c r="W38" s="62">
        <f t="shared" ca="1" si="11"/>
        <v>40500</v>
      </c>
      <c r="X38" s="14"/>
      <c r="AB38" s="11">
        <v>33</v>
      </c>
      <c r="AC38">
        <v>-100762.5</v>
      </c>
      <c r="AD38">
        <v>-67132.5</v>
      </c>
      <c r="AE38">
        <v>-39637.5</v>
      </c>
      <c r="AF38">
        <v>-8737.5</v>
      </c>
      <c r="AG38">
        <v>19972.5</v>
      </c>
      <c r="AH38">
        <v>52672.5</v>
      </c>
      <c r="AI38">
        <v>76732.5</v>
      </c>
      <c r="AJ38">
        <v>111570</v>
      </c>
      <c r="AK38">
        <v>138795</v>
      </c>
      <c r="AL38">
        <v>173587.5</v>
      </c>
    </row>
    <row r="39" spans="11:38" x14ac:dyDescent="0.3">
      <c r="K39" s="40">
        <v>35</v>
      </c>
      <c r="L39" s="39">
        <f t="shared" ca="1" si="1"/>
        <v>0.72320862313621137</v>
      </c>
      <c r="M39" s="39">
        <f t="shared" ca="1" si="2"/>
        <v>200</v>
      </c>
      <c r="N39" s="39">
        <f t="shared" ca="1" si="3"/>
        <v>0.86449642882504896</v>
      </c>
      <c r="O39" s="39">
        <f t="shared" ca="1" si="3"/>
        <v>0.23082587991244508</v>
      </c>
      <c r="P39" s="67">
        <f t="shared" ca="1" si="4"/>
        <v>0.30953223087374943</v>
      </c>
      <c r="Q39" s="56">
        <f t="shared" ca="1" si="5"/>
        <v>261.90644617474987</v>
      </c>
      <c r="R39" s="56">
        <f t="shared" ca="1" si="6"/>
        <v>262</v>
      </c>
      <c r="S39" s="56">
        <f t="shared" ca="1" si="7"/>
        <v>125</v>
      </c>
      <c r="T39" s="39">
        <f t="shared" ca="1" si="8"/>
        <v>687500</v>
      </c>
      <c r="U39" s="61">
        <f t="shared" ca="1" si="9"/>
        <v>0</v>
      </c>
      <c r="V39" s="61">
        <f t="shared" ca="1" si="10"/>
        <v>205500</v>
      </c>
      <c r="W39" s="62">
        <f t="shared" ca="1" si="11"/>
        <v>-18000</v>
      </c>
      <c r="X39" s="14"/>
      <c r="AB39" s="11">
        <v>34</v>
      </c>
      <c r="AC39">
        <v>-100710</v>
      </c>
      <c r="AD39">
        <v>-68910</v>
      </c>
      <c r="AE39">
        <v>-38617.5</v>
      </c>
      <c r="AF39">
        <v>-3960</v>
      </c>
      <c r="AG39">
        <v>23992.5</v>
      </c>
      <c r="AH39">
        <v>54525</v>
      </c>
      <c r="AI39">
        <v>78997.5</v>
      </c>
      <c r="AJ39">
        <v>104722.5</v>
      </c>
      <c r="AK39">
        <v>138757.5</v>
      </c>
      <c r="AL39">
        <v>162247.5</v>
      </c>
    </row>
    <row r="40" spans="11:38" x14ac:dyDescent="0.3">
      <c r="K40" s="40">
        <v>36</v>
      </c>
      <c r="L40" s="39">
        <f t="shared" ca="1" si="1"/>
        <v>0.60825500066970795</v>
      </c>
      <c r="M40" s="39">
        <f t="shared" ca="1" si="2"/>
        <v>180</v>
      </c>
      <c r="N40" s="39">
        <f t="shared" ca="1" si="3"/>
        <v>3.2638962693331774E-2</v>
      </c>
      <c r="O40" s="39">
        <f t="shared" ca="1" si="3"/>
        <v>0.56979257617064016</v>
      </c>
      <c r="P40" s="67">
        <f t="shared" ca="1" si="4"/>
        <v>0.26024315388639718</v>
      </c>
      <c r="Q40" s="56">
        <f t="shared" ca="1" si="5"/>
        <v>226.84376769955151</v>
      </c>
      <c r="R40" s="56">
        <f t="shared" ca="1" si="6"/>
        <v>227</v>
      </c>
      <c r="S40" s="56">
        <f t="shared" ca="1" si="7"/>
        <v>125</v>
      </c>
      <c r="T40" s="39">
        <f t="shared" ca="1" si="8"/>
        <v>687500</v>
      </c>
      <c r="U40" s="61">
        <f t="shared" ca="1" si="9"/>
        <v>0</v>
      </c>
      <c r="V40" s="61">
        <f t="shared" ca="1" si="10"/>
        <v>153000</v>
      </c>
      <c r="W40" s="62">
        <f t="shared" ca="1" si="11"/>
        <v>34500</v>
      </c>
      <c r="X40" s="14"/>
      <c r="AB40" s="11">
        <v>35</v>
      </c>
      <c r="AC40">
        <v>-100995</v>
      </c>
      <c r="AD40">
        <v>-60562.5</v>
      </c>
      <c r="AE40">
        <v>-41182.5</v>
      </c>
      <c r="AF40">
        <v>-8662.5</v>
      </c>
      <c r="AG40">
        <v>20805</v>
      </c>
      <c r="AH40">
        <v>50970</v>
      </c>
      <c r="AI40">
        <v>78645</v>
      </c>
      <c r="AJ40">
        <v>113752.5</v>
      </c>
      <c r="AK40">
        <v>143505</v>
      </c>
      <c r="AL40">
        <v>173467.5</v>
      </c>
    </row>
    <row r="41" spans="11:38" x14ac:dyDescent="0.3">
      <c r="K41" s="40">
        <v>37</v>
      </c>
      <c r="L41" s="39">
        <f t="shared" ca="1" si="1"/>
        <v>0.99921084451940112</v>
      </c>
      <c r="M41" s="39">
        <f t="shared" ca="1" si="2"/>
        <v>220</v>
      </c>
      <c r="N41" s="39">
        <f t="shared" ca="1" si="3"/>
        <v>0.58051125328978703</v>
      </c>
      <c r="O41" s="39">
        <f t="shared" ca="1" si="3"/>
        <v>0.27622210991506746</v>
      </c>
      <c r="P41" s="67">
        <f t="shared" ca="1" si="4"/>
        <v>0.28567333632048547</v>
      </c>
      <c r="Q41" s="56">
        <f t="shared" ca="1" si="5"/>
        <v>282.84813399050682</v>
      </c>
      <c r="R41" s="56">
        <f t="shared" ca="1" si="6"/>
        <v>283</v>
      </c>
      <c r="S41" s="56">
        <f t="shared" ca="1" si="7"/>
        <v>125</v>
      </c>
      <c r="T41" s="39">
        <f t="shared" ca="1" si="8"/>
        <v>687500</v>
      </c>
      <c r="U41" s="61">
        <f t="shared" ca="1" si="9"/>
        <v>0</v>
      </c>
      <c r="V41" s="61">
        <f t="shared" ca="1" si="10"/>
        <v>237000</v>
      </c>
      <c r="W41" s="62">
        <f t="shared" ca="1" si="11"/>
        <v>-49500</v>
      </c>
      <c r="X41" s="14"/>
      <c r="AB41" s="11">
        <v>36</v>
      </c>
      <c r="AC41">
        <v>-98370</v>
      </c>
      <c r="AD41">
        <v>-55567.5</v>
      </c>
      <c r="AE41">
        <v>-39120</v>
      </c>
      <c r="AF41">
        <v>-8077.5</v>
      </c>
      <c r="AG41">
        <v>26242.5</v>
      </c>
      <c r="AH41">
        <v>49717.5</v>
      </c>
      <c r="AI41">
        <v>85717.5</v>
      </c>
      <c r="AJ41">
        <v>110002.5</v>
      </c>
      <c r="AK41">
        <v>148072.5</v>
      </c>
      <c r="AL41">
        <v>173310</v>
      </c>
    </row>
    <row r="42" spans="11:38" x14ac:dyDescent="0.3">
      <c r="K42" s="40">
        <v>38</v>
      </c>
      <c r="L42" s="39">
        <f t="shared" ca="1" si="1"/>
        <v>0.44150208212862352</v>
      </c>
      <c r="M42" s="39">
        <f t="shared" ca="1" si="2"/>
        <v>160</v>
      </c>
      <c r="N42" s="39">
        <f t="shared" ca="1" si="3"/>
        <v>0.70470634361830953</v>
      </c>
      <c r="O42" s="39">
        <f t="shared" ca="1" si="3"/>
        <v>0.45842656026395978</v>
      </c>
      <c r="P42" s="67">
        <f t="shared" ca="1" si="4"/>
        <v>0.31631329038822698</v>
      </c>
      <c r="Q42" s="56">
        <f t="shared" ca="1" si="5"/>
        <v>210.61012646211631</v>
      </c>
      <c r="R42" s="56">
        <f t="shared" ca="1" si="6"/>
        <v>211</v>
      </c>
      <c r="S42" s="56">
        <f t="shared" ca="1" si="7"/>
        <v>125</v>
      </c>
      <c r="T42" s="39">
        <f t="shared" ca="1" si="8"/>
        <v>687500</v>
      </c>
      <c r="U42" s="61">
        <f t="shared" ca="1" si="9"/>
        <v>0</v>
      </c>
      <c r="V42" s="61">
        <f t="shared" ca="1" si="10"/>
        <v>129000</v>
      </c>
      <c r="W42" s="62">
        <f t="shared" ca="1" si="11"/>
        <v>58500</v>
      </c>
      <c r="X42" s="14"/>
      <c r="AB42" s="11">
        <v>37</v>
      </c>
      <c r="AC42">
        <v>-97672.5</v>
      </c>
      <c r="AD42">
        <v>-62317.5</v>
      </c>
      <c r="AE42">
        <v>-37507.5</v>
      </c>
      <c r="AF42">
        <v>-9135</v>
      </c>
      <c r="AG42">
        <v>27667.5</v>
      </c>
      <c r="AH42">
        <v>48142.5</v>
      </c>
      <c r="AI42">
        <v>80895</v>
      </c>
      <c r="AJ42">
        <v>113452.5</v>
      </c>
      <c r="AK42">
        <v>139155</v>
      </c>
      <c r="AL42">
        <v>177420</v>
      </c>
    </row>
    <row r="43" spans="11:38" x14ac:dyDescent="0.3">
      <c r="K43" s="40">
        <v>39</v>
      </c>
      <c r="L43" s="39">
        <f t="shared" ca="1" si="1"/>
        <v>0.36057063577054316</v>
      </c>
      <c r="M43" s="39">
        <f t="shared" ca="1" si="2"/>
        <v>160</v>
      </c>
      <c r="N43" s="39">
        <f t="shared" ca="1" si="3"/>
        <v>0.32410608164169052</v>
      </c>
      <c r="O43" s="39">
        <f t="shared" ca="1" si="3"/>
        <v>0.76094346435846039</v>
      </c>
      <c r="P43" s="67">
        <f t="shared" ca="1" si="4"/>
        <v>0.30850495460001515</v>
      </c>
      <c r="Q43" s="56">
        <f t="shared" ca="1" si="5"/>
        <v>209.36079273600242</v>
      </c>
      <c r="R43" s="56">
        <f t="shared" ca="1" si="6"/>
        <v>210</v>
      </c>
      <c r="S43" s="56">
        <f t="shared" ca="1" si="7"/>
        <v>125</v>
      </c>
      <c r="T43" s="39">
        <f t="shared" ca="1" si="8"/>
        <v>687500</v>
      </c>
      <c r="U43" s="61">
        <f t="shared" ca="1" si="9"/>
        <v>0</v>
      </c>
      <c r="V43" s="61">
        <f t="shared" ca="1" si="10"/>
        <v>127500</v>
      </c>
      <c r="W43" s="62">
        <f t="shared" ca="1" si="11"/>
        <v>60000</v>
      </c>
      <c r="X43" s="14"/>
      <c r="AB43" s="11">
        <v>38</v>
      </c>
      <c r="AC43">
        <v>-96502.5</v>
      </c>
      <c r="AD43">
        <v>-69412.5</v>
      </c>
      <c r="AE43">
        <v>-39120</v>
      </c>
      <c r="AF43">
        <v>-4065</v>
      </c>
      <c r="AG43">
        <v>23842.5</v>
      </c>
      <c r="AH43">
        <v>50655</v>
      </c>
      <c r="AI43">
        <v>81285</v>
      </c>
      <c r="AJ43">
        <v>114457.5</v>
      </c>
      <c r="AK43">
        <v>138150</v>
      </c>
      <c r="AL43">
        <v>173700</v>
      </c>
    </row>
    <row r="44" spans="11:38" x14ac:dyDescent="0.3">
      <c r="K44" s="40">
        <v>40</v>
      </c>
      <c r="L44" s="39">
        <f t="shared" ca="1" si="1"/>
        <v>0.57568611688941784</v>
      </c>
      <c r="M44" s="39">
        <f t="shared" ca="1" si="2"/>
        <v>180</v>
      </c>
      <c r="N44" s="39">
        <f t="shared" ca="1" si="3"/>
        <v>0.18931951412110681</v>
      </c>
      <c r="O44" s="39">
        <f t="shared" ca="1" si="3"/>
        <v>9.3989423884603185E-2</v>
      </c>
      <c r="P44" s="67">
        <f t="shared" ca="1" si="4"/>
        <v>0.22833089380057101</v>
      </c>
      <c r="Q44" s="56">
        <f t="shared" ca="1" si="5"/>
        <v>221.09956088410277</v>
      </c>
      <c r="R44" s="56">
        <f t="shared" ca="1" si="6"/>
        <v>222</v>
      </c>
      <c r="S44" s="56">
        <f t="shared" ca="1" si="7"/>
        <v>125</v>
      </c>
      <c r="T44" s="39">
        <f t="shared" ca="1" si="8"/>
        <v>687500</v>
      </c>
      <c r="U44" s="61">
        <f t="shared" ca="1" si="9"/>
        <v>0</v>
      </c>
      <c r="V44" s="61">
        <f t="shared" ca="1" si="10"/>
        <v>145500</v>
      </c>
      <c r="W44" s="62">
        <f t="shared" ca="1" si="11"/>
        <v>42000</v>
      </c>
      <c r="X44" s="14"/>
      <c r="AB44" s="11">
        <v>39</v>
      </c>
      <c r="AC44">
        <v>-91545</v>
      </c>
      <c r="AD44">
        <v>-70387.5</v>
      </c>
      <c r="AE44">
        <v>-35100</v>
      </c>
      <c r="AF44">
        <v>-5947.5</v>
      </c>
      <c r="AG44">
        <v>16320</v>
      </c>
      <c r="AH44">
        <v>52365</v>
      </c>
      <c r="AI44">
        <v>87690</v>
      </c>
      <c r="AJ44">
        <v>115305</v>
      </c>
      <c r="AK44">
        <v>148012.5</v>
      </c>
      <c r="AL44">
        <v>170032.5</v>
      </c>
    </row>
    <row r="45" spans="11:38" x14ac:dyDescent="0.3">
      <c r="K45" s="40">
        <v>41</v>
      </c>
      <c r="L45" s="39">
        <f t="shared" ca="1" si="1"/>
        <v>0.92881858545022089</v>
      </c>
      <c r="M45" s="39">
        <f t="shared" ca="1" si="2"/>
        <v>220</v>
      </c>
      <c r="N45" s="39">
        <f t="shared" ca="1" si="3"/>
        <v>0.18929923988694786</v>
      </c>
      <c r="O45" s="39">
        <f t="shared" ca="1" si="3"/>
        <v>0.90450053878180181</v>
      </c>
      <c r="P45" s="67">
        <f t="shared" ca="1" si="4"/>
        <v>0.30937997786687499</v>
      </c>
      <c r="Q45" s="56">
        <f t="shared" ca="1" si="5"/>
        <v>288.06359513071249</v>
      </c>
      <c r="R45" s="56">
        <f t="shared" ca="1" si="6"/>
        <v>289</v>
      </c>
      <c r="S45" s="56">
        <f t="shared" ca="1" si="7"/>
        <v>125</v>
      </c>
      <c r="T45" s="39">
        <f t="shared" ca="1" si="8"/>
        <v>687500</v>
      </c>
      <c r="U45" s="61">
        <f t="shared" ca="1" si="9"/>
        <v>0</v>
      </c>
      <c r="V45" s="61">
        <f t="shared" ca="1" si="10"/>
        <v>246000</v>
      </c>
      <c r="W45" s="62">
        <f t="shared" ca="1" si="11"/>
        <v>-58500</v>
      </c>
      <c r="X45" s="14"/>
      <c r="AB45" s="11">
        <v>40</v>
      </c>
      <c r="AC45">
        <v>-98670</v>
      </c>
      <c r="AD45">
        <v>-74910</v>
      </c>
      <c r="AE45">
        <v>-37440</v>
      </c>
      <c r="AF45">
        <v>-6660</v>
      </c>
      <c r="AG45">
        <v>12390</v>
      </c>
      <c r="AH45">
        <v>46837.5</v>
      </c>
      <c r="AI45">
        <v>81412.5</v>
      </c>
      <c r="AJ45">
        <v>107167.5</v>
      </c>
      <c r="AK45">
        <v>143580</v>
      </c>
      <c r="AL45">
        <v>169722.5</v>
      </c>
    </row>
    <row r="46" spans="11:38" x14ac:dyDescent="0.3">
      <c r="K46" s="40">
        <v>42</v>
      </c>
      <c r="L46" s="39">
        <f t="shared" ca="1" si="1"/>
        <v>0.72015326000734281</v>
      </c>
      <c r="M46" s="39">
        <f t="shared" ca="1" si="2"/>
        <v>200</v>
      </c>
      <c r="N46" s="39">
        <f t="shared" ca="1" si="3"/>
        <v>0.74263979040554617</v>
      </c>
      <c r="O46" s="39">
        <f t="shared" ca="1" si="3"/>
        <v>0.22791493673317176</v>
      </c>
      <c r="P46" s="67">
        <f t="shared" ca="1" si="4"/>
        <v>0.29705547271387178</v>
      </c>
      <c r="Q46" s="56">
        <f t="shared" ca="1" si="5"/>
        <v>259.41109454277438</v>
      </c>
      <c r="R46" s="56">
        <f t="shared" ca="1" si="6"/>
        <v>260</v>
      </c>
      <c r="S46" s="56">
        <f t="shared" ca="1" si="7"/>
        <v>125</v>
      </c>
      <c r="T46" s="39">
        <f t="shared" ca="1" si="8"/>
        <v>687500</v>
      </c>
      <c r="U46" s="61">
        <f t="shared" ca="1" si="9"/>
        <v>0</v>
      </c>
      <c r="V46" s="61">
        <f t="shared" ca="1" si="10"/>
        <v>202500</v>
      </c>
      <c r="W46" s="62">
        <f t="shared" ca="1" si="11"/>
        <v>-15000</v>
      </c>
      <c r="X46" s="14"/>
      <c r="AB46" s="11">
        <v>41</v>
      </c>
      <c r="AC46">
        <v>-101625</v>
      </c>
      <c r="AD46">
        <v>-73275</v>
      </c>
      <c r="AE46">
        <v>-32565</v>
      </c>
      <c r="AF46">
        <v>-13162.5</v>
      </c>
      <c r="AG46">
        <v>22702.5</v>
      </c>
      <c r="AH46">
        <v>56010</v>
      </c>
      <c r="AI46">
        <v>81630</v>
      </c>
      <c r="AJ46">
        <v>113325</v>
      </c>
      <c r="AK46">
        <v>142140</v>
      </c>
      <c r="AL46">
        <v>165997.5</v>
      </c>
    </row>
    <row r="47" spans="11:38" x14ac:dyDescent="0.3">
      <c r="K47" s="40">
        <v>43</v>
      </c>
      <c r="L47" s="39">
        <f t="shared" ca="1" si="1"/>
        <v>0.15380396022836307</v>
      </c>
      <c r="M47" s="39">
        <f t="shared" ca="1" si="2"/>
        <v>140</v>
      </c>
      <c r="N47" s="39">
        <f t="shared" ca="1" si="3"/>
        <v>0.41523798486816166</v>
      </c>
      <c r="O47" s="39">
        <f t="shared" ca="1" si="3"/>
        <v>0.55975025254170996</v>
      </c>
      <c r="P47" s="67">
        <f t="shared" ca="1" si="4"/>
        <v>0.29749882374098718</v>
      </c>
      <c r="Q47" s="56">
        <f t="shared" ca="1" si="5"/>
        <v>181.64983532373822</v>
      </c>
      <c r="R47" s="56">
        <f t="shared" ca="1" si="6"/>
        <v>182</v>
      </c>
      <c r="S47" s="56">
        <f t="shared" ca="1" si="7"/>
        <v>125</v>
      </c>
      <c r="T47" s="39">
        <f t="shared" ca="1" si="8"/>
        <v>687500</v>
      </c>
      <c r="U47" s="61">
        <f t="shared" ca="1" si="9"/>
        <v>0</v>
      </c>
      <c r="V47" s="61">
        <f t="shared" ca="1" si="10"/>
        <v>85500</v>
      </c>
      <c r="W47" s="62">
        <f t="shared" ca="1" si="11"/>
        <v>102000</v>
      </c>
      <c r="X47" s="14"/>
      <c r="AB47" s="11">
        <v>42</v>
      </c>
      <c r="AC47">
        <v>-93930</v>
      </c>
      <c r="AD47">
        <v>-62887.5</v>
      </c>
      <c r="AE47">
        <v>-36712.5</v>
      </c>
      <c r="AF47">
        <v>-4882.5</v>
      </c>
      <c r="AG47">
        <v>23437.5</v>
      </c>
      <c r="AH47">
        <v>50467.5</v>
      </c>
      <c r="AI47">
        <v>85057.5</v>
      </c>
      <c r="AJ47">
        <v>111090</v>
      </c>
      <c r="AK47">
        <v>140010</v>
      </c>
      <c r="AL47">
        <v>175182.5</v>
      </c>
    </row>
    <row r="48" spans="11:38" x14ac:dyDescent="0.3">
      <c r="K48" s="40">
        <v>44</v>
      </c>
      <c r="L48" s="39">
        <f t="shared" ca="1" si="1"/>
        <v>0.36473651163801046</v>
      </c>
      <c r="M48" s="39">
        <f t="shared" ca="1" si="2"/>
        <v>160</v>
      </c>
      <c r="N48" s="39">
        <f t="shared" ca="1" si="3"/>
        <v>0.19300912638167877</v>
      </c>
      <c r="O48" s="39">
        <f t="shared" ca="1" si="3"/>
        <v>5.9485514372641601E-2</v>
      </c>
      <c r="P48" s="67">
        <f t="shared" ca="1" si="4"/>
        <v>0.22524946407543206</v>
      </c>
      <c r="Q48" s="56">
        <f t="shared" ca="1" si="5"/>
        <v>196.03991425206914</v>
      </c>
      <c r="R48" s="56">
        <f t="shared" ca="1" si="6"/>
        <v>197</v>
      </c>
      <c r="S48" s="56">
        <f t="shared" ca="1" si="7"/>
        <v>125</v>
      </c>
      <c r="T48" s="39">
        <f t="shared" ca="1" si="8"/>
        <v>687500</v>
      </c>
      <c r="U48" s="61">
        <f t="shared" ca="1" si="9"/>
        <v>0</v>
      </c>
      <c r="V48" s="61">
        <f t="shared" ca="1" si="10"/>
        <v>108000</v>
      </c>
      <c r="W48" s="62">
        <f t="shared" ca="1" si="11"/>
        <v>79500</v>
      </c>
      <c r="X48" s="14"/>
      <c r="AB48" s="11">
        <v>43</v>
      </c>
      <c r="AC48">
        <v>-97365</v>
      </c>
      <c r="AD48">
        <v>-66967.5</v>
      </c>
      <c r="AE48">
        <v>-36915</v>
      </c>
      <c r="AF48">
        <v>-3990</v>
      </c>
      <c r="AG48">
        <v>23085</v>
      </c>
      <c r="AH48">
        <v>51600</v>
      </c>
      <c r="AI48">
        <v>86805</v>
      </c>
      <c r="AJ48">
        <v>117480</v>
      </c>
      <c r="AK48">
        <v>147997.5</v>
      </c>
      <c r="AL48">
        <v>172297.5</v>
      </c>
    </row>
    <row r="49" spans="11:38" x14ac:dyDescent="0.3">
      <c r="K49" s="40">
        <v>45</v>
      </c>
      <c r="L49" s="39">
        <f t="shared" ca="1" si="1"/>
        <v>0.71845610257612558</v>
      </c>
      <c r="M49" s="39">
        <f t="shared" ca="1" si="2"/>
        <v>200</v>
      </c>
      <c r="N49" s="39">
        <f t="shared" ca="1" si="3"/>
        <v>0.10739294491393281</v>
      </c>
      <c r="O49" s="39">
        <f t="shared" ca="1" si="3"/>
        <v>0.64685455704495287</v>
      </c>
      <c r="P49" s="67">
        <f t="shared" ca="1" si="4"/>
        <v>0.27542475019588858</v>
      </c>
      <c r="Q49" s="56">
        <f t="shared" ca="1" si="5"/>
        <v>255.08495003917773</v>
      </c>
      <c r="R49" s="56">
        <f t="shared" ca="1" si="6"/>
        <v>256</v>
      </c>
      <c r="S49" s="56">
        <f t="shared" ca="1" si="7"/>
        <v>125</v>
      </c>
      <c r="T49" s="39">
        <f t="shared" ca="1" si="8"/>
        <v>687500</v>
      </c>
      <c r="U49" s="61">
        <f t="shared" ca="1" si="9"/>
        <v>0</v>
      </c>
      <c r="V49" s="61">
        <f t="shared" ca="1" si="10"/>
        <v>196500</v>
      </c>
      <c r="W49" s="62">
        <f t="shared" ca="1" si="11"/>
        <v>-9000</v>
      </c>
      <c r="X49" s="14"/>
      <c r="AB49" s="11">
        <v>44</v>
      </c>
      <c r="AC49">
        <v>-98332.5</v>
      </c>
      <c r="AD49">
        <v>-64372.5</v>
      </c>
      <c r="AE49">
        <v>-38527.5</v>
      </c>
      <c r="AF49">
        <v>-8850</v>
      </c>
      <c r="AG49">
        <v>21390</v>
      </c>
      <c r="AH49">
        <v>58297.5</v>
      </c>
      <c r="AI49">
        <v>89415</v>
      </c>
      <c r="AJ49">
        <v>109357.5</v>
      </c>
      <c r="AK49">
        <v>136447.5</v>
      </c>
      <c r="AL49">
        <v>175155</v>
      </c>
    </row>
    <row r="50" spans="11:38" x14ac:dyDescent="0.3">
      <c r="K50" s="40">
        <v>46</v>
      </c>
      <c r="L50" s="39">
        <f t="shared" ca="1" si="1"/>
        <v>0.41013481452464329</v>
      </c>
      <c r="M50" s="39">
        <f t="shared" ca="1" si="2"/>
        <v>160</v>
      </c>
      <c r="N50" s="39">
        <f t="shared" ca="1" si="3"/>
        <v>0.99220236958412855</v>
      </c>
      <c r="O50" s="39">
        <f t="shared" ca="1" si="3"/>
        <v>0.78684479909157201</v>
      </c>
      <c r="P50" s="67">
        <f t="shared" ca="1" si="4"/>
        <v>0.3779047168675701</v>
      </c>
      <c r="Q50" s="56">
        <f t="shared" ca="1" si="5"/>
        <v>220.46475469881122</v>
      </c>
      <c r="R50" s="56">
        <f t="shared" ca="1" si="6"/>
        <v>221</v>
      </c>
      <c r="S50" s="56">
        <f t="shared" ca="1" si="7"/>
        <v>125</v>
      </c>
      <c r="T50" s="39">
        <f t="shared" ca="1" si="8"/>
        <v>687500</v>
      </c>
      <c r="U50" s="61">
        <f t="shared" ca="1" si="9"/>
        <v>0</v>
      </c>
      <c r="V50" s="61">
        <f t="shared" ca="1" si="10"/>
        <v>144000</v>
      </c>
      <c r="W50" s="62">
        <f t="shared" ca="1" si="11"/>
        <v>43500</v>
      </c>
      <c r="X50" s="14"/>
      <c r="AB50" s="11">
        <v>45</v>
      </c>
      <c r="AC50">
        <v>-105187.5</v>
      </c>
      <c r="AD50">
        <v>-74377.5</v>
      </c>
      <c r="AE50">
        <v>-43792.5</v>
      </c>
      <c r="AF50">
        <v>-10245</v>
      </c>
      <c r="AG50">
        <v>13552.5</v>
      </c>
      <c r="AH50">
        <v>53010</v>
      </c>
      <c r="AI50">
        <v>84765</v>
      </c>
      <c r="AJ50">
        <v>111082.5</v>
      </c>
      <c r="AK50">
        <v>145695</v>
      </c>
      <c r="AL50">
        <v>171380</v>
      </c>
    </row>
    <row r="51" spans="11:38" x14ac:dyDescent="0.3">
      <c r="K51" s="40">
        <v>47</v>
      </c>
      <c r="L51" s="39">
        <f t="shared" ca="1" si="1"/>
        <v>0.68780322195626309</v>
      </c>
      <c r="M51" s="39">
        <f t="shared" ca="1" si="2"/>
        <v>200</v>
      </c>
      <c r="N51" s="39">
        <f t="shared" ca="1" si="3"/>
        <v>0.45507454089158739</v>
      </c>
      <c r="O51" s="39">
        <f t="shared" ca="1" si="3"/>
        <v>0.15028474438883543</v>
      </c>
      <c r="P51" s="67">
        <f t="shared" ca="1" si="4"/>
        <v>0.2605359285280423</v>
      </c>
      <c r="Q51" s="56">
        <f t="shared" ca="1" si="5"/>
        <v>252.10718570560846</v>
      </c>
      <c r="R51" s="56">
        <f t="shared" ca="1" si="6"/>
        <v>253</v>
      </c>
      <c r="S51" s="56">
        <f t="shared" ca="1" si="7"/>
        <v>125</v>
      </c>
      <c r="T51" s="39">
        <f t="shared" ca="1" si="8"/>
        <v>687500</v>
      </c>
      <c r="U51" s="61">
        <f t="shared" ca="1" si="9"/>
        <v>0</v>
      </c>
      <c r="V51" s="61">
        <f t="shared" ca="1" si="10"/>
        <v>192000</v>
      </c>
      <c r="W51" s="62">
        <f t="shared" ca="1" si="11"/>
        <v>-4500</v>
      </c>
      <c r="X51" s="14"/>
      <c r="AB51" s="11">
        <v>46</v>
      </c>
      <c r="AC51">
        <v>-97305</v>
      </c>
      <c r="AD51">
        <v>-69127.5</v>
      </c>
      <c r="AE51">
        <v>-40545</v>
      </c>
      <c r="AF51">
        <v>-7050</v>
      </c>
      <c r="AG51">
        <v>22087.5</v>
      </c>
      <c r="AH51">
        <v>50947.5</v>
      </c>
      <c r="AI51">
        <v>73815</v>
      </c>
      <c r="AJ51">
        <v>117112.5</v>
      </c>
      <c r="AK51">
        <v>139852.5</v>
      </c>
      <c r="AL51">
        <v>171495</v>
      </c>
    </row>
    <row r="52" spans="11:38" x14ac:dyDescent="0.3">
      <c r="K52" s="40">
        <v>48</v>
      </c>
      <c r="L52" s="39">
        <f t="shared" ca="1" si="1"/>
        <v>0.7494980349990924</v>
      </c>
      <c r="M52" s="39">
        <f t="shared" ca="1" si="2"/>
        <v>200</v>
      </c>
      <c r="N52" s="39">
        <f t="shared" ca="1" si="3"/>
        <v>3.8481900959213999E-2</v>
      </c>
      <c r="O52" s="39">
        <f t="shared" ca="1" si="3"/>
        <v>0.12154541164028154</v>
      </c>
      <c r="P52" s="67">
        <f t="shared" ca="1" si="4"/>
        <v>0.21600273125994957</v>
      </c>
      <c r="Q52" s="56">
        <f t="shared" ca="1" si="5"/>
        <v>243.20054625198992</v>
      </c>
      <c r="R52" s="56">
        <f t="shared" ca="1" si="6"/>
        <v>244</v>
      </c>
      <c r="S52" s="56">
        <f t="shared" ca="1" si="7"/>
        <v>125</v>
      </c>
      <c r="T52" s="39">
        <f t="shared" ca="1" si="8"/>
        <v>687500</v>
      </c>
      <c r="U52" s="61">
        <f t="shared" ca="1" si="9"/>
        <v>0</v>
      </c>
      <c r="V52" s="61">
        <f t="shared" ca="1" si="10"/>
        <v>178500</v>
      </c>
      <c r="W52" s="62">
        <f t="shared" ca="1" si="11"/>
        <v>9000</v>
      </c>
      <c r="X52" s="14"/>
      <c r="AB52" s="11">
        <v>47</v>
      </c>
      <c r="AC52">
        <v>-101370</v>
      </c>
      <c r="AD52">
        <v>-70665</v>
      </c>
      <c r="AE52">
        <v>-39112.5</v>
      </c>
      <c r="AF52">
        <v>-7935</v>
      </c>
      <c r="AG52">
        <v>16972.5</v>
      </c>
      <c r="AH52">
        <v>50917.5</v>
      </c>
      <c r="AI52">
        <v>76447.5</v>
      </c>
      <c r="AJ52">
        <v>111802.5</v>
      </c>
      <c r="AK52">
        <v>136875</v>
      </c>
      <c r="AL52">
        <v>172837.5</v>
      </c>
    </row>
    <row r="53" spans="11:38" x14ac:dyDescent="0.3">
      <c r="K53" s="40">
        <v>49</v>
      </c>
      <c r="L53" s="39">
        <f t="shared" ca="1" si="1"/>
        <v>0.15026834803288247</v>
      </c>
      <c r="M53" s="39">
        <f t="shared" ca="1" si="2"/>
        <v>140</v>
      </c>
      <c r="N53" s="39">
        <f t="shared" ca="1" si="3"/>
        <v>0.43023987939002939</v>
      </c>
      <c r="O53" s="39">
        <f t="shared" ca="1" si="3"/>
        <v>0.45897594700752153</v>
      </c>
      <c r="P53" s="67">
        <f t="shared" ca="1" si="4"/>
        <v>0.28892158263975509</v>
      </c>
      <c r="Q53" s="56">
        <f t="shared" ca="1" si="5"/>
        <v>180.44902156956573</v>
      </c>
      <c r="R53" s="56">
        <f t="shared" ca="1" si="6"/>
        <v>181</v>
      </c>
      <c r="S53" s="56">
        <f t="shared" ca="1" si="7"/>
        <v>125</v>
      </c>
      <c r="T53" s="39">
        <f t="shared" ca="1" si="8"/>
        <v>687500</v>
      </c>
      <c r="U53" s="61">
        <f t="shared" ca="1" si="9"/>
        <v>0</v>
      </c>
      <c r="V53" s="61">
        <f t="shared" ca="1" si="10"/>
        <v>84000</v>
      </c>
      <c r="W53" s="62">
        <f t="shared" ca="1" si="11"/>
        <v>103500</v>
      </c>
      <c r="X53" s="14"/>
      <c r="AB53" s="11">
        <v>48</v>
      </c>
      <c r="AC53">
        <v>-90015</v>
      </c>
      <c r="AD53">
        <v>-71640</v>
      </c>
      <c r="AE53">
        <v>-38700</v>
      </c>
      <c r="AF53">
        <v>-6690</v>
      </c>
      <c r="AG53">
        <v>17362.5</v>
      </c>
      <c r="AH53">
        <v>53880</v>
      </c>
      <c r="AI53">
        <v>80055</v>
      </c>
      <c r="AJ53">
        <v>112042.5</v>
      </c>
      <c r="AK53">
        <v>138870</v>
      </c>
      <c r="AL53">
        <v>170810</v>
      </c>
    </row>
    <row r="54" spans="11:38" x14ac:dyDescent="0.3">
      <c r="K54" s="40">
        <v>50</v>
      </c>
      <c r="L54" s="39">
        <f t="shared" ca="1" si="1"/>
        <v>8.1013011492608866E-3</v>
      </c>
      <c r="M54" s="39">
        <f t="shared" ca="1" si="2"/>
        <v>140</v>
      </c>
      <c r="N54" s="39">
        <f t="shared" ca="1" si="3"/>
        <v>0.55411305967155899</v>
      </c>
      <c r="O54" s="39">
        <f t="shared" ca="1" si="3"/>
        <v>0.50599093446485532</v>
      </c>
      <c r="P54" s="67">
        <f t="shared" ca="1" si="4"/>
        <v>0.30601039941364144</v>
      </c>
      <c r="Q54" s="56">
        <f t="shared" ca="1" si="5"/>
        <v>182.8414559179098</v>
      </c>
      <c r="R54" s="56">
        <f t="shared" ca="1" si="6"/>
        <v>183</v>
      </c>
      <c r="S54" s="56">
        <f t="shared" ca="1" si="7"/>
        <v>125</v>
      </c>
      <c r="T54" s="39">
        <f t="shared" ca="1" si="8"/>
        <v>687500</v>
      </c>
      <c r="U54" s="61">
        <f t="shared" ca="1" si="9"/>
        <v>0</v>
      </c>
      <c r="V54" s="61">
        <f t="shared" ca="1" si="10"/>
        <v>87000</v>
      </c>
      <c r="W54" s="62">
        <f t="shared" ca="1" si="11"/>
        <v>100500</v>
      </c>
      <c r="X54" s="14"/>
      <c r="AB54" s="11">
        <v>49</v>
      </c>
      <c r="AC54">
        <v>-105862.5</v>
      </c>
      <c r="AD54">
        <v>-67830</v>
      </c>
      <c r="AE54">
        <v>-37215</v>
      </c>
      <c r="AF54">
        <v>-7357.5</v>
      </c>
      <c r="AG54">
        <v>23272.5</v>
      </c>
      <c r="AH54">
        <v>55080</v>
      </c>
      <c r="AI54">
        <v>84022.5</v>
      </c>
      <c r="AJ54">
        <v>106905</v>
      </c>
      <c r="AK54">
        <v>139567.5</v>
      </c>
      <c r="AL54">
        <v>169725</v>
      </c>
    </row>
    <row r="55" spans="11:38" x14ac:dyDescent="0.3">
      <c r="K55" s="40">
        <v>51</v>
      </c>
      <c r="L55" s="39">
        <f t="shared" ca="1" si="1"/>
        <v>0.98007858230792899</v>
      </c>
      <c r="M55" s="39">
        <f t="shared" ca="1" si="2"/>
        <v>220</v>
      </c>
      <c r="N55" s="39">
        <f t="shared" ca="1" si="3"/>
        <v>0.30709154843682185</v>
      </c>
      <c r="O55" s="39">
        <f t="shared" ca="1" si="3"/>
        <v>0.93869200786567275</v>
      </c>
      <c r="P55" s="67">
        <f t="shared" ca="1" si="4"/>
        <v>0.3245783556302495</v>
      </c>
      <c r="Q55" s="56">
        <f t="shared" ca="1" si="5"/>
        <v>291.40723823865488</v>
      </c>
      <c r="R55" s="56">
        <f t="shared" ca="1" si="6"/>
        <v>292</v>
      </c>
      <c r="S55" s="56">
        <f t="shared" ca="1" si="7"/>
        <v>125</v>
      </c>
      <c r="T55" s="39">
        <f t="shared" ca="1" si="8"/>
        <v>687500</v>
      </c>
      <c r="U55" s="61">
        <f t="shared" ca="1" si="9"/>
        <v>0</v>
      </c>
      <c r="V55" s="61">
        <f t="shared" ca="1" si="10"/>
        <v>250500</v>
      </c>
      <c r="W55" s="62">
        <f t="shared" ca="1" si="11"/>
        <v>-63000</v>
      </c>
      <c r="X55" s="14"/>
      <c r="AB55" s="11">
        <v>50</v>
      </c>
      <c r="AC55">
        <v>-97950</v>
      </c>
      <c r="AD55">
        <v>-65430</v>
      </c>
      <c r="AE55">
        <v>-34050</v>
      </c>
      <c r="AF55">
        <v>-7567.5</v>
      </c>
      <c r="AG55">
        <v>21472.5</v>
      </c>
      <c r="AH55">
        <v>56295</v>
      </c>
      <c r="AI55">
        <v>77467.5</v>
      </c>
      <c r="AJ55">
        <v>112897.5</v>
      </c>
      <c r="AK55">
        <v>138292.5</v>
      </c>
      <c r="AL55">
        <v>171405</v>
      </c>
    </row>
    <row r="56" spans="11:38" x14ac:dyDescent="0.3">
      <c r="K56" s="40">
        <v>52</v>
      </c>
      <c r="L56" s="39">
        <f t="shared" ca="1" si="1"/>
        <v>0.39836772343267357</v>
      </c>
      <c r="M56" s="39">
        <f t="shared" ca="1" si="2"/>
        <v>160</v>
      </c>
      <c r="N56" s="39">
        <f t="shared" ca="1" si="3"/>
        <v>0.14936064957490913</v>
      </c>
      <c r="O56" s="39">
        <f t="shared" ca="1" si="3"/>
        <v>0.28432695820777154</v>
      </c>
      <c r="P56" s="67">
        <f t="shared" ca="1" si="4"/>
        <v>0.24336876077826808</v>
      </c>
      <c r="Q56" s="56">
        <f t="shared" ca="1" si="5"/>
        <v>198.93900172452288</v>
      </c>
      <c r="R56" s="56">
        <f t="shared" ca="1" si="6"/>
        <v>199</v>
      </c>
      <c r="S56" s="56">
        <f t="shared" ca="1" si="7"/>
        <v>125</v>
      </c>
      <c r="T56" s="39">
        <f t="shared" ca="1" si="8"/>
        <v>687500</v>
      </c>
      <c r="U56" s="61">
        <f t="shared" ca="1" si="9"/>
        <v>0</v>
      </c>
      <c r="V56" s="61">
        <f t="shared" ca="1" si="10"/>
        <v>111000</v>
      </c>
      <c r="W56" s="62">
        <f t="shared" ca="1" si="11"/>
        <v>76500</v>
      </c>
      <c r="X56" s="14"/>
      <c r="AB56" s="11">
        <v>51</v>
      </c>
      <c r="AC56">
        <v>-104452.5</v>
      </c>
      <c r="AD56">
        <v>-68730</v>
      </c>
      <c r="AE56">
        <v>-37950</v>
      </c>
      <c r="AF56">
        <v>-4072.5</v>
      </c>
      <c r="AG56">
        <v>26362.5</v>
      </c>
      <c r="AH56">
        <v>53865</v>
      </c>
      <c r="AI56">
        <v>81922.5</v>
      </c>
      <c r="AJ56">
        <v>110917.5</v>
      </c>
      <c r="AK56">
        <v>137820</v>
      </c>
      <c r="AL56">
        <v>174630</v>
      </c>
    </row>
    <row r="57" spans="11:38" x14ac:dyDescent="0.3">
      <c r="K57" s="40">
        <v>53</v>
      </c>
      <c r="L57" s="39">
        <f t="shared" ca="1" si="1"/>
        <v>0.21399684453460688</v>
      </c>
      <c r="M57" s="39">
        <f t="shared" ca="1" si="2"/>
        <v>140</v>
      </c>
      <c r="N57" s="39">
        <f t="shared" ca="1" si="3"/>
        <v>0.54789233545073379</v>
      </c>
      <c r="O57" s="39">
        <f t="shared" ca="1" si="3"/>
        <v>0.87256491483140064</v>
      </c>
      <c r="P57" s="67">
        <f t="shared" ca="1" si="4"/>
        <v>0.34204572502821345</v>
      </c>
      <c r="Q57" s="56">
        <f t="shared" ca="1" si="5"/>
        <v>187.88640150394988</v>
      </c>
      <c r="R57" s="56">
        <f t="shared" ca="1" si="6"/>
        <v>188</v>
      </c>
      <c r="S57" s="56">
        <f t="shared" ca="1" si="7"/>
        <v>125</v>
      </c>
      <c r="T57" s="39">
        <f t="shared" ca="1" si="8"/>
        <v>687500</v>
      </c>
      <c r="U57" s="61">
        <f t="shared" ca="1" si="9"/>
        <v>0</v>
      </c>
      <c r="V57" s="61">
        <f t="shared" ca="1" si="10"/>
        <v>94500</v>
      </c>
      <c r="W57" s="62">
        <f t="shared" ca="1" si="11"/>
        <v>93000</v>
      </c>
      <c r="X57" s="14"/>
      <c r="AB57" s="11">
        <v>52</v>
      </c>
      <c r="AC57">
        <v>-97327.5</v>
      </c>
      <c r="AD57">
        <v>-62197.5</v>
      </c>
      <c r="AE57">
        <v>-33075</v>
      </c>
      <c r="AF57">
        <v>97.5</v>
      </c>
      <c r="AG57">
        <v>17722.5</v>
      </c>
      <c r="AH57">
        <v>54832.5</v>
      </c>
      <c r="AI57">
        <v>74272.5</v>
      </c>
      <c r="AJ57">
        <v>114592.5</v>
      </c>
      <c r="AK57">
        <v>147975</v>
      </c>
      <c r="AL57">
        <v>170400</v>
      </c>
    </row>
    <row r="58" spans="11:38" x14ac:dyDescent="0.3">
      <c r="K58" s="40">
        <v>54</v>
      </c>
      <c r="L58" s="39">
        <f t="shared" ca="1" si="1"/>
        <v>0.46689848208722051</v>
      </c>
      <c r="M58" s="39">
        <f t="shared" ca="1" si="2"/>
        <v>160</v>
      </c>
      <c r="N58" s="39">
        <f t="shared" ca="1" si="3"/>
        <v>0.52113067092580345</v>
      </c>
      <c r="O58" s="39">
        <f t="shared" ca="1" si="3"/>
        <v>0.59985115008235435</v>
      </c>
      <c r="P58" s="67">
        <f t="shared" ca="1" si="4"/>
        <v>0.3120981821008158</v>
      </c>
      <c r="Q58" s="56">
        <f t="shared" ca="1" si="5"/>
        <v>209.93570913613053</v>
      </c>
      <c r="R58" s="56">
        <f t="shared" ca="1" si="6"/>
        <v>210</v>
      </c>
      <c r="S58" s="56">
        <f t="shared" ca="1" si="7"/>
        <v>125</v>
      </c>
      <c r="T58" s="39">
        <f t="shared" ca="1" si="8"/>
        <v>687500</v>
      </c>
      <c r="U58" s="61">
        <f t="shared" ca="1" si="9"/>
        <v>0</v>
      </c>
      <c r="V58" s="61">
        <f t="shared" ca="1" si="10"/>
        <v>127500</v>
      </c>
      <c r="W58" s="62">
        <f t="shared" ca="1" si="11"/>
        <v>60000</v>
      </c>
      <c r="X58" s="14"/>
      <c r="AB58" s="11">
        <v>53</v>
      </c>
      <c r="AC58">
        <v>-100357.5</v>
      </c>
      <c r="AD58">
        <v>-68280</v>
      </c>
      <c r="AE58">
        <v>-34747.5</v>
      </c>
      <c r="AF58">
        <v>-5880</v>
      </c>
      <c r="AG58">
        <v>16845</v>
      </c>
      <c r="AH58">
        <v>52305</v>
      </c>
      <c r="AI58">
        <v>86017.5</v>
      </c>
      <c r="AJ58">
        <v>114247.5</v>
      </c>
      <c r="AK58">
        <v>138877.5</v>
      </c>
      <c r="AL58">
        <v>170325</v>
      </c>
    </row>
    <row r="59" spans="11:38" x14ac:dyDescent="0.3">
      <c r="K59" s="40">
        <v>55</v>
      </c>
      <c r="L59" s="39">
        <f t="shared" ca="1" si="1"/>
        <v>0.31283909854995173</v>
      </c>
      <c r="M59" s="39">
        <f t="shared" ca="1" si="2"/>
        <v>160</v>
      </c>
      <c r="N59" s="39">
        <f t="shared" ca="1" si="3"/>
        <v>0.44514410689632988</v>
      </c>
      <c r="O59" s="39">
        <f t="shared" ca="1" si="3"/>
        <v>0.75336014955431252</v>
      </c>
      <c r="P59" s="67">
        <f t="shared" ca="1" si="4"/>
        <v>0.31985042564506427</v>
      </c>
      <c r="Q59" s="56">
        <f t="shared" ca="1" si="5"/>
        <v>211.1760681032103</v>
      </c>
      <c r="R59" s="56">
        <f t="shared" ca="1" si="6"/>
        <v>212</v>
      </c>
      <c r="S59" s="56">
        <f t="shared" ca="1" si="7"/>
        <v>125</v>
      </c>
      <c r="T59" s="39">
        <f t="shared" ca="1" si="8"/>
        <v>687500</v>
      </c>
      <c r="U59" s="61">
        <f t="shared" ca="1" si="9"/>
        <v>0</v>
      </c>
      <c r="V59" s="61">
        <f t="shared" ca="1" si="10"/>
        <v>130500</v>
      </c>
      <c r="W59" s="62">
        <f t="shared" ca="1" si="11"/>
        <v>57000</v>
      </c>
      <c r="X59" s="14"/>
      <c r="AB59" s="11">
        <v>54</v>
      </c>
      <c r="AC59">
        <v>-99765</v>
      </c>
      <c r="AD59">
        <v>-77310</v>
      </c>
      <c r="AE59">
        <v>-42795</v>
      </c>
      <c r="AF59">
        <v>-9885</v>
      </c>
      <c r="AG59">
        <v>24427.5</v>
      </c>
      <c r="AH59">
        <v>63000</v>
      </c>
      <c r="AI59">
        <v>75052.5</v>
      </c>
      <c r="AJ59">
        <v>106822.5</v>
      </c>
      <c r="AK59">
        <v>145770</v>
      </c>
      <c r="AL59">
        <v>171352.5</v>
      </c>
    </row>
    <row r="60" spans="11:38" x14ac:dyDescent="0.3">
      <c r="K60" s="40">
        <v>56</v>
      </c>
      <c r="L60" s="39">
        <f t="shared" ca="1" si="1"/>
        <v>0.81439912362560996</v>
      </c>
      <c r="M60" s="39">
        <f t="shared" ca="1" si="2"/>
        <v>200</v>
      </c>
      <c r="N60" s="39">
        <f t="shared" ca="1" si="3"/>
        <v>0.87689571604374994</v>
      </c>
      <c r="O60" s="39">
        <f t="shared" ca="1" si="3"/>
        <v>7.7819546628167591E-2</v>
      </c>
      <c r="P60" s="67">
        <f t="shared" ca="1" si="4"/>
        <v>0.29547152626719175</v>
      </c>
      <c r="Q60" s="56">
        <f t="shared" ca="1" si="5"/>
        <v>259.09430525343834</v>
      </c>
      <c r="R60" s="56">
        <f t="shared" ca="1" si="6"/>
        <v>260</v>
      </c>
      <c r="S60" s="56">
        <f t="shared" ca="1" si="7"/>
        <v>125</v>
      </c>
      <c r="T60" s="39">
        <f t="shared" ca="1" si="8"/>
        <v>687500</v>
      </c>
      <c r="U60" s="61">
        <f t="shared" ca="1" si="9"/>
        <v>0</v>
      </c>
      <c r="V60" s="61">
        <f t="shared" ca="1" si="10"/>
        <v>202500</v>
      </c>
      <c r="W60" s="62">
        <f t="shared" ca="1" si="11"/>
        <v>-15000</v>
      </c>
      <c r="X60" s="14"/>
      <c r="AB60" s="11">
        <v>55</v>
      </c>
      <c r="AC60">
        <v>-94110</v>
      </c>
      <c r="AD60">
        <v>-71467.5</v>
      </c>
      <c r="AE60">
        <v>-36765</v>
      </c>
      <c r="AF60">
        <v>-14617.5</v>
      </c>
      <c r="AG60">
        <v>24097.5</v>
      </c>
      <c r="AH60">
        <v>46732.5</v>
      </c>
      <c r="AI60">
        <v>83002.5</v>
      </c>
      <c r="AJ60">
        <v>107977.5</v>
      </c>
      <c r="AK60">
        <v>144435</v>
      </c>
      <c r="AL60">
        <v>179865</v>
      </c>
    </row>
    <row r="61" spans="11:38" x14ac:dyDescent="0.3">
      <c r="K61" s="40">
        <v>57</v>
      </c>
      <c r="L61" s="39">
        <f t="shared" ca="1" si="1"/>
        <v>0.90896109367680633</v>
      </c>
      <c r="M61" s="39">
        <f t="shared" ca="1" si="2"/>
        <v>220</v>
      </c>
      <c r="N61" s="39">
        <f t="shared" ca="1" si="3"/>
        <v>0.50726940614945215</v>
      </c>
      <c r="O61" s="39">
        <f t="shared" ca="1" si="3"/>
        <v>0.47281758144030628</v>
      </c>
      <c r="P61" s="67">
        <f t="shared" ca="1" si="4"/>
        <v>0.29800869875897584</v>
      </c>
      <c r="Q61" s="56">
        <f t="shared" ca="1" si="5"/>
        <v>285.56191372697469</v>
      </c>
      <c r="R61" s="56">
        <f t="shared" ca="1" si="6"/>
        <v>286</v>
      </c>
      <c r="S61" s="56">
        <f t="shared" ca="1" si="7"/>
        <v>125</v>
      </c>
      <c r="T61" s="39">
        <f t="shared" ca="1" si="8"/>
        <v>687500</v>
      </c>
      <c r="U61" s="61">
        <f t="shared" ca="1" si="9"/>
        <v>0</v>
      </c>
      <c r="V61" s="61">
        <f t="shared" ca="1" si="10"/>
        <v>241500</v>
      </c>
      <c r="W61" s="62">
        <f t="shared" ca="1" si="11"/>
        <v>-54000</v>
      </c>
      <c r="X61" s="14"/>
      <c r="AB61" s="11">
        <v>56</v>
      </c>
      <c r="AC61">
        <v>-97740</v>
      </c>
      <c r="AD61">
        <v>-60675</v>
      </c>
      <c r="AE61">
        <v>-33097.5</v>
      </c>
      <c r="AF61">
        <v>-6015</v>
      </c>
      <c r="AG61">
        <v>27442.5</v>
      </c>
      <c r="AH61">
        <v>51000</v>
      </c>
      <c r="AI61">
        <v>78517.5</v>
      </c>
      <c r="AJ61">
        <v>114795</v>
      </c>
      <c r="AK61">
        <v>142875</v>
      </c>
      <c r="AL61">
        <v>176285</v>
      </c>
    </row>
    <row r="62" spans="11:38" x14ac:dyDescent="0.3">
      <c r="K62" s="40">
        <v>58</v>
      </c>
      <c r="L62" s="39">
        <f t="shared" ca="1" si="1"/>
        <v>0.93763669176659792</v>
      </c>
      <c r="M62" s="39">
        <f t="shared" ca="1" si="2"/>
        <v>220</v>
      </c>
      <c r="N62" s="39">
        <f t="shared" ca="1" si="3"/>
        <v>0.48716182115336748</v>
      </c>
      <c r="O62" s="39">
        <f t="shared" ca="1" si="3"/>
        <v>0.4020449813410486</v>
      </c>
      <c r="P62" s="67">
        <f t="shared" ca="1" si="4"/>
        <v>0.28892068024944162</v>
      </c>
      <c r="Q62" s="56">
        <f t="shared" ca="1" si="5"/>
        <v>283.56254965487716</v>
      </c>
      <c r="R62" s="56">
        <f t="shared" ca="1" si="6"/>
        <v>284</v>
      </c>
      <c r="S62" s="56">
        <f t="shared" ca="1" si="7"/>
        <v>125</v>
      </c>
      <c r="T62" s="39">
        <f t="shared" ca="1" si="8"/>
        <v>687500</v>
      </c>
      <c r="U62" s="61">
        <f t="shared" ca="1" si="9"/>
        <v>0</v>
      </c>
      <c r="V62" s="61">
        <f t="shared" ca="1" si="10"/>
        <v>238500</v>
      </c>
      <c r="W62" s="62">
        <f t="shared" ca="1" si="11"/>
        <v>-51000</v>
      </c>
      <c r="X62" s="14"/>
      <c r="AB62" s="11">
        <v>57</v>
      </c>
      <c r="AC62">
        <v>-94035</v>
      </c>
      <c r="AD62">
        <v>-67200</v>
      </c>
      <c r="AE62">
        <v>-40222.5</v>
      </c>
      <c r="AF62">
        <v>-667.5</v>
      </c>
      <c r="AG62">
        <v>18165</v>
      </c>
      <c r="AH62">
        <v>57015</v>
      </c>
      <c r="AI62">
        <v>88417.5</v>
      </c>
      <c r="AJ62">
        <v>110460</v>
      </c>
      <c r="AK62">
        <v>148455</v>
      </c>
      <c r="AL62">
        <v>171960</v>
      </c>
    </row>
    <row r="63" spans="11:38" x14ac:dyDescent="0.3">
      <c r="K63" s="40">
        <v>59</v>
      </c>
      <c r="L63" s="39">
        <f t="shared" ca="1" si="1"/>
        <v>0.45379154734635752</v>
      </c>
      <c r="M63" s="39">
        <f t="shared" ca="1" si="2"/>
        <v>160</v>
      </c>
      <c r="N63" s="39">
        <f t="shared" ca="1" si="3"/>
        <v>0.62739356650615186</v>
      </c>
      <c r="O63" s="39">
        <f t="shared" ca="1" si="3"/>
        <v>0.55764624022237352</v>
      </c>
      <c r="P63" s="67">
        <f t="shared" ca="1" si="4"/>
        <v>0.31850398067285257</v>
      </c>
      <c r="Q63" s="56">
        <f t="shared" ca="1" si="5"/>
        <v>210.96063690765641</v>
      </c>
      <c r="R63" s="56">
        <f t="shared" ca="1" si="6"/>
        <v>211</v>
      </c>
      <c r="S63" s="56">
        <f t="shared" ca="1" si="7"/>
        <v>125</v>
      </c>
      <c r="T63" s="39">
        <f t="shared" ca="1" si="8"/>
        <v>687500</v>
      </c>
      <c r="U63" s="61">
        <f t="shared" ca="1" si="9"/>
        <v>0</v>
      </c>
      <c r="V63" s="61">
        <f t="shared" ca="1" si="10"/>
        <v>129000</v>
      </c>
      <c r="W63" s="62">
        <f t="shared" ca="1" si="11"/>
        <v>58500</v>
      </c>
      <c r="X63" s="14"/>
      <c r="AB63" s="11">
        <v>58</v>
      </c>
      <c r="AC63">
        <v>-92640</v>
      </c>
      <c r="AD63">
        <v>-69855</v>
      </c>
      <c r="AE63">
        <v>-40905</v>
      </c>
      <c r="AF63">
        <v>-13500</v>
      </c>
      <c r="AG63">
        <v>16470</v>
      </c>
      <c r="AH63">
        <v>38355</v>
      </c>
      <c r="AI63">
        <v>77505</v>
      </c>
      <c r="AJ63">
        <v>109087.5</v>
      </c>
      <c r="AK63">
        <v>139950</v>
      </c>
      <c r="AL63">
        <v>171120</v>
      </c>
    </row>
    <row r="64" spans="11:38" x14ac:dyDescent="0.3">
      <c r="K64" s="40">
        <v>60</v>
      </c>
      <c r="L64" s="39">
        <f t="shared" ca="1" si="1"/>
        <v>0.54305920514546269</v>
      </c>
      <c r="M64" s="39">
        <f t="shared" ca="1" si="2"/>
        <v>180</v>
      </c>
      <c r="N64" s="39">
        <f t="shared" ca="1" si="3"/>
        <v>0.44012118804275402</v>
      </c>
      <c r="O64" s="39">
        <f t="shared" ca="1" si="3"/>
        <v>0.75719083164192569</v>
      </c>
      <c r="P64" s="67">
        <f t="shared" ca="1" si="4"/>
        <v>0.31973120196846799</v>
      </c>
      <c r="Q64" s="56">
        <f t="shared" ca="1" si="5"/>
        <v>237.55161635432424</v>
      </c>
      <c r="R64" s="56">
        <f t="shared" ca="1" si="6"/>
        <v>238</v>
      </c>
      <c r="S64" s="56">
        <f t="shared" ca="1" si="7"/>
        <v>125</v>
      </c>
      <c r="T64" s="39">
        <f t="shared" ca="1" si="8"/>
        <v>687500</v>
      </c>
      <c r="U64" s="61">
        <f t="shared" ca="1" si="9"/>
        <v>0</v>
      </c>
      <c r="V64" s="61">
        <f t="shared" ca="1" si="10"/>
        <v>169500</v>
      </c>
      <c r="W64" s="62">
        <f t="shared" ca="1" si="11"/>
        <v>18000</v>
      </c>
      <c r="X64" s="14"/>
      <c r="AB64" s="11">
        <v>59</v>
      </c>
      <c r="AC64">
        <v>-100762.5</v>
      </c>
      <c r="AD64">
        <v>-71715</v>
      </c>
      <c r="AE64">
        <v>-38145</v>
      </c>
      <c r="AF64">
        <v>-7995</v>
      </c>
      <c r="AG64">
        <v>26565</v>
      </c>
      <c r="AH64">
        <v>47707.5</v>
      </c>
      <c r="AI64">
        <v>82320</v>
      </c>
      <c r="AJ64">
        <v>114157.5</v>
      </c>
      <c r="AK64">
        <v>139657.5</v>
      </c>
      <c r="AL64">
        <v>170347.5</v>
      </c>
    </row>
    <row r="65" spans="11:38" x14ac:dyDescent="0.3">
      <c r="K65" s="40">
        <v>61</v>
      </c>
      <c r="L65" s="39">
        <f t="shared" ca="1" si="1"/>
        <v>0.85659891115783271</v>
      </c>
      <c r="M65" s="39">
        <f t="shared" ca="1" si="2"/>
        <v>200</v>
      </c>
      <c r="N65" s="39">
        <f t="shared" ca="1" si="3"/>
        <v>0.84702963162231704</v>
      </c>
      <c r="O65" s="39">
        <f t="shared" ca="1" si="3"/>
        <v>0.76649860073662601</v>
      </c>
      <c r="P65" s="67">
        <f t="shared" ca="1" si="4"/>
        <v>0.36135282323589435</v>
      </c>
      <c r="Q65" s="56">
        <f t="shared" ca="1" si="5"/>
        <v>272.27056464717884</v>
      </c>
      <c r="R65" s="56">
        <f t="shared" ca="1" si="6"/>
        <v>273</v>
      </c>
      <c r="S65" s="56">
        <f t="shared" ca="1" si="7"/>
        <v>125</v>
      </c>
      <c r="T65" s="39">
        <f t="shared" ca="1" si="8"/>
        <v>687500</v>
      </c>
      <c r="U65" s="61">
        <f t="shared" ca="1" si="9"/>
        <v>0</v>
      </c>
      <c r="V65" s="61">
        <f t="shared" ca="1" si="10"/>
        <v>222000</v>
      </c>
      <c r="W65" s="62">
        <f t="shared" ca="1" si="11"/>
        <v>-34500</v>
      </c>
      <c r="X65" s="14"/>
      <c r="AB65" s="11">
        <v>60</v>
      </c>
      <c r="AC65">
        <v>-99045</v>
      </c>
      <c r="AD65">
        <v>-68580</v>
      </c>
      <c r="AE65">
        <v>-38062.5</v>
      </c>
      <c r="AF65">
        <v>-4282.5</v>
      </c>
      <c r="AG65">
        <v>19800</v>
      </c>
      <c r="AH65">
        <v>50175</v>
      </c>
      <c r="AI65">
        <v>77602.5</v>
      </c>
      <c r="AJ65">
        <v>111682.5</v>
      </c>
      <c r="AK65">
        <v>139065</v>
      </c>
      <c r="AL65">
        <v>180442.5</v>
      </c>
    </row>
    <row r="66" spans="11:38" x14ac:dyDescent="0.3">
      <c r="K66" s="40">
        <v>62</v>
      </c>
      <c r="L66" s="39">
        <f t="shared" ca="1" si="1"/>
        <v>0.88041453304306527</v>
      </c>
      <c r="M66" s="39">
        <f t="shared" ca="1" si="2"/>
        <v>200</v>
      </c>
      <c r="N66" s="39">
        <f t="shared" ca="1" si="3"/>
        <v>0.16117685182090102</v>
      </c>
      <c r="O66" s="39">
        <f t="shared" ca="1" si="3"/>
        <v>0.57690226113209941</v>
      </c>
      <c r="P66" s="67">
        <f t="shared" ca="1" si="4"/>
        <v>0.27380791129530008</v>
      </c>
      <c r="Q66" s="56">
        <f t="shared" ca="1" si="5"/>
        <v>254.76158225906002</v>
      </c>
      <c r="R66" s="56">
        <f t="shared" ca="1" si="6"/>
        <v>255</v>
      </c>
      <c r="S66" s="56">
        <f t="shared" ca="1" si="7"/>
        <v>125</v>
      </c>
      <c r="T66" s="39">
        <f t="shared" ca="1" si="8"/>
        <v>687500</v>
      </c>
      <c r="U66" s="61">
        <f t="shared" ca="1" si="9"/>
        <v>0</v>
      </c>
      <c r="V66" s="61">
        <f t="shared" ca="1" si="10"/>
        <v>195000</v>
      </c>
      <c r="W66" s="62">
        <f t="shared" ca="1" si="11"/>
        <v>-7500</v>
      </c>
      <c r="X66" s="14"/>
      <c r="AB66" s="11">
        <v>61</v>
      </c>
      <c r="AC66">
        <v>-93375</v>
      </c>
      <c r="AD66">
        <v>-69652.5</v>
      </c>
      <c r="AE66">
        <v>-45517.5</v>
      </c>
      <c r="AF66">
        <v>-7177.5</v>
      </c>
      <c r="AG66">
        <v>24000</v>
      </c>
      <c r="AH66">
        <v>48195</v>
      </c>
      <c r="AI66">
        <v>86025</v>
      </c>
      <c r="AJ66">
        <v>119152.5</v>
      </c>
      <c r="AK66">
        <v>142447.5</v>
      </c>
      <c r="AL66">
        <v>173340</v>
      </c>
    </row>
    <row r="67" spans="11:38" x14ac:dyDescent="0.3">
      <c r="K67" s="40">
        <v>63</v>
      </c>
      <c r="L67" s="39">
        <f t="shared" ca="1" si="1"/>
        <v>7.4119449714752039E-2</v>
      </c>
      <c r="M67" s="39">
        <f t="shared" ca="1" si="2"/>
        <v>140</v>
      </c>
      <c r="N67" s="39">
        <f t="shared" ca="1" si="3"/>
        <v>0.70320230583579513</v>
      </c>
      <c r="O67" s="39">
        <f t="shared" ca="1" si="3"/>
        <v>0.50165193772269734</v>
      </c>
      <c r="P67" s="67">
        <f t="shared" ca="1" si="4"/>
        <v>0.32048542435584926</v>
      </c>
      <c r="Q67" s="56">
        <f t="shared" ca="1" si="5"/>
        <v>184.86795940981889</v>
      </c>
      <c r="R67" s="56">
        <f t="shared" ca="1" si="6"/>
        <v>185</v>
      </c>
      <c r="S67" s="56">
        <f t="shared" ca="1" si="7"/>
        <v>125</v>
      </c>
      <c r="T67" s="39">
        <f t="shared" ca="1" si="8"/>
        <v>687500</v>
      </c>
      <c r="U67" s="61">
        <f t="shared" ca="1" si="9"/>
        <v>0</v>
      </c>
      <c r="V67" s="61">
        <f t="shared" ca="1" si="10"/>
        <v>90000</v>
      </c>
      <c r="W67" s="62">
        <f t="shared" ca="1" si="11"/>
        <v>97500</v>
      </c>
      <c r="X67" s="14"/>
      <c r="AB67" s="11">
        <v>62</v>
      </c>
      <c r="AC67">
        <v>-103192.5</v>
      </c>
      <c r="AD67">
        <v>-75825</v>
      </c>
      <c r="AE67">
        <v>-39847.5</v>
      </c>
      <c r="AF67">
        <v>-10657.5</v>
      </c>
      <c r="AG67">
        <v>19560</v>
      </c>
      <c r="AH67">
        <v>49425</v>
      </c>
      <c r="AI67">
        <v>87030</v>
      </c>
      <c r="AJ67">
        <v>113325</v>
      </c>
      <c r="AK67">
        <v>136777.5</v>
      </c>
      <c r="AL67">
        <v>169935</v>
      </c>
    </row>
    <row r="68" spans="11:38" x14ac:dyDescent="0.3">
      <c r="K68" s="40">
        <v>64</v>
      </c>
      <c r="L68" s="39">
        <f t="shared" ca="1" si="1"/>
        <v>0.30213994402603717</v>
      </c>
      <c r="M68" s="39">
        <f t="shared" ca="1" si="2"/>
        <v>160</v>
      </c>
      <c r="N68" s="39">
        <f t="shared" ca="1" si="3"/>
        <v>0.62184241725693357</v>
      </c>
      <c r="O68" s="39">
        <f t="shared" ca="1" si="3"/>
        <v>0.76757450426001284</v>
      </c>
      <c r="P68" s="67">
        <f t="shared" ca="1" si="4"/>
        <v>0.33894169215169467</v>
      </c>
      <c r="Q68" s="56">
        <f t="shared" ca="1" si="5"/>
        <v>214.23067074427115</v>
      </c>
      <c r="R68" s="56">
        <f t="shared" ca="1" si="6"/>
        <v>215</v>
      </c>
      <c r="S68" s="56">
        <f t="shared" ca="1" si="7"/>
        <v>125</v>
      </c>
      <c r="T68" s="39">
        <f t="shared" ca="1" si="8"/>
        <v>687500</v>
      </c>
      <c r="U68" s="61">
        <f t="shared" ca="1" si="9"/>
        <v>0</v>
      </c>
      <c r="V68" s="61">
        <f t="shared" ca="1" si="10"/>
        <v>135000</v>
      </c>
      <c r="W68" s="62">
        <f t="shared" ca="1" si="11"/>
        <v>52500</v>
      </c>
      <c r="X68" s="14"/>
      <c r="AB68" s="11">
        <v>63</v>
      </c>
      <c r="AC68">
        <v>-100665</v>
      </c>
      <c r="AD68">
        <v>-72202.5</v>
      </c>
      <c r="AE68">
        <v>-32617.5</v>
      </c>
      <c r="AF68">
        <v>-4665</v>
      </c>
      <c r="AG68">
        <v>17175</v>
      </c>
      <c r="AH68">
        <v>50587.5</v>
      </c>
      <c r="AI68">
        <v>76770</v>
      </c>
      <c r="AJ68">
        <v>105727.5</v>
      </c>
      <c r="AK68">
        <v>139815</v>
      </c>
      <c r="AL68">
        <v>172697.5</v>
      </c>
    </row>
    <row r="69" spans="11:38" x14ac:dyDescent="0.3">
      <c r="K69" s="40">
        <v>65</v>
      </c>
      <c r="L69" s="39">
        <f t="shared" ca="1" si="1"/>
        <v>0.32068117896474646</v>
      </c>
      <c r="M69" s="39">
        <f t="shared" ca="1" si="2"/>
        <v>160</v>
      </c>
      <c r="N69" s="39">
        <f t="shared" ca="1" si="3"/>
        <v>0.44556152032593366</v>
      </c>
      <c r="O69" s="39">
        <f t="shared" ca="1" si="3"/>
        <v>0.73980754650009972</v>
      </c>
      <c r="P69" s="67">
        <f t="shared" ca="1" si="4"/>
        <v>0.31853690668260337</v>
      </c>
      <c r="Q69" s="56">
        <f t="shared" ca="1" si="5"/>
        <v>210.96590506921655</v>
      </c>
      <c r="R69" s="56">
        <f t="shared" ca="1" si="6"/>
        <v>211</v>
      </c>
      <c r="S69" s="56">
        <f t="shared" ca="1" si="7"/>
        <v>125</v>
      </c>
      <c r="T69" s="39">
        <f t="shared" ca="1" si="8"/>
        <v>687500</v>
      </c>
      <c r="U69" s="61">
        <f t="shared" ca="1" si="9"/>
        <v>0</v>
      </c>
      <c r="V69" s="61">
        <f t="shared" ca="1" si="10"/>
        <v>129000</v>
      </c>
      <c r="W69" s="62">
        <f t="shared" ca="1" si="11"/>
        <v>58500</v>
      </c>
      <c r="X69" s="14"/>
      <c r="AB69" s="11">
        <v>64</v>
      </c>
      <c r="AC69">
        <v>-100912.5</v>
      </c>
      <c r="AD69">
        <v>-71407.5</v>
      </c>
      <c r="AE69">
        <v>-41872.5</v>
      </c>
      <c r="AF69">
        <v>-13380</v>
      </c>
      <c r="AG69">
        <v>25215</v>
      </c>
      <c r="AH69">
        <v>53557.5</v>
      </c>
      <c r="AI69">
        <v>88432.5</v>
      </c>
      <c r="AJ69">
        <v>110767.5</v>
      </c>
      <c r="AK69">
        <v>145537.5</v>
      </c>
      <c r="AL69">
        <v>174937.5</v>
      </c>
    </row>
    <row r="70" spans="11:38" x14ac:dyDescent="0.3">
      <c r="K70" s="40">
        <v>66</v>
      </c>
      <c r="L70" s="39">
        <f t="shared" ref="L70:L133" ca="1" si="12">RAND()</f>
        <v>0.52506212667463281</v>
      </c>
      <c r="M70" s="39">
        <f t="shared" ref="M70:M133" ca="1" si="13">VLOOKUP(L70,$C$5:$E$9,3,TRUE)</f>
        <v>180</v>
      </c>
      <c r="N70" s="39">
        <f t="shared" ref="N70:O133" ca="1" si="14">RAND()</f>
        <v>0.54831130988287435</v>
      </c>
      <c r="O70" s="39">
        <f t="shared" ca="1" si="14"/>
        <v>0.58752223143621118</v>
      </c>
      <c r="P70" s="67">
        <f t="shared" ref="P70:P133" ca="1" si="15">$E$11+($E$12-$E$11)/2*(N70+O70)</f>
        <v>0.31358335413190858</v>
      </c>
      <c r="Q70" s="56">
        <f t="shared" ref="Q70:Q133" ca="1" si="16">M70+(M70*P70)</f>
        <v>236.44500374374354</v>
      </c>
      <c r="R70" s="56">
        <f t="shared" ref="R70:R133" ca="1" si="17">ROUNDUP(Q70,0)</f>
        <v>237</v>
      </c>
      <c r="S70" s="56">
        <f t="shared" ref="S70:S133" ca="1" si="18">MIN(R70,$M$1)</f>
        <v>125</v>
      </c>
      <c r="T70" s="39">
        <f t="shared" ref="T70:T133" ca="1" si="19">S70*$B$14</f>
        <v>687500</v>
      </c>
      <c r="U70" s="61">
        <f t="shared" ref="U70:U133" ca="1" si="20">($M$1-S70)*$B$15</f>
        <v>0</v>
      </c>
      <c r="V70" s="61">
        <f t="shared" ref="V70:V133" ca="1" si="21">IF(R70&gt;$M$1,(R70-$M$1)*1500,0)</f>
        <v>168000</v>
      </c>
      <c r="W70" s="62">
        <f t="shared" ref="W70:W133" ca="1" si="22">U70+T70-$M$2-V70</f>
        <v>19500</v>
      </c>
      <c r="X70" s="14"/>
      <c r="AB70" s="11">
        <v>65</v>
      </c>
      <c r="AC70">
        <v>-95992.5</v>
      </c>
      <c r="AD70">
        <v>-65175</v>
      </c>
      <c r="AE70">
        <v>-37875</v>
      </c>
      <c r="AF70">
        <v>-8010</v>
      </c>
      <c r="AG70">
        <v>21315</v>
      </c>
      <c r="AH70">
        <v>49320</v>
      </c>
      <c r="AI70">
        <v>84502.5</v>
      </c>
      <c r="AJ70">
        <v>112777.5</v>
      </c>
      <c r="AK70">
        <v>140760</v>
      </c>
      <c r="AL70">
        <v>170865</v>
      </c>
    </row>
    <row r="71" spans="11:38" x14ac:dyDescent="0.3">
      <c r="K71" s="40">
        <v>67</v>
      </c>
      <c r="L71" s="39">
        <f t="shared" ca="1" si="12"/>
        <v>0.73590300184231616</v>
      </c>
      <c r="M71" s="39">
        <f t="shared" ca="1" si="13"/>
        <v>200</v>
      </c>
      <c r="N71" s="39">
        <f t="shared" ca="1" si="14"/>
        <v>0.10407289679034171</v>
      </c>
      <c r="O71" s="39">
        <f t="shared" ca="1" si="14"/>
        <v>0.32164775603959672</v>
      </c>
      <c r="P71" s="67">
        <f t="shared" ca="1" si="15"/>
        <v>0.24257206528299385</v>
      </c>
      <c r="Q71" s="56">
        <f t="shared" ca="1" si="16"/>
        <v>248.51441305659876</v>
      </c>
      <c r="R71" s="56">
        <f t="shared" ca="1" si="17"/>
        <v>249</v>
      </c>
      <c r="S71" s="56">
        <f t="shared" ca="1" si="18"/>
        <v>125</v>
      </c>
      <c r="T71" s="39">
        <f t="shared" ca="1" si="19"/>
        <v>687500</v>
      </c>
      <c r="U71" s="61">
        <f t="shared" ca="1" si="20"/>
        <v>0</v>
      </c>
      <c r="V71" s="61">
        <f t="shared" ca="1" si="21"/>
        <v>186000</v>
      </c>
      <c r="W71" s="62">
        <f t="shared" ca="1" si="22"/>
        <v>1500</v>
      </c>
      <c r="X71" s="14"/>
      <c r="AB71" s="11">
        <v>66</v>
      </c>
      <c r="AC71">
        <v>-102045</v>
      </c>
      <c r="AD71">
        <v>-72142.5</v>
      </c>
      <c r="AE71">
        <v>-29827.5</v>
      </c>
      <c r="AF71">
        <v>-5632.5</v>
      </c>
      <c r="AG71">
        <v>15390</v>
      </c>
      <c r="AH71">
        <v>54915</v>
      </c>
      <c r="AI71">
        <v>84532.5</v>
      </c>
      <c r="AJ71">
        <v>108435</v>
      </c>
      <c r="AK71">
        <v>139590</v>
      </c>
      <c r="AL71">
        <v>170250</v>
      </c>
    </row>
    <row r="72" spans="11:38" x14ac:dyDescent="0.3">
      <c r="K72" s="40">
        <v>68</v>
      </c>
      <c r="L72" s="39">
        <f t="shared" ca="1" si="12"/>
        <v>0.9450660794641873</v>
      </c>
      <c r="M72" s="39">
        <f t="shared" ca="1" si="13"/>
        <v>220</v>
      </c>
      <c r="N72" s="39">
        <f t="shared" ca="1" si="14"/>
        <v>0.1848576630368004</v>
      </c>
      <c r="O72" s="39">
        <f t="shared" ca="1" si="14"/>
        <v>0.67166970133150139</v>
      </c>
      <c r="P72" s="67">
        <f t="shared" ca="1" si="15"/>
        <v>0.2856527364368302</v>
      </c>
      <c r="Q72" s="56">
        <f t="shared" ca="1" si="16"/>
        <v>282.84360201610264</v>
      </c>
      <c r="R72" s="56">
        <f t="shared" ca="1" si="17"/>
        <v>283</v>
      </c>
      <c r="S72" s="56">
        <f t="shared" ca="1" si="18"/>
        <v>125</v>
      </c>
      <c r="T72" s="39">
        <f t="shared" ca="1" si="19"/>
        <v>687500</v>
      </c>
      <c r="U72" s="61">
        <f t="shared" ca="1" si="20"/>
        <v>0</v>
      </c>
      <c r="V72" s="61">
        <f t="shared" ca="1" si="21"/>
        <v>237000</v>
      </c>
      <c r="W72" s="62">
        <f t="shared" ca="1" si="22"/>
        <v>-49500</v>
      </c>
      <c r="X72" s="14"/>
      <c r="AB72" s="11">
        <v>67</v>
      </c>
      <c r="AC72">
        <v>-97957.5</v>
      </c>
      <c r="AD72">
        <v>-70680</v>
      </c>
      <c r="AE72">
        <v>-38227.5</v>
      </c>
      <c r="AF72">
        <v>-1177.5</v>
      </c>
      <c r="AG72">
        <v>23505</v>
      </c>
      <c r="AH72">
        <v>52972.5</v>
      </c>
      <c r="AI72">
        <v>76237.5</v>
      </c>
      <c r="AJ72">
        <v>110857.5</v>
      </c>
      <c r="AK72">
        <v>143910</v>
      </c>
      <c r="AL72">
        <v>172875</v>
      </c>
    </row>
    <row r="73" spans="11:38" x14ac:dyDescent="0.3">
      <c r="K73" s="40">
        <v>69</v>
      </c>
      <c r="L73" s="39">
        <f t="shared" ca="1" si="12"/>
        <v>0.4292422279524114</v>
      </c>
      <c r="M73" s="39">
        <f t="shared" ca="1" si="13"/>
        <v>160</v>
      </c>
      <c r="N73" s="39">
        <f t="shared" ca="1" si="14"/>
        <v>0.42715644252464469</v>
      </c>
      <c r="O73" s="39">
        <f t="shared" ca="1" si="14"/>
        <v>0.57633398923291579</v>
      </c>
      <c r="P73" s="67">
        <f t="shared" ca="1" si="15"/>
        <v>0.30034904317575606</v>
      </c>
      <c r="Q73" s="56">
        <f t="shared" ca="1" si="16"/>
        <v>208.05584690812097</v>
      </c>
      <c r="R73" s="56">
        <f t="shared" ca="1" si="17"/>
        <v>209</v>
      </c>
      <c r="S73" s="56">
        <f t="shared" ca="1" si="18"/>
        <v>125</v>
      </c>
      <c r="T73" s="39">
        <f t="shared" ca="1" si="19"/>
        <v>687500</v>
      </c>
      <c r="U73" s="61">
        <f t="shared" ca="1" si="20"/>
        <v>0</v>
      </c>
      <c r="V73" s="61">
        <f t="shared" ca="1" si="21"/>
        <v>126000</v>
      </c>
      <c r="W73" s="62">
        <f t="shared" ca="1" si="22"/>
        <v>61500</v>
      </c>
      <c r="X73" s="14"/>
      <c r="AB73" s="11">
        <v>68</v>
      </c>
      <c r="AC73">
        <v>-104745</v>
      </c>
      <c r="AD73">
        <v>-67177.5</v>
      </c>
      <c r="AE73">
        <v>-36277.5</v>
      </c>
      <c r="AF73">
        <v>-7117.5</v>
      </c>
      <c r="AG73">
        <v>24142.5</v>
      </c>
      <c r="AH73">
        <v>48772.5</v>
      </c>
      <c r="AI73">
        <v>87817.5</v>
      </c>
      <c r="AJ73">
        <v>116302.5</v>
      </c>
      <c r="AK73">
        <v>148005</v>
      </c>
      <c r="AL73">
        <v>167167.5</v>
      </c>
    </row>
    <row r="74" spans="11:38" x14ac:dyDescent="0.3">
      <c r="K74" s="40">
        <v>70</v>
      </c>
      <c r="L74" s="39">
        <f t="shared" ca="1" si="12"/>
        <v>0.22347649970764671</v>
      </c>
      <c r="M74" s="39">
        <f t="shared" ca="1" si="13"/>
        <v>140</v>
      </c>
      <c r="N74" s="39">
        <f t="shared" ca="1" si="14"/>
        <v>0.78031849045254786</v>
      </c>
      <c r="O74" s="39">
        <f t="shared" ca="1" si="14"/>
        <v>0.7416745693170872</v>
      </c>
      <c r="P74" s="67">
        <f t="shared" ca="1" si="15"/>
        <v>0.35219930597696353</v>
      </c>
      <c r="Q74" s="56">
        <f t="shared" ca="1" si="16"/>
        <v>189.3079028367749</v>
      </c>
      <c r="R74" s="56">
        <f t="shared" ca="1" si="17"/>
        <v>190</v>
      </c>
      <c r="S74" s="56">
        <f t="shared" ca="1" si="18"/>
        <v>125</v>
      </c>
      <c r="T74" s="39">
        <f t="shared" ca="1" si="19"/>
        <v>687500</v>
      </c>
      <c r="U74" s="61">
        <f t="shared" ca="1" si="20"/>
        <v>0</v>
      </c>
      <c r="V74" s="61">
        <f t="shared" ca="1" si="21"/>
        <v>97500</v>
      </c>
      <c r="W74" s="62">
        <f t="shared" ca="1" si="22"/>
        <v>90000</v>
      </c>
      <c r="X74" s="14"/>
      <c r="AB74" s="11">
        <v>69</v>
      </c>
      <c r="AC74">
        <v>-97080</v>
      </c>
      <c r="AD74">
        <v>-54262.5</v>
      </c>
      <c r="AE74">
        <v>-33345</v>
      </c>
      <c r="AF74">
        <v>-1665</v>
      </c>
      <c r="AG74">
        <v>21532.5</v>
      </c>
      <c r="AH74">
        <v>49785</v>
      </c>
      <c r="AI74">
        <v>86865</v>
      </c>
      <c r="AJ74">
        <v>116835</v>
      </c>
      <c r="AK74">
        <v>138600</v>
      </c>
      <c r="AL74">
        <v>176085</v>
      </c>
    </row>
    <row r="75" spans="11:38" x14ac:dyDescent="0.3">
      <c r="K75" s="40">
        <v>71</v>
      </c>
      <c r="L75" s="39">
        <f t="shared" ca="1" si="12"/>
        <v>0.8937864553218472</v>
      </c>
      <c r="M75" s="39">
        <f t="shared" ca="1" si="13"/>
        <v>200</v>
      </c>
      <c r="N75" s="39">
        <f t="shared" ca="1" si="14"/>
        <v>0.16688222272273823</v>
      </c>
      <c r="O75" s="39">
        <f t="shared" ca="1" si="14"/>
        <v>0.18586462907835843</v>
      </c>
      <c r="P75" s="67">
        <f t="shared" ca="1" si="15"/>
        <v>0.23527468518010969</v>
      </c>
      <c r="Q75" s="56">
        <f t="shared" ca="1" si="16"/>
        <v>247.05493703602195</v>
      </c>
      <c r="R75" s="56">
        <f t="shared" ca="1" si="17"/>
        <v>248</v>
      </c>
      <c r="S75" s="56">
        <f t="shared" ca="1" si="18"/>
        <v>125</v>
      </c>
      <c r="T75" s="39">
        <f t="shared" ca="1" si="19"/>
        <v>687500</v>
      </c>
      <c r="U75" s="61">
        <f t="shared" ca="1" si="20"/>
        <v>0</v>
      </c>
      <c r="V75" s="61">
        <f t="shared" ca="1" si="21"/>
        <v>184500</v>
      </c>
      <c r="W75" s="62">
        <f t="shared" ca="1" si="22"/>
        <v>3000</v>
      </c>
      <c r="X75" s="14"/>
      <c r="AB75" s="11">
        <v>70</v>
      </c>
      <c r="AC75">
        <v>-103590</v>
      </c>
      <c r="AD75">
        <v>-69780</v>
      </c>
      <c r="AE75">
        <v>-39435</v>
      </c>
      <c r="AF75">
        <v>-7410</v>
      </c>
      <c r="AG75">
        <v>11955</v>
      </c>
      <c r="AH75">
        <v>50212.5</v>
      </c>
      <c r="AI75">
        <v>83392.5</v>
      </c>
      <c r="AJ75">
        <v>112297.5</v>
      </c>
      <c r="AK75">
        <v>142140</v>
      </c>
      <c r="AL75">
        <v>170790</v>
      </c>
    </row>
    <row r="76" spans="11:38" x14ac:dyDescent="0.3">
      <c r="K76" s="40">
        <v>72</v>
      </c>
      <c r="L76" s="39">
        <f t="shared" ca="1" si="12"/>
        <v>9.5496912365936715E-2</v>
      </c>
      <c r="M76" s="39">
        <f t="shared" ca="1" si="13"/>
        <v>140</v>
      </c>
      <c r="N76" s="39">
        <f t="shared" ca="1" si="14"/>
        <v>0.83835286624842242</v>
      </c>
      <c r="O76" s="39">
        <f t="shared" ca="1" si="14"/>
        <v>0.83891858495020344</v>
      </c>
      <c r="P76" s="67">
        <f t="shared" ca="1" si="15"/>
        <v>0.3677271451198626</v>
      </c>
      <c r="Q76" s="56">
        <f t="shared" ca="1" si="16"/>
        <v>191.48180031678078</v>
      </c>
      <c r="R76" s="56">
        <f t="shared" ca="1" si="17"/>
        <v>192</v>
      </c>
      <c r="S76" s="56">
        <f t="shared" ca="1" si="18"/>
        <v>125</v>
      </c>
      <c r="T76" s="39">
        <f t="shared" ca="1" si="19"/>
        <v>687500</v>
      </c>
      <c r="U76" s="61">
        <f t="shared" ca="1" si="20"/>
        <v>0</v>
      </c>
      <c r="V76" s="61">
        <f t="shared" ca="1" si="21"/>
        <v>100500</v>
      </c>
      <c r="W76" s="62">
        <f t="shared" ca="1" si="22"/>
        <v>87000</v>
      </c>
      <c r="X76" s="14"/>
      <c r="AB76" s="11">
        <v>71</v>
      </c>
      <c r="AC76">
        <v>-102832.5</v>
      </c>
      <c r="AD76">
        <v>-62925</v>
      </c>
      <c r="AE76">
        <v>-32295</v>
      </c>
      <c r="AF76">
        <v>-17107.5</v>
      </c>
      <c r="AG76">
        <v>21352.5</v>
      </c>
      <c r="AH76">
        <v>57262.5</v>
      </c>
      <c r="AI76">
        <v>75037.5</v>
      </c>
      <c r="AJ76">
        <v>106207.5</v>
      </c>
      <c r="AK76">
        <v>148905</v>
      </c>
      <c r="AL76">
        <v>177517.5</v>
      </c>
    </row>
    <row r="77" spans="11:38" x14ac:dyDescent="0.3">
      <c r="K77" s="40">
        <v>73</v>
      </c>
      <c r="L77" s="39">
        <f t="shared" ca="1" si="12"/>
        <v>0.96649016144315192</v>
      </c>
      <c r="M77" s="39">
        <f t="shared" ca="1" si="13"/>
        <v>220</v>
      </c>
      <c r="N77" s="39">
        <f t="shared" ca="1" si="14"/>
        <v>1.3949493156753201E-2</v>
      </c>
      <c r="O77" s="39">
        <f t="shared" ca="1" si="14"/>
        <v>0.22976706884529918</v>
      </c>
      <c r="P77" s="67">
        <f t="shared" ca="1" si="15"/>
        <v>0.22437165620020524</v>
      </c>
      <c r="Q77" s="56">
        <f t="shared" ca="1" si="16"/>
        <v>269.36176436404514</v>
      </c>
      <c r="R77" s="56">
        <f t="shared" ca="1" si="17"/>
        <v>270</v>
      </c>
      <c r="S77" s="56">
        <f t="shared" ca="1" si="18"/>
        <v>125</v>
      </c>
      <c r="T77" s="39">
        <f t="shared" ca="1" si="19"/>
        <v>687500</v>
      </c>
      <c r="U77" s="61">
        <f t="shared" ca="1" si="20"/>
        <v>0</v>
      </c>
      <c r="V77" s="61">
        <f t="shared" ca="1" si="21"/>
        <v>217500</v>
      </c>
      <c r="W77" s="62">
        <f t="shared" ca="1" si="22"/>
        <v>-30000</v>
      </c>
      <c r="X77" s="14"/>
      <c r="AB77" s="11">
        <v>72</v>
      </c>
      <c r="AC77">
        <v>-91860</v>
      </c>
      <c r="AD77">
        <v>-68977.5</v>
      </c>
      <c r="AE77">
        <v>-32872.5</v>
      </c>
      <c r="AF77">
        <v>-12067.5</v>
      </c>
      <c r="AG77">
        <v>23625</v>
      </c>
      <c r="AH77">
        <v>49042.5</v>
      </c>
      <c r="AI77">
        <v>79207.5</v>
      </c>
      <c r="AJ77">
        <v>113047.5</v>
      </c>
      <c r="AK77">
        <v>140580</v>
      </c>
      <c r="AL77">
        <v>170902.5</v>
      </c>
    </row>
    <row r="78" spans="11:38" x14ac:dyDescent="0.3">
      <c r="K78" s="40">
        <v>74</v>
      </c>
      <c r="L78" s="39">
        <f t="shared" ca="1" si="12"/>
        <v>0.86915783258185242</v>
      </c>
      <c r="M78" s="39">
        <f t="shared" ca="1" si="13"/>
        <v>200</v>
      </c>
      <c r="N78" s="39">
        <f t="shared" ca="1" si="14"/>
        <v>0.71214547700747988</v>
      </c>
      <c r="O78" s="39">
        <f t="shared" ca="1" si="14"/>
        <v>0.90179639823340152</v>
      </c>
      <c r="P78" s="67">
        <f t="shared" ca="1" si="15"/>
        <v>0.36139418752408814</v>
      </c>
      <c r="Q78" s="56">
        <f t="shared" ca="1" si="16"/>
        <v>272.2788375048176</v>
      </c>
      <c r="R78" s="56">
        <f t="shared" ca="1" si="17"/>
        <v>273</v>
      </c>
      <c r="S78" s="56">
        <f t="shared" ca="1" si="18"/>
        <v>125</v>
      </c>
      <c r="T78" s="39">
        <f t="shared" ca="1" si="19"/>
        <v>687500</v>
      </c>
      <c r="U78" s="61">
        <f t="shared" ca="1" si="20"/>
        <v>0</v>
      </c>
      <c r="V78" s="61">
        <f t="shared" ca="1" si="21"/>
        <v>222000</v>
      </c>
      <c r="W78" s="62">
        <f t="shared" ca="1" si="22"/>
        <v>-34500</v>
      </c>
      <c r="X78" s="14"/>
      <c r="AB78" s="11">
        <v>73</v>
      </c>
      <c r="AC78">
        <v>-90262.5</v>
      </c>
      <c r="AD78">
        <v>-62415</v>
      </c>
      <c r="AE78">
        <v>-40297.5</v>
      </c>
      <c r="AF78">
        <v>-7402.5</v>
      </c>
      <c r="AG78">
        <v>25057.5</v>
      </c>
      <c r="AH78">
        <v>48645</v>
      </c>
      <c r="AI78">
        <v>73507.5</v>
      </c>
      <c r="AJ78">
        <v>110040</v>
      </c>
      <c r="AK78">
        <v>141052.5</v>
      </c>
      <c r="AL78">
        <v>170805</v>
      </c>
    </row>
    <row r="79" spans="11:38" x14ac:dyDescent="0.3">
      <c r="K79" s="40">
        <v>75</v>
      </c>
      <c r="L79" s="39">
        <f t="shared" ca="1" si="12"/>
        <v>0.92779307592235905</v>
      </c>
      <c r="M79" s="39">
        <f t="shared" ca="1" si="13"/>
        <v>220</v>
      </c>
      <c r="N79" s="39">
        <f t="shared" ca="1" si="14"/>
        <v>4.1165773740291844E-2</v>
      </c>
      <c r="O79" s="39">
        <f t="shared" ca="1" si="14"/>
        <v>0.36689744670915725</v>
      </c>
      <c r="P79" s="67">
        <f t="shared" ca="1" si="15"/>
        <v>0.24080632204494493</v>
      </c>
      <c r="Q79" s="56">
        <f t="shared" ca="1" si="16"/>
        <v>272.97739084988791</v>
      </c>
      <c r="R79" s="56">
        <f t="shared" ca="1" si="17"/>
        <v>273</v>
      </c>
      <c r="S79" s="56">
        <f t="shared" ca="1" si="18"/>
        <v>125</v>
      </c>
      <c r="T79" s="39">
        <f t="shared" ca="1" si="19"/>
        <v>687500</v>
      </c>
      <c r="U79" s="61">
        <f t="shared" ca="1" si="20"/>
        <v>0</v>
      </c>
      <c r="V79" s="61">
        <f t="shared" ca="1" si="21"/>
        <v>222000</v>
      </c>
      <c r="W79" s="62">
        <f t="shared" ca="1" si="22"/>
        <v>-34500</v>
      </c>
      <c r="X79" s="14"/>
      <c r="AB79" s="11">
        <v>74</v>
      </c>
      <c r="AC79">
        <v>-90127.5</v>
      </c>
      <c r="AD79">
        <v>-62715</v>
      </c>
      <c r="AE79">
        <v>-43170</v>
      </c>
      <c r="AF79">
        <v>-11527.5</v>
      </c>
      <c r="AG79">
        <v>30637.5</v>
      </c>
      <c r="AH79">
        <v>55987.5</v>
      </c>
      <c r="AI79">
        <v>79845</v>
      </c>
      <c r="AJ79">
        <v>106132.5</v>
      </c>
      <c r="AK79">
        <v>137392.5</v>
      </c>
      <c r="AL79">
        <v>182227.5</v>
      </c>
    </row>
    <row r="80" spans="11:38" x14ac:dyDescent="0.3">
      <c r="K80" s="40">
        <v>76</v>
      </c>
      <c r="L80" s="39">
        <f t="shared" ca="1" si="12"/>
        <v>0.73872484605464095</v>
      </c>
      <c r="M80" s="39">
        <f t="shared" ca="1" si="13"/>
        <v>200</v>
      </c>
      <c r="N80" s="39">
        <f t="shared" ca="1" si="14"/>
        <v>0.23486395593459286</v>
      </c>
      <c r="O80" s="39">
        <f t="shared" ca="1" si="14"/>
        <v>0.31330381012829756</v>
      </c>
      <c r="P80" s="67">
        <f t="shared" ca="1" si="15"/>
        <v>0.25481677660628904</v>
      </c>
      <c r="Q80" s="56">
        <f t="shared" ca="1" si="16"/>
        <v>250.96335532125781</v>
      </c>
      <c r="R80" s="56">
        <f t="shared" ca="1" si="17"/>
        <v>251</v>
      </c>
      <c r="S80" s="56">
        <f t="shared" ca="1" si="18"/>
        <v>125</v>
      </c>
      <c r="T80" s="39">
        <f t="shared" ca="1" si="19"/>
        <v>687500</v>
      </c>
      <c r="U80" s="61">
        <f t="shared" ca="1" si="20"/>
        <v>0</v>
      </c>
      <c r="V80" s="61">
        <f t="shared" ca="1" si="21"/>
        <v>189000</v>
      </c>
      <c r="W80" s="62">
        <f t="shared" ca="1" si="22"/>
        <v>-1500</v>
      </c>
      <c r="X80" s="14"/>
      <c r="AB80" s="11">
        <v>75</v>
      </c>
      <c r="AC80">
        <v>-94087.5</v>
      </c>
      <c r="AD80">
        <v>-69225</v>
      </c>
      <c r="AE80">
        <v>-39210</v>
      </c>
      <c r="AF80">
        <v>-14332.5</v>
      </c>
      <c r="AG80">
        <v>20962.5</v>
      </c>
      <c r="AH80">
        <v>47325</v>
      </c>
      <c r="AI80">
        <v>82897.5</v>
      </c>
      <c r="AJ80">
        <v>110572.5</v>
      </c>
      <c r="AK80">
        <v>141472.5</v>
      </c>
      <c r="AL80">
        <v>168697.5</v>
      </c>
    </row>
    <row r="81" spans="11:38" x14ac:dyDescent="0.3">
      <c r="K81" s="40">
        <v>77</v>
      </c>
      <c r="L81" s="39">
        <f t="shared" ca="1" si="12"/>
        <v>0.57570914933096595</v>
      </c>
      <c r="M81" s="39">
        <f t="shared" ca="1" si="13"/>
        <v>180</v>
      </c>
      <c r="N81" s="39">
        <f t="shared" ca="1" si="14"/>
        <v>0.54947793065293205</v>
      </c>
      <c r="O81" s="39">
        <f t="shared" ca="1" si="14"/>
        <v>0.22945913743348101</v>
      </c>
      <c r="P81" s="67">
        <f t="shared" ca="1" si="15"/>
        <v>0.27789370680864134</v>
      </c>
      <c r="Q81" s="56">
        <f t="shared" ca="1" si="16"/>
        <v>230.02086722555543</v>
      </c>
      <c r="R81" s="56">
        <f t="shared" ca="1" si="17"/>
        <v>231</v>
      </c>
      <c r="S81" s="56">
        <f t="shared" ca="1" si="18"/>
        <v>125</v>
      </c>
      <c r="T81" s="39">
        <f t="shared" ca="1" si="19"/>
        <v>687500</v>
      </c>
      <c r="U81" s="61">
        <f t="shared" ca="1" si="20"/>
        <v>0</v>
      </c>
      <c r="V81" s="61">
        <f t="shared" ca="1" si="21"/>
        <v>159000</v>
      </c>
      <c r="W81" s="62">
        <f t="shared" ca="1" si="22"/>
        <v>28500</v>
      </c>
      <c r="X81" s="14"/>
      <c r="AB81" s="11">
        <v>76</v>
      </c>
      <c r="AC81">
        <v>-93337.5</v>
      </c>
      <c r="AD81">
        <v>-65430</v>
      </c>
      <c r="AE81">
        <v>-36945</v>
      </c>
      <c r="AF81">
        <v>-8715</v>
      </c>
      <c r="AG81">
        <v>21532.5</v>
      </c>
      <c r="AH81">
        <v>50752.5</v>
      </c>
      <c r="AI81">
        <v>77370</v>
      </c>
      <c r="AJ81">
        <v>103980</v>
      </c>
      <c r="AK81">
        <v>140715</v>
      </c>
      <c r="AL81">
        <v>172377.5</v>
      </c>
    </row>
    <row r="82" spans="11:38" x14ac:dyDescent="0.3">
      <c r="K82" s="40">
        <v>78</v>
      </c>
      <c r="L82" s="39">
        <f t="shared" ca="1" si="12"/>
        <v>0.27362377226472201</v>
      </c>
      <c r="M82" s="39">
        <f t="shared" ca="1" si="13"/>
        <v>140</v>
      </c>
      <c r="N82" s="39">
        <f t="shared" ca="1" si="14"/>
        <v>0.69762417817207245</v>
      </c>
      <c r="O82" s="39">
        <f t="shared" ca="1" si="14"/>
        <v>0.95329355344201194</v>
      </c>
      <c r="P82" s="67">
        <f t="shared" ca="1" si="15"/>
        <v>0.36509177316140845</v>
      </c>
      <c r="Q82" s="56">
        <f t="shared" ca="1" si="16"/>
        <v>191.11284824259718</v>
      </c>
      <c r="R82" s="56">
        <f t="shared" ca="1" si="17"/>
        <v>192</v>
      </c>
      <c r="S82" s="56">
        <f t="shared" ca="1" si="18"/>
        <v>125</v>
      </c>
      <c r="T82" s="39">
        <f t="shared" ca="1" si="19"/>
        <v>687500</v>
      </c>
      <c r="U82" s="61">
        <f t="shared" ca="1" si="20"/>
        <v>0</v>
      </c>
      <c r="V82" s="61">
        <f t="shared" ca="1" si="21"/>
        <v>100500</v>
      </c>
      <c r="W82" s="62">
        <f t="shared" ca="1" si="22"/>
        <v>87000</v>
      </c>
      <c r="X82" s="14"/>
      <c r="AB82" s="11">
        <v>77</v>
      </c>
      <c r="AC82">
        <v>-95257.5</v>
      </c>
      <c r="AD82">
        <v>-67125</v>
      </c>
      <c r="AE82">
        <v>-39090</v>
      </c>
      <c r="AF82">
        <v>-5955</v>
      </c>
      <c r="AG82">
        <v>11250</v>
      </c>
      <c r="AH82">
        <v>49560</v>
      </c>
      <c r="AI82">
        <v>88507.5</v>
      </c>
      <c r="AJ82">
        <v>114540</v>
      </c>
      <c r="AK82">
        <v>141172.5</v>
      </c>
      <c r="AL82">
        <v>175252.5</v>
      </c>
    </row>
    <row r="83" spans="11:38" x14ac:dyDescent="0.3">
      <c r="K83" s="40">
        <v>79</v>
      </c>
      <c r="L83" s="39">
        <f t="shared" ca="1" si="12"/>
        <v>0.40330179437499003</v>
      </c>
      <c r="M83" s="39">
        <f t="shared" ca="1" si="13"/>
        <v>160</v>
      </c>
      <c r="N83" s="39">
        <f t="shared" ca="1" si="14"/>
        <v>0.1516240150636784</v>
      </c>
      <c r="O83" s="39">
        <f t="shared" ca="1" si="14"/>
        <v>0.96301272620950051</v>
      </c>
      <c r="P83" s="67">
        <f t="shared" ca="1" si="15"/>
        <v>0.3114636741273179</v>
      </c>
      <c r="Q83" s="56">
        <f t="shared" ca="1" si="16"/>
        <v>209.83418786037086</v>
      </c>
      <c r="R83" s="56">
        <f t="shared" ca="1" si="17"/>
        <v>210</v>
      </c>
      <c r="S83" s="56">
        <f t="shared" ca="1" si="18"/>
        <v>125</v>
      </c>
      <c r="T83" s="39">
        <f t="shared" ca="1" si="19"/>
        <v>687500</v>
      </c>
      <c r="U83" s="61">
        <f t="shared" ca="1" si="20"/>
        <v>0</v>
      </c>
      <c r="V83" s="61">
        <f t="shared" ca="1" si="21"/>
        <v>127500</v>
      </c>
      <c r="W83" s="62">
        <f t="shared" ca="1" si="22"/>
        <v>60000</v>
      </c>
      <c r="X83" s="14"/>
      <c r="AB83" s="11">
        <v>78</v>
      </c>
      <c r="AC83">
        <v>-97470</v>
      </c>
      <c r="AD83">
        <v>-72577.5</v>
      </c>
      <c r="AE83">
        <v>-43222.5</v>
      </c>
      <c r="AF83">
        <v>-4185</v>
      </c>
      <c r="AG83">
        <v>24412.5</v>
      </c>
      <c r="AH83">
        <v>42780</v>
      </c>
      <c r="AI83">
        <v>85080</v>
      </c>
      <c r="AJ83">
        <v>109050</v>
      </c>
      <c r="AK83">
        <v>138150</v>
      </c>
      <c r="AL83">
        <v>169220</v>
      </c>
    </row>
    <row r="84" spans="11:38" x14ac:dyDescent="0.3">
      <c r="K84" s="40">
        <v>80</v>
      </c>
      <c r="L84" s="39">
        <f t="shared" ca="1" si="12"/>
        <v>0.20665492208608971</v>
      </c>
      <c r="M84" s="39">
        <f t="shared" ca="1" si="13"/>
        <v>140</v>
      </c>
      <c r="N84" s="39">
        <f t="shared" ca="1" si="14"/>
        <v>0.43443055707561329</v>
      </c>
      <c r="O84" s="39">
        <f t="shared" ca="1" si="14"/>
        <v>0.46991962590305936</v>
      </c>
      <c r="P84" s="67">
        <f t="shared" ca="1" si="15"/>
        <v>0.29043501829786728</v>
      </c>
      <c r="Q84" s="56">
        <f t="shared" ca="1" si="16"/>
        <v>180.66090256170142</v>
      </c>
      <c r="R84" s="56">
        <f t="shared" ca="1" si="17"/>
        <v>181</v>
      </c>
      <c r="S84" s="56">
        <f t="shared" ca="1" si="18"/>
        <v>125</v>
      </c>
      <c r="T84" s="39">
        <f t="shared" ca="1" si="19"/>
        <v>687500</v>
      </c>
      <c r="U84" s="61">
        <f t="shared" ca="1" si="20"/>
        <v>0</v>
      </c>
      <c r="V84" s="61">
        <f t="shared" ca="1" si="21"/>
        <v>84000</v>
      </c>
      <c r="W84" s="62">
        <f t="shared" ca="1" si="22"/>
        <v>103500</v>
      </c>
      <c r="X84" s="14"/>
      <c r="AB84" s="11">
        <v>79</v>
      </c>
      <c r="AC84">
        <v>-95452.5</v>
      </c>
      <c r="AD84">
        <v>-65737.5</v>
      </c>
      <c r="AE84">
        <v>-37312.5</v>
      </c>
      <c r="AF84">
        <v>-5647.5</v>
      </c>
      <c r="AG84">
        <v>30952.5</v>
      </c>
      <c r="AH84">
        <v>54577.5</v>
      </c>
      <c r="AI84">
        <v>82327.5</v>
      </c>
      <c r="AJ84">
        <v>114585</v>
      </c>
      <c r="AK84">
        <v>143985</v>
      </c>
      <c r="AL84">
        <v>165300</v>
      </c>
    </row>
    <row r="85" spans="11:38" x14ac:dyDescent="0.3">
      <c r="K85" s="40">
        <v>81</v>
      </c>
      <c r="L85" s="39">
        <f t="shared" ca="1" si="12"/>
        <v>0.30366392146960719</v>
      </c>
      <c r="M85" s="39">
        <f t="shared" ca="1" si="13"/>
        <v>160</v>
      </c>
      <c r="N85" s="39">
        <f t="shared" ca="1" si="14"/>
        <v>0.65364205543176712</v>
      </c>
      <c r="O85" s="39">
        <f t="shared" ca="1" si="14"/>
        <v>8.7063150984583282E-2</v>
      </c>
      <c r="P85" s="67">
        <f t="shared" ca="1" si="15"/>
        <v>0.27407052064163506</v>
      </c>
      <c r="Q85" s="56">
        <f t="shared" ca="1" si="16"/>
        <v>203.85128330266161</v>
      </c>
      <c r="R85" s="56">
        <f t="shared" ca="1" si="17"/>
        <v>204</v>
      </c>
      <c r="S85" s="56">
        <f t="shared" ca="1" si="18"/>
        <v>125</v>
      </c>
      <c r="T85" s="39">
        <f t="shared" ca="1" si="19"/>
        <v>687500</v>
      </c>
      <c r="U85" s="61">
        <f t="shared" ca="1" si="20"/>
        <v>0</v>
      </c>
      <c r="V85" s="61">
        <f t="shared" ca="1" si="21"/>
        <v>118500</v>
      </c>
      <c r="W85" s="62">
        <f t="shared" ca="1" si="22"/>
        <v>69000</v>
      </c>
      <c r="X85" s="14"/>
      <c r="AB85" s="11">
        <v>80</v>
      </c>
      <c r="AC85">
        <v>-94837.5</v>
      </c>
      <c r="AD85">
        <v>-66240</v>
      </c>
      <c r="AE85">
        <v>-34920</v>
      </c>
      <c r="AF85">
        <v>-7980</v>
      </c>
      <c r="AG85">
        <v>22537.5</v>
      </c>
      <c r="AH85">
        <v>52522.5</v>
      </c>
      <c r="AI85">
        <v>78570</v>
      </c>
      <c r="AJ85">
        <v>109942.5</v>
      </c>
      <c r="AK85">
        <v>142267.5</v>
      </c>
      <c r="AL85">
        <v>172395</v>
      </c>
    </row>
    <row r="86" spans="11:38" x14ac:dyDescent="0.3">
      <c r="K86" s="40">
        <v>82</v>
      </c>
      <c r="L86" s="39">
        <f t="shared" ca="1" si="12"/>
        <v>0.2943451244633023</v>
      </c>
      <c r="M86" s="39">
        <f t="shared" ca="1" si="13"/>
        <v>140</v>
      </c>
      <c r="N86" s="39">
        <f t="shared" ca="1" si="14"/>
        <v>0.56071275246877661</v>
      </c>
      <c r="O86" s="39">
        <f t="shared" ca="1" si="14"/>
        <v>0.49671360140083132</v>
      </c>
      <c r="P86" s="67">
        <f t="shared" ca="1" si="15"/>
        <v>0.30574263538696078</v>
      </c>
      <c r="Q86" s="56">
        <f t="shared" ca="1" si="16"/>
        <v>182.80396895417451</v>
      </c>
      <c r="R86" s="56">
        <f t="shared" ca="1" si="17"/>
        <v>183</v>
      </c>
      <c r="S86" s="56">
        <f t="shared" ca="1" si="18"/>
        <v>125</v>
      </c>
      <c r="T86" s="39">
        <f t="shared" ca="1" si="19"/>
        <v>687500</v>
      </c>
      <c r="U86" s="61">
        <f t="shared" ca="1" si="20"/>
        <v>0</v>
      </c>
      <c r="V86" s="61">
        <f t="shared" ca="1" si="21"/>
        <v>87000</v>
      </c>
      <c r="W86" s="62">
        <f t="shared" ca="1" si="22"/>
        <v>100500</v>
      </c>
      <c r="X86" s="14"/>
      <c r="AB86" s="11">
        <v>81</v>
      </c>
      <c r="AC86" s="7">
        <v>-104655</v>
      </c>
      <c r="AD86" s="7">
        <v>-71467.5</v>
      </c>
      <c r="AE86" s="7">
        <v>-42645</v>
      </c>
      <c r="AF86" s="7">
        <v>-6345</v>
      </c>
      <c r="AG86" s="7">
        <v>21405</v>
      </c>
      <c r="AH86" s="7">
        <v>49657.5</v>
      </c>
      <c r="AI86" s="7">
        <v>77370</v>
      </c>
      <c r="AJ86" s="7">
        <v>116700</v>
      </c>
      <c r="AK86" s="7">
        <v>148177.5</v>
      </c>
      <c r="AL86" s="7">
        <v>174930</v>
      </c>
    </row>
    <row r="87" spans="11:38" x14ac:dyDescent="0.3">
      <c r="K87" s="40">
        <v>83</v>
      </c>
      <c r="L87" s="39">
        <f t="shared" ca="1" si="12"/>
        <v>8.5500566058769545E-2</v>
      </c>
      <c r="M87" s="39">
        <f t="shared" ca="1" si="13"/>
        <v>140</v>
      </c>
      <c r="N87" s="39">
        <f t="shared" ca="1" si="14"/>
        <v>0.8839425098686825</v>
      </c>
      <c r="O87" s="39">
        <f t="shared" ca="1" si="14"/>
        <v>0.20896189749739658</v>
      </c>
      <c r="P87" s="67">
        <f t="shared" ca="1" si="15"/>
        <v>0.30929044073660794</v>
      </c>
      <c r="Q87" s="56">
        <f t="shared" ca="1" si="16"/>
        <v>183.30066170312512</v>
      </c>
      <c r="R87" s="56">
        <f t="shared" ca="1" si="17"/>
        <v>184</v>
      </c>
      <c r="S87" s="56">
        <f t="shared" ca="1" si="18"/>
        <v>125</v>
      </c>
      <c r="T87" s="39">
        <f t="shared" ca="1" si="19"/>
        <v>687500</v>
      </c>
      <c r="U87" s="61">
        <f t="shared" ca="1" si="20"/>
        <v>0</v>
      </c>
      <c r="V87" s="61">
        <f t="shared" ca="1" si="21"/>
        <v>88500</v>
      </c>
      <c r="W87" s="62">
        <f t="shared" ca="1" si="22"/>
        <v>99000</v>
      </c>
      <c r="X87" s="14"/>
      <c r="AB87" s="11">
        <v>82</v>
      </c>
      <c r="AC87" s="7">
        <v>-93922.5</v>
      </c>
      <c r="AD87" s="7">
        <v>-63765</v>
      </c>
      <c r="AE87" s="7">
        <v>-42735</v>
      </c>
      <c r="AF87" s="7">
        <v>-4830</v>
      </c>
      <c r="AG87" s="7">
        <v>22822.5</v>
      </c>
      <c r="AH87" s="7">
        <v>53302.5</v>
      </c>
      <c r="AI87" s="7">
        <v>91132.5</v>
      </c>
      <c r="AJ87" s="7">
        <v>114697.5</v>
      </c>
      <c r="AK87" s="7">
        <v>141262.5</v>
      </c>
      <c r="AL87" s="7">
        <v>167030</v>
      </c>
    </row>
    <row r="88" spans="11:38" x14ac:dyDescent="0.3">
      <c r="K88" s="40">
        <v>84</v>
      </c>
      <c r="L88" s="39">
        <f t="shared" ca="1" si="12"/>
        <v>0.10578240865680932</v>
      </c>
      <c r="M88" s="39">
        <f t="shared" ca="1" si="13"/>
        <v>140</v>
      </c>
      <c r="N88" s="39">
        <f t="shared" ca="1" si="14"/>
        <v>0.74866397645415916</v>
      </c>
      <c r="O88" s="39">
        <f t="shared" ca="1" si="14"/>
        <v>0.93109455009436559</v>
      </c>
      <c r="P88" s="67">
        <f t="shared" ca="1" si="15"/>
        <v>0.3679758526548525</v>
      </c>
      <c r="Q88" s="56">
        <f t="shared" ca="1" si="16"/>
        <v>191.51661937167935</v>
      </c>
      <c r="R88" s="56">
        <f t="shared" ca="1" si="17"/>
        <v>192</v>
      </c>
      <c r="S88" s="56">
        <f t="shared" ca="1" si="18"/>
        <v>125</v>
      </c>
      <c r="T88" s="39">
        <f t="shared" ca="1" si="19"/>
        <v>687500</v>
      </c>
      <c r="U88" s="61">
        <f t="shared" ca="1" si="20"/>
        <v>0</v>
      </c>
      <c r="V88" s="61">
        <f t="shared" ca="1" si="21"/>
        <v>100500</v>
      </c>
      <c r="W88" s="62">
        <f t="shared" ca="1" si="22"/>
        <v>87000</v>
      </c>
      <c r="X88" s="14"/>
      <c r="AB88" s="11">
        <v>83</v>
      </c>
      <c r="AC88" s="7">
        <v>-104257.5</v>
      </c>
      <c r="AD88" s="7">
        <v>-67260</v>
      </c>
      <c r="AE88" s="7">
        <v>-36907.5</v>
      </c>
      <c r="AF88" s="7">
        <v>-10950</v>
      </c>
      <c r="AG88" s="7">
        <v>20437.5</v>
      </c>
      <c r="AH88" s="7">
        <v>47715</v>
      </c>
      <c r="AI88" s="7">
        <v>82567.5</v>
      </c>
      <c r="AJ88" s="7">
        <v>111195</v>
      </c>
      <c r="AK88" s="7">
        <v>145605</v>
      </c>
      <c r="AL88" s="7">
        <v>176070</v>
      </c>
    </row>
    <row r="89" spans="11:38" x14ac:dyDescent="0.3">
      <c r="K89" s="40">
        <v>85</v>
      </c>
      <c r="L89" s="39">
        <f t="shared" ca="1" si="12"/>
        <v>0.45752397559072666</v>
      </c>
      <c r="M89" s="39">
        <f t="shared" ca="1" si="13"/>
        <v>160</v>
      </c>
      <c r="N89" s="39">
        <f t="shared" ca="1" si="14"/>
        <v>0.42666895947642891</v>
      </c>
      <c r="O89" s="39">
        <f t="shared" ca="1" si="14"/>
        <v>0.51219500539288543</v>
      </c>
      <c r="P89" s="67">
        <f t="shared" ca="1" si="15"/>
        <v>0.29388639648693143</v>
      </c>
      <c r="Q89" s="56">
        <f t="shared" ca="1" si="16"/>
        <v>207.02182343790903</v>
      </c>
      <c r="R89" s="56">
        <f t="shared" ca="1" si="17"/>
        <v>208</v>
      </c>
      <c r="S89" s="56">
        <f t="shared" ca="1" si="18"/>
        <v>125</v>
      </c>
      <c r="T89" s="39">
        <f t="shared" ca="1" si="19"/>
        <v>687500</v>
      </c>
      <c r="U89" s="61">
        <f t="shared" ca="1" si="20"/>
        <v>0</v>
      </c>
      <c r="V89" s="61">
        <f t="shared" ca="1" si="21"/>
        <v>124500</v>
      </c>
      <c r="W89" s="62">
        <f t="shared" ca="1" si="22"/>
        <v>63000</v>
      </c>
      <c r="X89" s="14"/>
      <c r="AB89" s="11">
        <v>84</v>
      </c>
      <c r="AC89" s="7">
        <v>-93435</v>
      </c>
      <c r="AD89" s="7">
        <v>-57427.5</v>
      </c>
      <c r="AE89" s="7">
        <v>-34200</v>
      </c>
      <c r="AF89" s="7">
        <v>-7297.5</v>
      </c>
      <c r="AG89" s="7">
        <v>27900</v>
      </c>
      <c r="AH89" s="7">
        <v>51360</v>
      </c>
      <c r="AI89" s="7">
        <v>82507.5</v>
      </c>
      <c r="AJ89" s="7">
        <v>106507.5</v>
      </c>
      <c r="AK89" s="7">
        <v>145710</v>
      </c>
      <c r="AL89" s="7">
        <v>172747.5</v>
      </c>
    </row>
    <row r="90" spans="11:38" x14ac:dyDescent="0.3">
      <c r="K90" s="40">
        <v>86</v>
      </c>
      <c r="L90" s="39">
        <f t="shared" ca="1" si="12"/>
        <v>0.28629095999469534</v>
      </c>
      <c r="M90" s="39">
        <f t="shared" ca="1" si="13"/>
        <v>140</v>
      </c>
      <c r="N90" s="39">
        <f t="shared" ca="1" si="14"/>
        <v>0.31099343031186122</v>
      </c>
      <c r="O90" s="39">
        <f t="shared" ca="1" si="14"/>
        <v>0.70113642907754115</v>
      </c>
      <c r="P90" s="67">
        <f t="shared" ca="1" si="15"/>
        <v>0.30121298593894025</v>
      </c>
      <c r="Q90" s="56">
        <f t="shared" ca="1" si="16"/>
        <v>182.16981803145163</v>
      </c>
      <c r="R90" s="56">
        <f t="shared" ca="1" si="17"/>
        <v>183</v>
      </c>
      <c r="S90" s="56">
        <f t="shared" ca="1" si="18"/>
        <v>125</v>
      </c>
      <c r="T90" s="39">
        <f t="shared" ca="1" si="19"/>
        <v>687500</v>
      </c>
      <c r="U90" s="61">
        <f t="shared" ca="1" si="20"/>
        <v>0</v>
      </c>
      <c r="V90" s="61">
        <f t="shared" ca="1" si="21"/>
        <v>87000</v>
      </c>
      <c r="W90" s="62">
        <f t="shared" ca="1" si="22"/>
        <v>100500</v>
      </c>
      <c r="X90" s="14"/>
      <c r="AB90" s="11">
        <v>85</v>
      </c>
      <c r="AC90" s="7">
        <v>-100080</v>
      </c>
      <c r="AD90" s="7">
        <v>-70260</v>
      </c>
      <c r="AE90" s="7">
        <v>-37267.5</v>
      </c>
      <c r="AF90" s="7">
        <v>-7192.5</v>
      </c>
      <c r="AG90" s="7">
        <v>16845</v>
      </c>
      <c r="AH90" s="7">
        <v>52485</v>
      </c>
      <c r="AI90" s="7">
        <v>80377.5</v>
      </c>
      <c r="AJ90" s="7">
        <v>111787.5</v>
      </c>
      <c r="AK90" s="7">
        <v>143250</v>
      </c>
      <c r="AL90" s="7">
        <v>176985</v>
      </c>
    </row>
    <row r="91" spans="11:38" x14ac:dyDescent="0.3">
      <c r="K91" s="40">
        <v>87</v>
      </c>
      <c r="L91" s="39">
        <f t="shared" ca="1" si="12"/>
        <v>0.51662729265428897</v>
      </c>
      <c r="M91" s="39">
        <f t="shared" ca="1" si="13"/>
        <v>180</v>
      </c>
      <c r="N91" s="39">
        <f t="shared" ca="1" si="14"/>
        <v>0.74696155046822132</v>
      </c>
      <c r="O91" s="39">
        <f t="shared" ca="1" si="14"/>
        <v>0.12873981606380036</v>
      </c>
      <c r="P91" s="67">
        <f t="shared" ca="1" si="15"/>
        <v>0.28757013665320219</v>
      </c>
      <c r="Q91" s="56">
        <f t="shared" ca="1" si="16"/>
        <v>231.7626245975764</v>
      </c>
      <c r="R91" s="56">
        <f t="shared" ca="1" si="17"/>
        <v>232</v>
      </c>
      <c r="S91" s="56">
        <f t="shared" ca="1" si="18"/>
        <v>125</v>
      </c>
      <c r="T91" s="39">
        <f t="shared" ca="1" si="19"/>
        <v>687500</v>
      </c>
      <c r="U91" s="61">
        <f t="shared" ca="1" si="20"/>
        <v>0</v>
      </c>
      <c r="V91" s="61">
        <f t="shared" ca="1" si="21"/>
        <v>160500</v>
      </c>
      <c r="W91" s="62">
        <f t="shared" ca="1" si="22"/>
        <v>27000</v>
      </c>
      <c r="X91" s="14"/>
      <c r="AB91" s="11">
        <v>86</v>
      </c>
      <c r="AC91" s="7">
        <v>-97042.5</v>
      </c>
      <c r="AD91" s="7">
        <v>-64260</v>
      </c>
      <c r="AE91" s="7">
        <v>-34162.5</v>
      </c>
      <c r="AF91" s="7">
        <v>-9465</v>
      </c>
      <c r="AG91" s="7">
        <v>19342.5</v>
      </c>
      <c r="AH91" s="7">
        <v>55822.5</v>
      </c>
      <c r="AI91" s="7">
        <v>86085</v>
      </c>
      <c r="AJ91" s="7">
        <v>113325</v>
      </c>
      <c r="AK91" s="7">
        <v>137947.5</v>
      </c>
      <c r="AL91" s="7">
        <v>175095</v>
      </c>
    </row>
    <row r="92" spans="11:38" x14ac:dyDescent="0.3">
      <c r="K92" s="40">
        <v>88</v>
      </c>
      <c r="L92" s="39">
        <f t="shared" ca="1" si="12"/>
        <v>0.27208010462829024</v>
      </c>
      <c r="M92" s="39">
        <f t="shared" ca="1" si="13"/>
        <v>140</v>
      </c>
      <c r="N92" s="39">
        <f t="shared" ca="1" si="14"/>
        <v>0.77539227268964983</v>
      </c>
      <c r="O92" s="39">
        <f t="shared" ca="1" si="14"/>
        <v>0.1719292607219356</v>
      </c>
      <c r="P92" s="67">
        <f t="shared" ca="1" si="15"/>
        <v>0.29473215334115854</v>
      </c>
      <c r="Q92" s="56">
        <f t="shared" ca="1" si="16"/>
        <v>181.26250146776221</v>
      </c>
      <c r="R92" s="56">
        <f t="shared" ca="1" si="17"/>
        <v>182</v>
      </c>
      <c r="S92" s="56">
        <f t="shared" ca="1" si="18"/>
        <v>125</v>
      </c>
      <c r="T92" s="39">
        <f t="shared" ca="1" si="19"/>
        <v>687500</v>
      </c>
      <c r="U92" s="61">
        <f t="shared" ca="1" si="20"/>
        <v>0</v>
      </c>
      <c r="V92" s="61">
        <f t="shared" ca="1" si="21"/>
        <v>85500</v>
      </c>
      <c r="W92" s="62">
        <f t="shared" ca="1" si="22"/>
        <v>102000</v>
      </c>
      <c r="X92" s="14"/>
      <c r="AB92" s="11">
        <v>87</v>
      </c>
      <c r="AC92" s="7">
        <v>-98887.5</v>
      </c>
      <c r="AD92" s="7">
        <v>-70170</v>
      </c>
      <c r="AE92" s="7">
        <v>-36172.5</v>
      </c>
      <c r="AF92" s="7">
        <v>-4867.5</v>
      </c>
      <c r="AG92" s="7">
        <v>15772.5</v>
      </c>
      <c r="AH92" s="7">
        <v>44250</v>
      </c>
      <c r="AI92" s="7">
        <v>85770</v>
      </c>
      <c r="AJ92" s="7">
        <v>107542.5</v>
      </c>
      <c r="AK92" s="7">
        <v>142560</v>
      </c>
      <c r="AL92" s="7">
        <v>175335</v>
      </c>
    </row>
    <row r="93" spans="11:38" x14ac:dyDescent="0.3">
      <c r="K93" s="40">
        <v>89</v>
      </c>
      <c r="L93" s="39">
        <f t="shared" ca="1" si="12"/>
        <v>0.39292054460128734</v>
      </c>
      <c r="M93" s="39">
        <f t="shared" ca="1" si="13"/>
        <v>160</v>
      </c>
      <c r="N93" s="39">
        <f t="shared" ca="1" si="14"/>
        <v>0.62137588267124388</v>
      </c>
      <c r="O93" s="39">
        <f t="shared" ca="1" si="14"/>
        <v>0.70367040829667504</v>
      </c>
      <c r="P93" s="67">
        <f t="shared" ca="1" si="15"/>
        <v>0.3325046290967919</v>
      </c>
      <c r="Q93" s="56">
        <f t="shared" ca="1" si="16"/>
        <v>213.2007406554867</v>
      </c>
      <c r="R93" s="56">
        <f t="shared" ca="1" si="17"/>
        <v>214</v>
      </c>
      <c r="S93" s="56">
        <f t="shared" ca="1" si="18"/>
        <v>125</v>
      </c>
      <c r="T93" s="39">
        <f t="shared" ca="1" si="19"/>
        <v>687500</v>
      </c>
      <c r="U93" s="61">
        <f t="shared" ca="1" si="20"/>
        <v>0</v>
      </c>
      <c r="V93" s="61">
        <f t="shared" ca="1" si="21"/>
        <v>133500</v>
      </c>
      <c r="W93" s="62">
        <f t="shared" ca="1" si="22"/>
        <v>54000</v>
      </c>
      <c r="X93" s="14"/>
      <c r="AB93" s="11">
        <v>88</v>
      </c>
      <c r="AC93" s="7">
        <v>-103665</v>
      </c>
      <c r="AD93" s="7">
        <v>-70245</v>
      </c>
      <c r="AE93" s="7">
        <v>-43710</v>
      </c>
      <c r="AF93" s="7">
        <v>-8152.5</v>
      </c>
      <c r="AG93" s="7">
        <v>18397.5</v>
      </c>
      <c r="AH93" s="7">
        <v>51592.5</v>
      </c>
      <c r="AI93" s="7">
        <v>82815</v>
      </c>
      <c r="AJ93" s="7">
        <v>114690</v>
      </c>
      <c r="AK93" s="7">
        <v>145282.5</v>
      </c>
      <c r="AL93" s="7">
        <v>172485</v>
      </c>
    </row>
    <row r="94" spans="11:38" x14ac:dyDescent="0.3">
      <c r="K94" s="40">
        <v>90</v>
      </c>
      <c r="L94" s="39">
        <f t="shared" ca="1" si="12"/>
        <v>0.17904774847763083</v>
      </c>
      <c r="M94" s="39">
        <f t="shared" ca="1" si="13"/>
        <v>140</v>
      </c>
      <c r="N94" s="39">
        <f t="shared" ca="1" si="14"/>
        <v>0.66057865357472945</v>
      </c>
      <c r="O94" s="39">
        <f t="shared" ca="1" si="14"/>
        <v>0.58507071035692526</v>
      </c>
      <c r="P94" s="67">
        <f t="shared" ca="1" si="15"/>
        <v>0.32456493639316553</v>
      </c>
      <c r="Q94" s="56">
        <f t="shared" ca="1" si="16"/>
        <v>185.43909109504318</v>
      </c>
      <c r="R94" s="56">
        <f t="shared" ca="1" si="17"/>
        <v>186</v>
      </c>
      <c r="S94" s="56">
        <f t="shared" ca="1" si="18"/>
        <v>125</v>
      </c>
      <c r="T94" s="39">
        <f t="shared" ca="1" si="19"/>
        <v>687500</v>
      </c>
      <c r="U94" s="61">
        <f t="shared" ca="1" si="20"/>
        <v>0</v>
      </c>
      <c r="V94" s="61">
        <f t="shared" ca="1" si="21"/>
        <v>91500</v>
      </c>
      <c r="W94" s="62">
        <f t="shared" ca="1" si="22"/>
        <v>96000</v>
      </c>
      <c r="X94" s="14"/>
      <c r="AB94" s="11">
        <v>89</v>
      </c>
      <c r="AC94" s="7">
        <v>-103380</v>
      </c>
      <c r="AD94" s="7">
        <v>-69217.5</v>
      </c>
      <c r="AE94" s="7">
        <v>-38205</v>
      </c>
      <c r="AF94" s="7">
        <v>-3082.5</v>
      </c>
      <c r="AG94" s="7">
        <v>18427.5</v>
      </c>
      <c r="AH94" s="7">
        <v>45622.5</v>
      </c>
      <c r="AI94" s="7">
        <v>81090</v>
      </c>
      <c r="AJ94" s="7">
        <v>117217.5</v>
      </c>
      <c r="AK94" s="7">
        <v>148957.5</v>
      </c>
      <c r="AL94" s="7">
        <v>173767.5</v>
      </c>
    </row>
    <row r="95" spans="11:38" x14ac:dyDescent="0.3">
      <c r="K95" s="40">
        <v>91</v>
      </c>
      <c r="L95" s="39">
        <f t="shared" ca="1" si="12"/>
        <v>0.28121682773973156</v>
      </c>
      <c r="M95" s="39">
        <f t="shared" ca="1" si="13"/>
        <v>140</v>
      </c>
      <c r="N95" s="39">
        <f t="shared" ca="1" si="14"/>
        <v>0.85589121007533786</v>
      </c>
      <c r="O95" s="39">
        <f t="shared" ca="1" si="14"/>
        <v>0.47227394700549019</v>
      </c>
      <c r="P95" s="67">
        <f t="shared" ca="1" si="15"/>
        <v>0.33281651570808279</v>
      </c>
      <c r="Q95" s="56">
        <f t="shared" ca="1" si="16"/>
        <v>186.59431219913159</v>
      </c>
      <c r="R95" s="56">
        <f t="shared" ca="1" si="17"/>
        <v>187</v>
      </c>
      <c r="S95" s="56">
        <f t="shared" ca="1" si="18"/>
        <v>125</v>
      </c>
      <c r="T95" s="39">
        <f t="shared" ca="1" si="19"/>
        <v>687500</v>
      </c>
      <c r="U95" s="61">
        <f t="shared" ca="1" si="20"/>
        <v>0</v>
      </c>
      <c r="V95" s="61">
        <f t="shared" ca="1" si="21"/>
        <v>93000</v>
      </c>
      <c r="W95" s="62">
        <f t="shared" ca="1" si="22"/>
        <v>94500</v>
      </c>
      <c r="X95" s="14"/>
      <c r="AB95" s="11">
        <v>90</v>
      </c>
      <c r="AC95" s="7">
        <v>-92887.5</v>
      </c>
      <c r="AD95" s="7">
        <v>-67275</v>
      </c>
      <c r="AE95" s="7">
        <v>-38625</v>
      </c>
      <c r="AF95" s="7">
        <v>-14002.5</v>
      </c>
      <c r="AG95" s="7">
        <v>22455</v>
      </c>
      <c r="AH95" s="7">
        <v>58372.5</v>
      </c>
      <c r="AI95" s="7">
        <v>91695</v>
      </c>
      <c r="AJ95" s="7">
        <v>107647.5</v>
      </c>
      <c r="AK95" s="7">
        <v>145327.5</v>
      </c>
      <c r="AL95" s="7">
        <v>173842.5</v>
      </c>
    </row>
    <row r="96" spans="11:38" x14ac:dyDescent="0.3">
      <c r="K96" s="40">
        <v>92</v>
      </c>
      <c r="L96" s="39">
        <f t="shared" ca="1" si="12"/>
        <v>0.16317447970038856</v>
      </c>
      <c r="M96" s="39">
        <f t="shared" ca="1" si="13"/>
        <v>140</v>
      </c>
      <c r="N96" s="39">
        <f t="shared" ca="1" si="14"/>
        <v>0.15895743236979432</v>
      </c>
      <c r="O96" s="39">
        <f t="shared" ca="1" si="14"/>
        <v>0.10200189563759643</v>
      </c>
      <c r="P96" s="67">
        <f t="shared" ca="1" si="15"/>
        <v>0.22609593280073909</v>
      </c>
      <c r="Q96" s="56">
        <f t="shared" ca="1" si="16"/>
        <v>171.65343059210346</v>
      </c>
      <c r="R96" s="56">
        <f t="shared" ca="1" si="17"/>
        <v>172</v>
      </c>
      <c r="S96" s="56">
        <f t="shared" ca="1" si="18"/>
        <v>125</v>
      </c>
      <c r="T96" s="39">
        <f t="shared" ca="1" si="19"/>
        <v>687500</v>
      </c>
      <c r="U96" s="61">
        <f t="shared" ca="1" si="20"/>
        <v>0</v>
      </c>
      <c r="V96" s="61">
        <f t="shared" ca="1" si="21"/>
        <v>70500</v>
      </c>
      <c r="W96" s="62">
        <f t="shared" ca="1" si="22"/>
        <v>117000</v>
      </c>
      <c r="X96" s="14"/>
      <c r="AB96" s="11">
        <v>91</v>
      </c>
      <c r="AC96" s="7">
        <v>-99037.5</v>
      </c>
      <c r="AD96" s="7">
        <v>-79455</v>
      </c>
      <c r="AE96" s="7">
        <v>-44700</v>
      </c>
      <c r="AF96" s="7">
        <v>-7020</v>
      </c>
      <c r="AG96" s="7">
        <v>15345</v>
      </c>
      <c r="AH96" s="7">
        <v>45052.5</v>
      </c>
      <c r="AI96" s="7">
        <v>88935</v>
      </c>
      <c r="AJ96" s="7">
        <v>117457.5</v>
      </c>
      <c r="AK96" s="7">
        <v>145612.5</v>
      </c>
      <c r="AL96" s="7">
        <v>173077.5</v>
      </c>
    </row>
    <row r="97" spans="11:38" x14ac:dyDescent="0.3">
      <c r="K97" s="40">
        <v>93</v>
      </c>
      <c r="L97" s="39">
        <f t="shared" ca="1" si="12"/>
        <v>0.8074091205558398</v>
      </c>
      <c r="M97" s="39">
        <f t="shared" ca="1" si="13"/>
        <v>200</v>
      </c>
      <c r="N97" s="39">
        <f t="shared" ca="1" si="14"/>
        <v>7.980162004866842E-2</v>
      </c>
      <c r="O97" s="39">
        <f t="shared" ca="1" si="14"/>
        <v>5.3041694042288645E-2</v>
      </c>
      <c r="P97" s="67">
        <f t="shared" ca="1" si="15"/>
        <v>0.21328433140909572</v>
      </c>
      <c r="Q97" s="56">
        <f t="shared" ca="1" si="16"/>
        <v>242.65686628181913</v>
      </c>
      <c r="R97" s="56">
        <f t="shared" ca="1" si="17"/>
        <v>243</v>
      </c>
      <c r="S97" s="56">
        <f t="shared" ca="1" si="18"/>
        <v>125</v>
      </c>
      <c r="T97" s="39">
        <f t="shared" ca="1" si="19"/>
        <v>687500</v>
      </c>
      <c r="U97" s="61">
        <f t="shared" ca="1" si="20"/>
        <v>0</v>
      </c>
      <c r="V97" s="61">
        <f t="shared" ca="1" si="21"/>
        <v>177000</v>
      </c>
      <c r="W97" s="62">
        <f t="shared" ca="1" si="22"/>
        <v>10500</v>
      </c>
      <c r="X97" s="14"/>
      <c r="AB97" s="11">
        <v>92</v>
      </c>
      <c r="AC97" s="7">
        <v>-99945</v>
      </c>
      <c r="AD97" s="7">
        <v>-66967.5</v>
      </c>
      <c r="AE97" s="7">
        <v>-38782.5</v>
      </c>
      <c r="AF97" s="7">
        <v>-9015</v>
      </c>
      <c r="AG97" s="7">
        <v>16882.5</v>
      </c>
      <c r="AH97" s="7">
        <v>62452.5</v>
      </c>
      <c r="AI97" s="7">
        <v>85230</v>
      </c>
      <c r="AJ97" s="7">
        <v>108315</v>
      </c>
      <c r="AK97" s="7">
        <v>145290</v>
      </c>
      <c r="AL97" s="7">
        <v>167932.5</v>
      </c>
    </row>
    <row r="98" spans="11:38" x14ac:dyDescent="0.3">
      <c r="K98" s="40">
        <v>94</v>
      </c>
      <c r="L98" s="39">
        <f t="shared" ca="1" si="12"/>
        <v>0.7932618179247849</v>
      </c>
      <c r="M98" s="39">
        <f t="shared" ca="1" si="13"/>
        <v>200</v>
      </c>
      <c r="N98" s="39">
        <f t="shared" ca="1" si="14"/>
        <v>0.13385695677058984</v>
      </c>
      <c r="O98" s="39">
        <f t="shared" ca="1" si="14"/>
        <v>0.67973862639284932</v>
      </c>
      <c r="P98" s="67">
        <f t="shared" ca="1" si="15"/>
        <v>0.28135955831634396</v>
      </c>
      <c r="Q98" s="56">
        <f t="shared" ca="1" si="16"/>
        <v>256.27191166326878</v>
      </c>
      <c r="R98" s="56">
        <f t="shared" ca="1" si="17"/>
        <v>257</v>
      </c>
      <c r="S98" s="56">
        <f t="shared" ca="1" si="18"/>
        <v>125</v>
      </c>
      <c r="T98" s="39">
        <f t="shared" ca="1" si="19"/>
        <v>687500</v>
      </c>
      <c r="U98" s="61">
        <f t="shared" ca="1" si="20"/>
        <v>0</v>
      </c>
      <c r="V98" s="61">
        <f t="shared" ca="1" si="21"/>
        <v>198000</v>
      </c>
      <c r="W98" s="62">
        <f t="shared" ca="1" si="22"/>
        <v>-10500</v>
      </c>
      <c r="X98" s="14"/>
      <c r="AB98" s="11">
        <v>93</v>
      </c>
      <c r="AC98" s="7">
        <v>-100267.5</v>
      </c>
      <c r="AD98" s="7">
        <v>-68385</v>
      </c>
      <c r="AE98" s="7">
        <v>-35767.5</v>
      </c>
      <c r="AF98" s="7">
        <v>-4282.5</v>
      </c>
      <c r="AG98" s="7">
        <v>27067.5</v>
      </c>
      <c r="AH98" s="7">
        <v>55875</v>
      </c>
      <c r="AI98" s="7">
        <v>84772.5</v>
      </c>
      <c r="AJ98" s="7">
        <v>111150</v>
      </c>
      <c r="AK98" s="7">
        <v>148942.5</v>
      </c>
      <c r="AL98" s="7">
        <v>177030</v>
      </c>
    </row>
    <row r="99" spans="11:38" x14ac:dyDescent="0.3">
      <c r="K99" s="40">
        <v>95</v>
      </c>
      <c r="L99" s="39">
        <f t="shared" ca="1" si="12"/>
        <v>0.31853204543545444</v>
      </c>
      <c r="M99" s="39">
        <f t="shared" ca="1" si="13"/>
        <v>160</v>
      </c>
      <c r="N99" s="39">
        <f t="shared" ca="1" si="14"/>
        <v>0.52325650112582989</v>
      </c>
      <c r="O99" s="39">
        <f t="shared" ca="1" si="14"/>
        <v>0.27413764885594305</v>
      </c>
      <c r="P99" s="67">
        <f t="shared" ca="1" si="15"/>
        <v>0.27973941499817734</v>
      </c>
      <c r="Q99" s="56">
        <f t="shared" ca="1" si="16"/>
        <v>204.75830639970837</v>
      </c>
      <c r="R99" s="56">
        <f t="shared" ca="1" si="17"/>
        <v>205</v>
      </c>
      <c r="S99" s="56">
        <f t="shared" ca="1" si="18"/>
        <v>125</v>
      </c>
      <c r="T99" s="39">
        <f t="shared" ca="1" si="19"/>
        <v>687500</v>
      </c>
      <c r="U99" s="61">
        <f t="shared" ca="1" si="20"/>
        <v>0</v>
      </c>
      <c r="V99" s="61">
        <f t="shared" ca="1" si="21"/>
        <v>120000</v>
      </c>
      <c r="W99" s="62">
        <f t="shared" ca="1" si="22"/>
        <v>67500</v>
      </c>
      <c r="X99" s="14"/>
      <c r="Z99" s="23"/>
      <c r="AA99" s="23"/>
      <c r="AB99" s="11">
        <v>94</v>
      </c>
      <c r="AC99" s="7">
        <v>-94245</v>
      </c>
      <c r="AD99" s="7">
        <v>-69525</v>
      </c>
      <c r="AE99" s="7">
        <v>-39150</v>
      </c>
      <c r="AF99" s="7">
        <v>-5340</v>
      </c>
      <c r="AG99" s="7">
        <v>22162.5</v>
      </c>
      <c r="AH99" s="7">
        <v>57450</v>
      </c>
      <c r="AI99" s="7">
        <v>85447.5</v>
      </c>
      <c r="AJ99" s="7">
        <v>110760</v>
      </c>
      <c r="AK99" s="7">
        <v>140460</v>
      </c>
      <c r="AL99" s="7">
        <v>173842.5</v>
      </c>
    </row>
    <row r="100" spans="11:38" x14ac:dyDescent="0.3">
      <c r="K100" s="40">
        <v>96</v>
      </c>
      <c r="L100" s="39">
        <f t="shared" ca="1" si="12"/>
        <v>9.8099239284625273E-2</v>
      </c>
      <c r="M100" s="39">
        <f t="shared" ca="1" si="13"/>
        <v>140</v>
      </c>
      <c r="N100" s="39">
        <f t="shared" ca="1" si="14"/>
        <v>0.40702368084974772</v>
      </c>
      <c r="O100" s="39">
        <f t="shared" ca="1" si="14"/>
        <v>0.78036833905269321</v>
      </c>
      <c r="P100" s="67">
        <f t="shared" ca="1" si="15"/>
        <v>0.31873920199024414</v>
      </c>
      <c r="Q100" s="56">
        <f t="shared" ca="1" si="16"/>
        <v>184.62348827863417</v>
      </c>
      <c r="R100" s="56">
        <f t="shared" ca="1" si="17"/>
        <v>185</v>
      </c>
      <c r="S100" s="56">
        <f t="shared" ca="1" si="18"/>
        <v>125</v>
      </c>
      <c r="T100" s="39">
        <f t="shared" ca="1" si="19"/>
        <v>687500</v>
      </c>
      <c r="U100" s="61">
        <f t="shared" ca="1" si="20"/>
        <v>0</v>
      </c>
      <c r="V100" s="61">
        <f t="shared" ca="1" si="21"/>
        <v>90000</v>
      </c>
      <c r="W100" s="62">
        <f t="shared" ca="1" si="22"/>
        <v>97500</v>
      </c>
      <c r="X100" s="14"/>
      <c r="AB100" s="11">
        <v>95</v>
      </c>
      <c r="AC100" s="7">
        <v>-89407.5</v>
      </c>
      <c r="AD100" s="7">
        <v>-70867.5</v>
      </c>
      <c r="AE100" s="7">
        <v>-33412.5</v>
      </c>
      <c r="AF100" s="7">
        <v>-5970</v>
      </c>
      <c r="AG100" s="7">
        <v>24067.5</v>
      </c>
      <c r="AH100" s="7">
        <v>49635</v>
      </c>
      <c r="AI100" s="7">
        <v>82080</v>
      </c>
      <c r="AJ100" s="7">
        <v>109342.5</v>
      </c>
      <c r="AK100" s="7">
        <v>136440</v>
      </c>
      <c r="AL100" s="7">
        <v>171075</v>
      </c>
    </row>
    <row r="101" spans="11:38" x14ac:dyDescent="0.3">
      <c r="K101" s="40">
        <v>97</v>
      </c>
      <c r="L101" s="39">
        <f t="shared" ca="1" si="12"/>
        <v>0.74681859001472028</v>
      </c>
      <c r="M101" s="39">
        <f t="shared" ca="1" si="13"/>
        <v>200</v>
      </c>
      <c r="N101" s="39">
        <f t="shared" ca="1" si="14"/>
        <v>0.15809542597518134</v>
      </c>
      <c r="O101" s="39">
        <f t="shared" ca="1" si="14"/>
        <v>0.46477887923988892</v>
      </c>
      <c r="P101" s="67">
        <f t="shared" ca="1" si="15"/>
        <v>0.26228743052150705</v>
      </c>
      <c r="Q101" s="56">
        <f t="shared" ca="1" si="16"/>
        <v>252.45748610430141</v>
      </c>
      <c r="R101" s="56">
        <f t="shared" ca="1" si="17"/>
        <v>253</v>
      </c>
      <c r="S101" s="56">
        <f t="shared" ca="1" si="18"/>
        <v>125</v>
      </c>
      <c r="T101" s="39">
        <f t="shared" ca="1" si="19"/>
        <v>687500</v>
      </c>
      <c r="U101" s="61">
        <f t="shared" ca="1" si="20"/>
        <v>0</v>
      </c>
      <c r="V101" s="61">
        <f t="shared" ca="1" si="21"/>
        <v>192000</v>
      </c>
      <c r="W101" s="62">
        <f t="shared" ca="1" si="22"/>
        <v>-4500</v>
      </c>
      <c r="X101" s="14"/>
      <c r="AB101" s="11">
        <v>96</v>
      </c>
      <c r="AC101" s="7">
        <v>-100275</v>
      </c>
      <c r="AD101" s="7">
        <v>-71452.5</v>
      </c>
      <c r="AE101" s="7">
        <v>-47280</v>
      </c>
      <c r="AF101" s="7">
        <v>-4785</v>
      </c>
      <c r="AG101" s="7">
        <v>23190</v>
      </c>
      <c r="AH101" s="7">
        <v>52747.5</v>
      </c>
      <c r="AI101" s="7">
        <v>81855</v>
      </c>
      <c r="AJ101" s="7">
        <v>114555</v>
      </c>
      <c r="AK101" s="7">
        <v>136477.5</v>
      </c>
      <c r="AL101" s="7">
        <v>169140</v>
      </c>
    </row>
    <row r="102" spans="11:38" x14ac:dyDescent="0.3">
      <c r="K102" s="40">
        <v>98</v>
      </c>
      <c r="L102" s="39">
        <f t="shared" ca="1" si="12"/>
        <v>4.8330444090638802E-2</v>
      </c>
      <c r="M102" s="39">
        <f t="shared" ca="1" si="13"/>
        <v>140</v>
      </c>
      <c r="N102" s="39">
        <f t="shared" ca="1" si="14"/>
        <v>0.65354082191714624</v>
      </c>
      <c r="O102" s="39">
        <f t="shared" ca="1" si="14"/>
        <v>0.53566360108575473</v>
      </c>
      <c r="P102" s="67">
        <f t="shared" ca="1" si="15"/>
        <v>0.3189204423002901</v>
      </c>
      <c r="Q102" s="56">
        <f t="shared" ca="1" si="16"/>
        <v>184.64886192204062</v>
      </c>
      <c r="R102" s="56">
        <f t="shared" ca="1" si="17"/>
        <v>185</v>
      </c>
      <c r="S102" s="56">
        <f t="shared" ca="1" si="18"/>
        <v>125</v>
      </c>
      <c r="T102" s="39">
        <f t="shared" ca="1" si="19"/>
        <v>687500</v>
      </c>
      <c r="U102" s="61">
        <f t="shared" ca="1" si="20"/>
        <v>0</v>
      </c>
      <c r="V102" s="61">
        <f t="shared" ca="1" si="21"/>
        <v>90000</v>
      </c>
      <c r="W102" s="62">
        <f t="shared" ca="1" si="22"/>
        <v>97500</v>
      </c>
      <c r="X102" s="14"/>
      <c r="AB102" s="11">
        <v>97</v>
      </c>
      <c r="AC102" s="7">
        <v>-99682.5</v>
      </c>
      <c r="AD102" s="7">
        <v>-66915</v>
      </c>
      <c r="AE102" s="7">
        <v>-32047.5</v>
      </c>
      <c r="AF102" s="7">
        <v>-7095</v>
      </c>
      <c r="AG102" s="7">
        <v>24322.5</v>
      </c>
      <c r="AH102" s="7">
        <v>49657.5</v>
      </c>
      <c r="AI102" s="7">
        <v>83182.5</v>
      </c>
      <c r="AJ102" s="7">
        <v>106432.5</v>
      </c>
      <c r="AK102" s="7">
        <v>142402.5</v>
      </c>
      <c r="AL102" s="7">
        <v>167002.5</v>
      </c>
    </row>
    <row r="103" spans="11:38" x14ac:dyDescent="0.3">
      <c r="K103" s="40">
        <v>99</v>
      </c>
      <c r="L103" s="39">
        <f t="shared" ca="1" si="12"/>
        <v>0.20104259863823082</v>
      </c>
      <c r="M103" s="39">
        <f t="shared" ca="1" si="13"/>
        <v>140</v>
      </c>
      <c r="N103" s="39">
        <f t="shared" ca="1" si="14"/>
        <v>0.78762913185832095</v>
      </c>
      <c r="O103" s="39">
        <f t="shared" ca="1" si="14"/>
        <v>4.3799719287998085E-2</v>
      </c>
      <c r="P103" s="67">
        <f t="shared" ca="1" si="15"/>
        <v>0.28314288511463193</v>
      </c>
      <c r="Q103" s="56">
        <f t="shared" ca="1" si="16"/>
        <v>179.64000391604847</v>
      </c>
      <c r="R103" s="56">
        <f t="shared" ca="1" si="17"/>
        <v>180</v>
      </c>
      <c r="S103" s="56">
        <f t="shared" ca="1" si="18"/>
        <v>125</v>
      </c>
      <c r="T103" s="39">
        <f t="shared" ca="1" si="19"/>
        <v>687500</v>
      </c>
      <c r="U103" s="61">
        <f t="shared" ca="1" si="20"/>
        <v>0</v>
      </c>
      <c r="V103" s="61">
        <f t="shared" ca="1" si="21"/>
        <v>82500</v>
      </c>
      <c r="W103" s="62">
        <f t="shared" ca="1" si="22"/>
        <v>105000</v>
      </c>
      <c r="X103" s="14"/>
      <c r="AB103" s="11">
        <v>98</v>
      </c>
      <c r="AC103" s="7">
        <v>-103132.5</v>
      </c>
      <c r="AD103" s="7">
        <v>-74542.5</v>
      </c>
      <c r="AE103" s="7">
        <v>-38182.5</v>
      </c>
      <c r="AF103" s="7">
        <v>-3157.5</v>
      </c>
      <c r="AG103" s="7">
        <v>18697.5</v>
      </c>
      <c r="AH103" s="7">
        <v>47062.5</v>
      </c>
      <c r="AI103" s="7">
        <v>77955</v>
      </c>
      <c r="AJ103" s="7">
        <v>111225</v>
      </c>
      <c r="AK103" s="7">
        <v>140947.5</v>
      </c>
      <c r="AL103" s="7">
        <v>170565</v>
      </c>
    </row>
    <row r="104" spans="11:38" x14ac:dyDescent="0.3">
      <c r="K104" s="40">
        <v>100</v>
      </c>
      <c r="L104" s="39">
        <f t="shared" ca="1" si="12"/>
        <v>0.49014742900431663</v>
      </c>
      <c r="M104" s="39">
        <f t="shared" ca="1" si="13"/>
        <v>160</v>
      </c>
      <c r="N104" s="39">
        <f t="shared" ca="1" si="14"/>
        <v>0.36608761003402812</v>
      </c>
      <c r="O104" s="39">
        <f t="shared" ca="1" si="14"/>
        <v>0.68064330692824404</v>
      </c>
      <c r="P104" s="67">
        <f t="shared" ca="1" si="15"/>
        <v>0.30467309169622725</v>
      </c>
      <c r="Q104" s="56">
        <f t="shared" ca="1" si="16"/>
        <v>208.74769467139635</v>
      </c>
      <c r="R104" s="56">
        <f t="shared" ca="1" si="17"/>
        <v>209</v>
      </c>
      <c r="S104" s="56">
        <f t="shared" ca="1" si="18"/>
        <v>125</v>
      </c>
      <c r="T104" s="39">
        <f t="shared" ca="1" si="19"/>
        <v>687500</v>
      </c>
      <c r="U104" s="61">
        <f t="shared" ca="1" si="20"/>
        <v>0</v>
      </c>
      <c r="V104" s="61">
        <f t="shared" ca="1" si="21"/>
        <v>126000</v>
      </c>
      <c r="W104" s="62">
        <f t="shared" ca="1" si="22"/>
        <v>61500</v>
      </c>
      <c r="X104" s="14"/>
      <c r="AB104" s="11">
        <v>99</v>
      </c>
      <c r="AC104" s="7">
        <v>-94335</v>
      </c>
      <c r="AD104" s="7">
        <v>-66600</v>
      </c>
      <c r="AE104" s="7">
        <v>-31920</v>
      </c>
      <c r="AF104" s="7">
        <v>-5812.5</v>
      </c>
      <c r="AG104" s="7">
        <v>22440</v>
      </c>
      <c r="AH104" s="7">
        <v>54765</v>
      </c>
      <c r="AI104" s="7">
        <v>78457.5</v>
      </c>
      <c r="AJ104" s="7">
        <v>118567.5</v>
      </c>
      <c r="AK104" s="7">
        <v>137272.5</v>
      </c>
      <c r="AL104" s="7">
        <v>177517.5</v>
      </c>
    </row>
    <row r="105" spans="11:38" x14ac:dyDescent="0.3">
      <c r="K105" s="40">
        <v>101</v>
      </c>
      <c r="L105" s="39">
        <f t="shared" ca="1" si="12"/>
        <v>0.18414624934396706</v>
      </c>
      <c r="M105" s="39">
        <f t="shared" ca="1" si="13"/>
        <v>140</v>
      </c>
      <c r="N105" s="39">
        <f t="shared" ca="1" si="14"/>
        <v>0.6593281847847583</v>
      </c>
      <c r="O105" s="39">
        <f t="shared" ca="1" si="14"/>
        <v>0.32363838383031363</v>
      </c>
      <c r="P105" s="67">
        <f t="shared" ca="1" si="15"/>
        <v>0.29829665686150719</v>
      </c>
      <c r="Q105" s="56">
        <f t="shared" ca="1" si="16"/>
        <v>181.76153196061102</v>
      </c>
      <c r="R105" s="56">
        <f t="shared" ca="1" si="17"/>
        <v>182</v>
      </c>
      <c r="S105" s="56">
        <f t="shared" ca="1" si="18"/>
        <v>125</v>
      </c>
      <c r="T105" s="39">
        <f t="shared" ca="1" si="19"/>
        <v>687500</v>
      </c>
      <c r="U105" s="61">
        <f t="shared" ca="1" si="20"/>
        <v>0</v>
      </c>
      <c r="V105" s="61">
        <f t="shared" ca="1" si="21"/>
        <v>85500</v>
      </c>
      <c r="W105" s="62">
        <f t="shared" ca="1" si="22"/>
        <v>102000</v>
      </c>
      <c r="X105" s="14"/>
      <c r="AB105" s="42">
        <v>100</v>
      </c>
      <c r="AC105" s="7">
        <v>-97110</v>
      </c>
      <c r="AD105" s="7">
        <v>-64500</v>
      </c>
      <c r="AE105" s="7">
        <v>-37522.5</v>
      </c>
      <c r="AF105" s="7">
        <v>-2565</v>
      </c>
      <c r="AG105" s="7">
        <v>28575</v>
      </c>
      <c r="AH105" s="7">
        <v>44482.5</v>
      </c>
      <c r="AI105" s="7">
        <v>79305</v>
      </c>
      <c r="AJ105" s="7">
        <v>106080</v>
      </c>
      <c r="AK105" s="7">
        <v>138840</v>
      </c>
      <c r="AL105" s="7">
        <v>174532.5</v>
      </c>
    </row>
    <row r="106" spans="11:38" x14ac:dyDescent="0.3">
      <c r="K106" s="40">
        <v>102</v>
      </c>
      <c r="L106" s="39">
        <f t="shared" ca="1" si="12"/>
        <v>0.57107290017559853</v>
      </c>
      <c r="M106" s="39">
        <f t="shared" ca="1" si="13"/>
        <v>180</v>
      </c>
      <c r="N106" s="39">
        <f t="shared" ca="1" si="14"/>
        <v>8.1737830508570863E-2</v>
      </c>
      <c r="O106" s="39">
        <f t="shared" ca="1" si="14"/>
        <v>0.70226703844661242</v>
      </c>
      <c r="P106" s="67">
        <f t="shared" ca="1" si="15"/>
        <v>0.27840048689551833</v>
      </c>
      <c r="Q106" s="56">
        <f t="shared" ca="1" si="16"/>
        <v>230.11208764119328</v>
      </c>
      <c r="R106" s="56">
        <f t="shared" ca="1" si="17"/>
        <v>231</v>
      </c>
      <c r="S106" s="56">
        <f t="shared" ca="1" si="18"/>
        <v>125</v>
      </c>
      <c r="T106" s="39">
        <f t="shared" ca="1" si="19"/>
        <v>687500</v>
      </c>
      <c r="U106" s="61">
        <f t="shared" ca="1" si="20"/>
        <v>0</v>
      </c>
      <c r="V106" s="61">
        <f t="shared" ca="1" si="21"/>
        <v>159000</v>
      </c>
      <c r="W106" s="62">
        <f t="shared" ca="1" si="22"/>
        <v>28500</v>
      </c>
      <c r="X106" s="14"/>
    </row>
    <row r="107" spans="11:38" x14ac:dyDescent="0.3">
      <c r="K107" s="40">
        <v>103</v>
      </c>
      <c r="L107" s="39">
        <f t="shared" ca="1" si="12"/>
        <v>0.99010939386947239</v>
      </c>
      <c r="M107" s="39">
        <f t="shared" ca="1" si="13"/>
        <v>220</v>
      </c>
      <c r="N107" s="39">
        <f t="shared" ca="1" si="14"/>
        <v>0.34855478607239221</v>
      </c>
      <c r="O107" s="39">
        <f t="shared" ca="1" si="14"/>
        <v>0.50456410082235803</v>
      </c>
      <c r="P107" s="67">
        <f t="shared" ca="1" si="15"/>
        <v>0.28531188868947505</v>
      </c>
      <c r="Q107" s="56">
        <f t="shared" ca="1" si="16"/>
        <v>282.76861551168452</v>
      </c>
      <c r="R107" s="56">
        <f t="shared" ca="1" si="17"/>
        <v>283</v>
      </c>
      <c r="S107" s="56">
        <f t="shared" ca="1" si="18"/>
        <v>125</v>
      </c>
      <c r="T107" s="39">
        <f t="shared" ca="1" si="19"/>
        <v>687500</v>
      </c>
      <c r="U107" s="61">
        <f t="shared" ca="1" si="20"/>
        <v>0</v>
      </c>
      <c r="V107" s="61">
        <f t="shared" ca="1" si="21"/>
        <v>237000</v>
      </c>
      <c r="W107" s="62">
        <f t="shared" ca="1" si="22"/>
        <v>-49500</v>
      </c>
      <c r="X107" s="14"/>
    </row>
    <row r="108" spans="11:38" x14ac:dyDescent="0.3">
      <c r="K108" s="40">
        <v>104</v>
      </c>
      <c r="L108" s="39">
        <f t="shared" ca="1" si="12"/>
        <v>0.38479828399646387</v>
      </c>
      <c r="M108" s="39">
        <f t="shared" ca="1" si="13"/>
        <v>160</v>
      </c>
      <c r="N108" s="39">
        <f t="shared" ca="1" si="14"/>
        <v>0.24799348130194554</v>
      </c>
      <c r="O108" s="39">
        <f t="shared" ca="1" si="14"/>
        <v>0.82363270425401591</v>
      </c>
      <c r="P108" s="67">
        <f t="shared" ca="1" si="15"/>
        <v>0.30716261855559618</v>
      </c>
      <c r="Q108" s="56">
        <f t="shared" ca="1" si="16"/>
        <v>209.14601896889539</v>
      </c>
      <c r="R108" s="56">
        <f t="shared" ca="1" si="17"/>
        <v>210</v>
      </c>
      <c r="S108" s="56">
        <f t="shared" ca="1" si="18"/>
        <v>125</v>
      </c>
      <c r="T108" s="39">
        <f t="shared" ca="1" si="19"/>
        <v>687500</v>
      </c>
      <c r="U108" s="61">
        <f t="shared" ca="1" si="20"/>
        <v>0</v>
      </c>
      <c r="V108" s="61">
        <f t="shared" ca="1" si="21"/>
        <v>127500</v>
      </c>
      <c r="W108" s="62">
        <f t="shared" ca="1" si="22"/>
        <v>60000</v>
      </c>
      <c r="X108" s="14"/>
    </row>
    <row r="109" spans="11:38" x14ac:dyDescent="0.3">
      <c r="K109" s="40">
        <v>105</v>
      </c>
      <c r="L109" s="39">
        <f t="shared" ca="1" si="12"/>
        <v>0.488393098147761</v>
      </c>
      <c r="M109" s="39">
        <f t="shared" ca="1" si="13"/>
        <v>160</v>
      </c>
      <c r="N109" s="39">
        <f t="shared" ca="1" si="14"/>
        <v>0.93082843491786815</v>
      </c>
      <c r="O109" s="39">
        <f t="shared" ca="1" si="14"/>
        <v>0.91666190325242858</v>
      </c>
      <c r="P109" s="67">
        <f t="shared" ca="1" si="15"/>
        <v>0.38474903381702968</v>
      </c>
      <c r="Q109" s="56">
        <f t="shared" ca="1" si="16"/>
        <v>221.55984541072473</v>
      </c>
      <c r="R109" s="56">
        <f t="shared" ca="1" si="17"/>
        <v>222</v>
      </c>
      <c r="S109" s="56">
        <f t="shared" ca="1" si="18"/>
        <v>125</v>
      </c>
      <c r="T109" s="39">
        <f t="shared" ca="1" si="19"/>
        <v>687500</v>
      </c>
      <c r="U109" s="61">
        <f t="shared" ca="1" si="20"/>
        <v>0</v>
      </c>
      <c r="V109" s="61">
        <f t="shared" ca="1" si="21"/>
        <v>145500</v>
      </c>
      <c r="W109" s="62">
        <f t="shared" ca="1" si="22"/>
        <v>42000</v>
      </c>
      <c r="X109" s="14"/>
    </row>
    <row r="110" spans="11:38" ht="16.2" thickBot="1" x14ac:dyDescent="0.35">
      <c r="K110" s="40">
        <v>106</v>
      </c>
      <c r="L110" s="39">
        <f t="shared" ca="1" si="12"/>
        <v>0.27948720769460533</v>
      </c>
      <c r="M110" s="39">
        <f t="shared" ca="1" si="13"/>
        <v>140</v>
      </c>
      <c r="N110" s="39">
        <f t="shared" ca="1" si="14"/>
        <v>0.26078987042422064</v>
      </c>
      <c r="O110" s="39">
        <f t="shared" ca="1" si="14"/>
        <v>0.85883228600412942</v>
      </c>
      <c r="P110" s="67">
        <f t="shared" ca="1" si="15"/>
        <v>0.31196221564283499</v>
      </c>
      <c r="Q110" s="56">
        <f t="shared" ca="1" si="16"/>
        <v>183.67471018999692</v>
      </c>
      <c r="R110" s="56">
        <f t="shared" ca="1" si="17"/>
        <v>184</v>
      </c>
      <c r="S110" s="56">
        <f t="shared" ca="1" si="18"/>
        <v>125</v>
      </c>
      <c r="T110" s="39">
        <f t="shared" ca="1" si="19"/>
        <v>687500</v>
      </c>
      <c r="U110" s="61">
        <f t="shared" ca="1" si="20"/>
        <v>0</v>
      </c>
      <c r="V110" s="61">
        <f t="shared" ca="1" si="21"/>
        <v>88500</v>
      </c>
      <c r="W110" s="62">
        <f t="shared" ca="1" si="22"/>
        <v>99000</v>
      </c>
      <c r="X110" s="14"/>
    </row>
    <row r="111" spans="11:38" ht="16.2" thickBot="1" x14ac:dyDescent="0.35">
      <c r="K111" s="40">
        <v>107</v>
      </c>
      <c r="L111" s="39">
        <f t="shared" ca="1" si="12"/>
        <v>0.99492750186926793</v>
      </c>
      <c r="M111" s="39">
        <f t="shared" ca="1" si="13"/>
        <v>220</v>
      </c>
      <c r="N111" s="39">
        <f t="shared" ca="1" si="14"/>
        <v>0.71717329770853178</v>
      </c>
      <c r="O111" s="39">
        <f t="shared" ca="1" si="14"/>
        <v>0.70610312670332886</v>
      </c>
      <c r="P111" s="67">
        <f t="shared" ca="1" si="15"/>
        <v>0.34232764244118608</v>
      </c>
      <c r="Q111" s="56">
        <f t="shared" ca="1" si="16"/>
        <v>295.31208133706093</v>
      </c>
      <c r="R111" s="56">
        <f t="shared" ca="1" si="17"/>
        <v>296</v>
      </c>
      <c r="S111" s="56">
        <f t="shared" ca="1" si="18"/>
        <v>125</v>
      </c>
      <c r="T111" s="39">
        <f t="shared" ca="1" si="19"/>
        <v>687500</v>
      </c>
      <c r="U111" s="61">
        <f t="shared" ca="1" si="20"/>
        <v>0</v>
      </c>
      <c r="V111" s="61">
        <f t="shared" ca="1" si="21"/>
        <v>256500</v>
      </c>
      <c r="W111" s="62">
        <f t="shared" ca="1" si="22"/>
        <v>-69000</v>
      </c>
      <c r="X111" s="14"/>
      <c r="AB111" s="18" t="s">
        <v>22</v>
      </c>
      <c r="AC111" s="13">
        <f>AC5</f>
        <v>80</v>
      </c>
      <c r="AD111" s="13">
        <f t="shared" ref="AD111:AL111" si="23">AD5</f>
        <v>90</v>
      </c>
      <c r="AE111" s="13">
        <f t="shared" si="23"/>
        <v>100</v>
      </c>
      <c r="AF111" s="13">
        <f t="shared" si="23"/>
        <v>110</v>
      </c>
      <c r="AG111" s="13">
        <f t="shared" si="23"/>
        <v>120</v>
      </c>
      <c r="AH111" s="13">
        <f t="shared" si="23"/>
        <v>130</v>
      </c>
      <c r="AI111" s="13">
        <f t="shared" si="23"/>
        <v>140</v>
      </c>
      <c r="AJ111" s="13">
        <f t="shared" si="23"/>
        <v>150</v>
      </c>
      <c r="AK111" s="13">
        <f t="shared" si="23"/>
        <v>160</v>
      </c>
      <c r="AL111" s="13">
        <f t="shared" si="23"/>
        <v>170</v>
      </c>
    </row>
    <row r="112" spans="11:38" x14ac:dyDescent="0.3">
      <c r="K112" s="40">
        <v>108</v>
      </c>
      <c r="L112" s="39">
        <f t="shared" ca="1" si="12"/>
        <v>0.12408253907452971</v>
      </c>
      <c r="M112" s="39">
        <f t="shared" ca="1" si="13"/>
        <v>140</v>
      </c>
      <c r="N112" s="39">
        <f t="shared" ca="1" si="14"/>
        <v>0.46829219547867462</v>
      </c>
      <c r="O112" s="39">
        <f t="shared" ca="1" si="14"/>
        <v>0.15024135190091825</v>
      </c>
      <c r="P112" s="67">
        <f t="shared" ca="1" si="15"/>
        <v>0.26185335473795929</v>
      </c>
      <c r="Q112" s="56">
        <f t="shared" ca="1" si="16"/>
        <v>176.6594696633143</v>
      </c>
      <c r="R112" s="56">
        <f t="shared" ca="1" si="17"/>
        <v>177</v>
      </c>
      <c r="S112" s="56">
        <f t="shared" ca="1" si="18"/>
        <v>125</v>
      </c>
      <c r="T112" s="39">
        <f t="shared" ca="1" si="19"/>
        <v>687500</v>
      </c>
      <c r="U112" s="61">
        <f t="shared" ca="1" si="20"/>
        <v>0</v>
      </c>
      <c r="V112" s="61">
        <f t="shared" ca="1" si="21"/>
        <v>78000</v>
      </c>
      <c r="W112" s="62">
        <f t="shared" ca="1" si="22"/>
        <v>109500</v>
      </c>
      <c r="X112" s="14"/>
      <c r="AB112" s="19" t="s">
        <v>26</v>
      </c>
      <c r="AC112" s="11">
        <f>AVERAGE(AC6:AC105)</f>
        <v>-98091.074999999997</v>
      </c>
      <c r="AD112" s="11">
        <f t="shared" ref="AD112:AL112" si="24">AVERAGE(AD6:AD105)</f>
        <v>-68049.675000000003</v>
      </c>
      <c r="AE112" s="11">
        <f t="shared" si="24"/>
        <v>-38134.800000000003</v>
      </c>
      <c r="AF112" s="11">
        <f t="shared" si="24"/>
        <v>-7400.55</v>
      </c>
      <c r="AG112" s="11">
        <f t="shared" si="24"/>
        <v>21722.775000000001</v>
      </c>
      <c r="AH112" s="11">
        <f t="shared" si="24"/>
        <v>52067.625</v>
      </c>
      <c r="AI112" s="11">
        <f t="shared" si="24"/>
        <v>82181.175000000003</v>
      </c>
      <c r="AJ112" s="11">
        <f t="shared" si="24"/>
        <v>111753.675</v>
      </c>
      <c r="AK112" s="11">
        <f t="shared" si="24"/>
        <v>141548.32500000001</v>
      </c>
      <c r="AL112" s="11">
        <f t="shared" si="24"/>
        <v>171945.75</v>
      </c>
    </row>
    <row r="113" spans="11:38" x14ac:dyDescent="0.3">
      <c r="K113" s="40">
        <v>109</v>
      </c>
      <c r="L113" s="39">
        <f t="shared" ca="1" si="12"/>
        <v>6.7272488846463641E-2</v>
      </c>
      <c r="M113" s="39">
        <f t="shared" ca="1" si="13"/>
        <v>140</v>
      </c>
      <c r="N113" s="39">
        <f t="shared" ca="1" si="14"/>
        <v>3.339012344136072E-2</v>
      </c>
      <c r="O113" s="39">
        <f t="shared" ca="1" si="14"/>
        <v>0.10335223704806717</v>
      </c>
      <c r="P113" s="67">
        <f t="shared" ca="1" si="15"/>
        <v>0.21367423604894281</v>
      </c>
      <c r="Q113" s="56">
        <f t="shared" ca="1" si="16"/>
        <v>169.91439304685198</v>
      </c>
      <c r="R113" s="56">
        <f t="shared" ca="1" si="17"/>
        <v>170</v>
      </c>
      <c r="S113" s="56">
        <f t="shared" ca="1" si="18"/>
        <v>125</v>
      </c>
      <c r="T113" s="39">
        <f t="shared" ca="1" si="19"/>
        <v>687500</v>
      </c>
      <c r="U113" s="61">
        <f t="shared" ca="1" si="20"/>
        <v>0</v>
      </c>
      <c r="V113" s="61">
        <f t="shared" ca="1" si="21"/>
        <v>67500</v>
      </c>
      <c r="W113" s="62">
        <f t="shared" ca="1" si="22"/>
        <v>120000</v>
      </c>
      <c r="X113" s="14"/>
      <c r="AB113" s="19" t="s">
        <v>27</v>
      </c>
      <c r="AC113" s="20">
        <f>_xlfn.STDEV.S(AC6:AC105)</f>
        <v>4209.1332911301342</v>
      </c>
      <c r="AD113" s="20">
        <f t="shared" ref="AD113:AL113" si="25">_xlfn.STDEV.S(AD6:AD105)</f>
        <v>4341.6326651230656</v>
      </c>
      <c r="AE113" s="20">
        <f t="shared" si="25"/>
        <v>3839.5003699581894</v>
      </c>
      <c r="AF113" s="20">
        <f t="shared" si="25"/>
        <v>3482.1681496916935</v>
      </c>
      <c r="AG113" s="20">
        <f t="shared" si="25"/>
        <v>4076.5870661565104</v>
      </c>
      <c r="AH113" s="20">
        <f t="shared" si="25"/>
        <v>4167.5223420625962</v>
      </c>
      <c r="AI113" s="20">
        <f t="shared" si="25"/>
        <v>4386.8901408577076</v>
      </c>
      <c r="AJ113" s="20">
        <f t="shared" si="25"/>
        <v>3546.497551202006</v>
      </c>
      <c r="AK113" s="20">
        <f t="shared" si="25"/>
        <v>3770.1291415969008</v>
      </c>
      <c r="AL113" s="20">
        <f t="shared" si="25"/>
        <v>3734.658813334921</v>
      </c>
    </row>
    <row r="114" spans="11:38" x14ac:dyDescent="0.3">
      <c r="K114" s="40">
        <v>110</v>
      </c>
      <c r="L114" s="39">
        <f t="shared" ca="1" si="12"/>
        <v>0.20487737528360406</v>
      </c>
      <c r="M114" s="39">
        <f t="shared" ca="1" si="13"/>
        <v>140</v>
      </c>
      <c r="N114" s="39">
        <f t="shared" ca="1" si="14"/>
        <v>0.32486798722914656</v>
      </c>
      <c r="O114" s="39">
        <f t="shared" ca="1" si="14"/>
        <v>0.72070813710584636</v>
      </c>
      <c r="P114" s="67">
        <f t="shared" ca="1" si="15"/>
        <v>0.30455761243349933</v>
      </c>
      <c r="Q114" s="56">
        <f t="shared" ca="1" si="16"/>
        <v>182.63806574068991</v>
      </c>
      <c r="R114" s="56">
        <f t="shared" ca="1" si="17"/>
        <v>183</v>
      </c>
      <c r="S114" s="56">
        <f t="shared" ca="1" si="18"/>
        <v>125</v>
      </c>
      <c r="T114" s="39">
        <f t="shared" ca="1" si="19"/>
        <v>687500</v>
      </c>
      <c r="U114" s="61">
        <f t="shared" ca="1" si="20"/>
        <v>0</v>
      </c>
      <c r="V114" s="61">
        <f t="shared" ca="1" si="21"/>
        <v>87000</v>
      </c>
      <c r="W114" s="62">
        <f t="shared" ca="1" si="22"/>
        <v>100500</v>
      </c>
      <c r="X114" s="14"/>
      <c r="AB114" s="19" t="s">
        <v>28</v>
      </c>
      <c r="AC114" s="11">
        <f>_xlfn.CONFIDENCE.T(0.05,AC113,100)</f>
        <v>835.1833627747136</v>
      </c>
      <c r="AD114" s="11">
        <f t="shared" ref="AD114:AL114" si="26">_xlfn.CONFIDENCE.T(0.05,AD113,100)</f>
        <v>861.47411316984983</v>
      </c>
      <c r="AE114" s="11">
        <f t="shared" si="26"/>
        <v>761.84017196933576</v>
      </c>
      <c r="AF114" s="11">
        <f t="shared" si="26"/>
        <v>690.93770708925649</v>
      </c>
      <c r="AG114" s="11">
        <f t="shared" si="26"/>
        <v>808.88331612856848</v>
      </c>
      <c r="AH114" s="11">
        <f t="shared" si="26"/>
        <v>826.92684772357279</v>
      </c>
      <c r="AI114" s="11">
        <f t="shared" si="26"/>
        <v>870.4541782237186</v>
      </c>
      <c r="AJ114" s="11">
        <f t="shared" si="26"/>
        <v>703.70205598547352</v>
      </c>
      <c r="AK114" s="11">
        <f t="shared" si="26"/>
        <v>748.07541524265162</v>
      </c>
      <c r="AL114" s="11">
        <f t="shared" si="26"/>
        <v>741.03733258107616</v>
      </c>
    </row>
    <row r="115" spans="11:38" x14ac:dyDescent="0.3">
      <c r="K115" s="40">
        <v>111</v>
      </c>
      <c r="L115" s="39">
        <f t="shared" ca="1" si="12"/>
        <v>7.1102613427745376E-2</v>
      </c>
      <c r="M115" s="39">
        <f t="shared" ca="1" si="13"/>
        <v>140</v>
      </c>
      <c r="N115" s="39">
        <f t="shared" ca="1" si="14"/>
        <v>0.20575412243022995</v>
      </c>
      <c r="O115" s="39">
        <f t="shared" ca="1" si="14"/>
        <v>0.50826442917694903</v>
      </c>
      <c r="P115" s="67">
        <f t="shared" ca="1" si="15"/>
        <v>0.27140185516071791</v>
      </c>
      <c r="Q115" s="56">
        <f t="shared" ca="1" si="16"/>
        <v>177.9962597225005</v>
      </c>
      <c r="R115" s="56">
        <f t="shared" ca="1" si="17"/>
        <v>178</v>
      </c>
      <c r="S115" s="56">
        <f t="shared" ca="1" si="18"/>
        <v>125</v>
      </c>
      <c r="T115" s="39">
        <f t="shared" ca="1" si="19"/>
        <v>687500</v>
      </c>
      <c r="U115" s="61">
        <f t="shared" ca="1" si="20"/>
        <v>0</v>
      </c>
      <c r="V115" s="61">
        <f t="shared" ca="1" si="21"/>
        <v>79500</v>
      </c>
      <c r="W115" s="62">
        <f t="shared" ca="1" si="22"/>
        <v>108000</v>
      </c>
      <c r="X115" s="14"/>
      <c r="AB115" s="19" t="s">
        <v>29</v>
      </c>
      <c r="AC115" s="11">
        <f>AC112-AC113</f>
        <v>-102300.20829113013</v>
      </c>
      <c r="AD115" s="11">
        <f t="shared" ref="AD115:AL115" si="27">AD112-AD113</f>
        <v>-72391.307665123066</v>
      </c>
      <c r="AE115" s="11">
        <f t="shared" si="27"/>
        <v>-41974.30036995819</v>
      </c>
      <c r="AF115" s="11">
        <f t="shared" si="27"/>
        <v>-10882.718149691693</v>
      </c>
      <c r="AG115" s="11">
        <f t="shared" si="27"/>
        <v>17646.187933843492</v>
      </c>
      <c r="AH115" s="11">
        <f t="shared" si="27"/>
        <v>47900.102657937401</v>
      </c>
      <c r="AI115" s="11">
        <f t="shared" si="27"/>
        <v>77794.284859142295</v>
      </c>
      <c r="AJ115" s="11">
        <f t="shared" si="27"/>
        <v>108207.177448798</v>
      </c>
      <c r="AK115" s="11">
        <f t="shared" si="27"/>
        <v>137778.19585840311</v>
      </c>
      <c r="AL115" s="11">
        <f t="shared" si="27"/>
        <v>168211.09118666509</v>
      </c>
    </row>
    <row r="116" spans="11:38" x14ac:dyDescent="0.3">
      <c r="K116" s="40">
        <v>112</v>
      </c>
      <c r="L116" s="39">
        <f t="shared" ca="1" si="12"/>
        <v>0.69369751563607873</v>
      </c>
      <c r="M116" s="39">
        <f t="shared" ca="1" si="13"/>
        <v>200</v>
      </c>
      <c r="N116" s="39">
        <f t="shared" ca="1" si="14"/>
        <v>0.42519610507139294</v>
      </c>
      <c r="O116" s="39">
        <f t="shared" ca="1" si="14"/>
        <v>0.32566746157221704</v>
      </c>
      <c r="P116" s="67">
        <f t="shared" ca="1" si="15"/>
        <v>0.27508635666436099</v>
      </c>
      <c r="Q116" s="56">
        <f t="shared" ca="1" si="16"/>
        <v>255.01727133287221</v>
      </c>
      <c r="R116" s="56">
        <f t="shared" ca="1" si="17"/>
        <v>256</v>
      </c>
      <c r="S116" s="56">
        <f t="shared" ca="1" si="18"/>
        <v>125</v>
      </c>
      <c r="T116" s="39">
        <f t="shared" ca="1" si="19"/>
        <v>687500</v>
      </c>
      <c r="U116" s="61">
        <f t="shared" ca="1" si="20"/>
        <v>0</v>
      </c>
      <c r="V116" s="61">
        <f t="shared" ca="1" si="21"/>
        <v>196500</v>
      </c>
      <c r="W116" s="62">
        <f t="shared" ca="1" si="22"/>
        <v>-9000</v>
      </c>
      <c r="X116" s="14"/>
      <c r="AB116" s="19" t="s">
        <v>30</v>
      </c>
      <c r="AC116" s="11">
        <f>AC112+AC113</f>
        <v>-93881.941708869868</v>
      </c>
      <c r="AD116" s="11">
        <f t="shared" ref="AD116:AL116" si="28">AD112+AD113</f>
        <v>-63708.04233487694</v>
      </c>
      <c r="AE116" s="11">
        <f t="shared" si="28"/>
        <v>-34295.299630041816</v>
      </c>
      <c r="AF116" s="11">
        <f t="shared" si="28"/>
        <v>-3918.3818503083066</v>
      </c>
      <c r="AG116" s="11">
        <f t="shared" si="28"/>
        <v>25799.362066156511</v>
      </c>
      <c r="AH116" s="11">
        <f t="shared" si="28"/>
        <v>56235.147342062599</v>
      </c>
      <c r="AI116" s="11">
        <f t="shared" si="28"/>
        <v>86568.065140857711</v>
      </c>
      <c r="AJ116" s="11">
        <f t="shared" si="28"/>
        <v>115300.17255120201</v>
      </c>
      <c r="AK116" s="11">
        <f t="shared" si="28"/>
        <v>145318.45414159691</v>
      </c>
      <c r="AL116" s="11">
        <f t="shared" si="28"/>
        <v>175680.40881333491</v>
      </c>
    </row>
    <row r="117" spans="11:38" x14ac:dyDescent="0.3">
      <c r="K117" s="40">
        <v>113</v>
      </c>
      <c r="L117" s="39">
        <f t="shared" ca="1" si="12"/>
        <v>0.77633261299795853</v>
      </c>
      <c r="M117" s="39">
        <f t="shared" ca="1" si="13"/>
        <v>200</v>
      </c>
      <c r="N117" s="39">
        <f t="shared" ca="1" si="14"/>
        <v>0.76134723356655154</v>
      </c>
      <c r="O117" s="39">
        <f t="shared" ca="1" si="14"/>
        <v>0.89187535573430676</v>
      </c>
      <c r="P117" s="67">
        <f t="shared" ca="1" si="15"/>
        <v>0.36532225893008585</v>
      </c>
      <c r="Q117" s="56">
        <f t="shared" ca="1" si="16"/>
        <v>273.06445178601717</v>
      </c>
      <c r="R117" s="56">
        <f t="shared" ca="1" si="17"/>
        <v>274</v>
      </c>
      <c r="S117" s="56">
        <f t="shared" ca="1" si="18"/>
        <v>125</v>
      </c>
      <c r="T117" s="39">
        <f t="shared" ca="1" si="19"/>
        <v>687500</v>
      </c>
      <c r="U117" s="61">
        <f t="shared" ca="1" si="20"/>
        <v>0</v>
      </c>
      <c r="V117" s="61">
        <f t="shared" ca="1" si="21"/>
        <v>223500</v>
      </c>
      <c r="W117" s="62">
        <f t="shared" ca="1" si="22"/>
        <v>-36000</v>
      </c>
      <c r="X117" s="14"/>
      <c r="AB117" s="19"/>
      <c r="AC117" s="20"/>
      <c r="AD117" s="20"/>
      <c r="AE117" s="20"/>
      <c r="AF117" s="20"/>
      <c r="AG117" s="20"/>
      <c r="AH117" s="25"/>
      <c r="AI117" s="16"/>
      <c r="AJ117" s="16"/>
      <c r="AK117" s="16"/>
      <c r="AL117" s="16"/>
    </row>
    <row r="118" spans="11:38" x14ac:dyDescent="0.3">
      <c r="K118" s="40">
        <v>114</v>
      </c>
      <c r="L118" s="39">
        <f t="shared" ca="1" si="12"/>
        <v>7.7303031915389231E-2</v>
      </c>
      <c r="M118" s="39">
        <f t="shared" ca="1" si="13"/>
        <v>140</v>
      </c>
      <c r="N118" s="39">
        <f t="shared" ca="1" si="14"/>
        <v>0.96152595846032451</v>
      </c>
      <c r="O118" s="39">
        <f t="shared" ca="1" si="14"/>
        <v>0.58888867562387637</v>
      </c>
      <c r="P118" s="67">
        <f t="shared" ca="1" si="15"/>
        <v>0.35504146340842013</v>
      </c>
      <c r="Q118" s="56">
        <f t="shared" ca="1" si="16"/>
        <v>189.70580487717882</v>
      </c>
      <c r="R118" s="56">
        <f t="shared" ca="1" si="17"/>
        <v>190</v>
      </c>
      <c r="S118" s="56">
        <f t="shared" ca="1" si="18"/>
        <v>125</v>
      </c>
      <c r="T118" s="39">
        <f t="shared" ca="1" si="19"/>
        <v>687500</v>
      </c>
      <c r="U118" s="61">
        <f t="shared" ca="1" si="20"/>
        <v>0</v>
      </c>
      <c r="V118" s="61">
        <f t="shared" ca="1" si="21"/>
        <v>97500</v>
      </c>
      <c r="W118" s="62">
        <f t="shared" ca="1" si="22"/>
        <v>90000</v>
      </c>
      <c r="X118" s="14"/>
      <c r="AB118" s="19"/>
      <c r="AC118" s="11"/>
      <c r="AD118" s="11"/>
      <c r="AE118" s="11"/>
      <c r="AF118" s="11"/>
      <c r="AG118" s="11"/>
      <c r="AH118" s="24"/>
      <c r="AI118" s="11"/>
      <c r="AJ118" s="11"/>
      <c r="AK118" s="11"/>
      <c r="AL118" s="11"/>
    </row>
    <row r="119" spans="11:38" x14ac:dyDescent="0.3">
      <c r="K119" s="40">
        <v>115</v>
      </c>
      <c r="L119" s="39">
        <f t="shared" ca="1" si="12"/>
        <v>0.88671324988497402</v>
      </c>
      <c r="M119" s="39">
        <f t="shared" ca="1" si="13"/>
        <v>200</v>
      </c>
      <c r="N119" s="39">
        <f t="shared" ca="1" si="14"/>
        <v>0.37128079765939759</v>
      </c>
      <c r="O119" s="39">
        <f t="shared" ca="1" si="14"/>
        <v>0.2920346787561936</v>
      </c>
      <c r="P119" s="67">
        <f t="shared" ca="1" si="15"/>
        <v>0.26633154764155914</v>
      </c>
      <c r="Q119" s="56">
        <f t="shared" ca="1" si="16"/>
        <v>253.26630952831184</v>
      </c>
      <c r="R119" s="56">
        <f t="shared" ca="1" si="17"/>
        <v>254</v>
      </c>
      <c r="S119" s="56">
        <f t="shared" ca="1" si="18"/>
        <v>125</v>
      </c>
      <c r="T119" s="39">
        <f t="shared" ca="1" si="19"/>
        <v>687500</v>
      </c>
      <c r="U119" s="61">
        <f t="shared" ca="1" si="20"/>
        <v>0</v>
      </c>
      <c r="V119" s="61">
        <f t="shared" ca="1" si="21"/>
        <v>193500</v>
      </c>
      <c r="W119" s="62">
        <f t="shared" ca="1" si="22"/>
        <v>-6000</v>
      </c>
      <c r="X119" s="14"/>
      <c r="AB119" s="19"/>
      <c r="AC119" s="11"/>
      <c r="AD119" s="11"/>
      <c r="AE119" s="11"/>
      <c r="AF119" s="11"/>
      <c r="AG119" s="11"/>
      <c r="AH119" s="24"/>
      <c r="AI119" s="11"/>
      <c r="AJ119" s="11"/>
      <c r="AK119" s="11"/>
      <c r="AL119" s="11"/>
    </row>
    <row r="120" spans="11:38" ht="16.2" thickBot="1" x14ac:dyDescent="0.35">
      <c r="K120" s="40">
        <v>116</v>
      </c>
      <c r="L120" s="39">
        <f t="shared" ca="1" si="12"/>
        <v>0.3429752054523868</v>
      </c>
      <c r="M120" s="39">
        <f t="shared" ca="1" si="13"/>
        <v>160</v>
      </c>
      <c r="N120" s="39">
        <f t="shared" ca="1" si="14"/>
        <v>0.11770075446359973</v>
      </c>
      <c r="O120" s="39">
        <f t="shared" ca="1" si="14"/>
        <v>3.7526955302734644E-2</v>
      </c>
      <c r="P120" s="67">
        <f t="shared" ca="1" si="15"/>
        <v>0.21552277097663344</v>
      </c>
      <c r="Q120" s="56">
        <f t="shared" ca="1" si="16"/>
        <v>194.48364335626135</v>
      </c>
      <c r="R120" s="56">
        <f t="shared" ca="1" si="17"/>
        <v>195</v>
      </c>
      <c r="S120" s="56">
        <f t="shared" ca="1" si="18"/>
        <v>125</v>
      </c>
      <c r="T120" s="39">
        <f t="shared" ca="1" si="19"/>
        <v>687500</v>
      </c>
      <c r="U120" s="61">
        <f t="shared" ca="1" si="20"/>
        <v>0</v>
      </c>
      <c r="V120" s="61">
        <f t="shared" ca="1" si="21"/>
        <v>105000</v>
      </c>
      <c r="W120" s="62">
        <f t="shared" ca="1" si="22"/>
        <v>82500</v>
      </c>
      <c r="X120" s="14"/>
      <c r="AB120" s="21"/>
      <c r="AC120" s="17"/>
      <c r="AD120" s="17"/>
      <c r="AE120" s="17"/>
      <c r="AF120" s="17"/>
      <c r="AG120" s="17"/>
      <c r="AH120" s="26"/>
      <c r="AI120" s="17"/>
      <c r="AJ120" s="17"/>
      <c r="AK120" s="17"/>
      <c r="AL120" s="17"/>
    </row>
    <row r="121" spans="11:38" x14ac:dyDescent="0.3">
      <c r="K121" s="40">
        <v>117</v>
      </c>
      <c r="L121" s="39">
        <f t="shared" ca="1" si="12"/>
        <v>0.27174309078079584</v>
      </c>
      <c r="M121" s="39">
        <f t="shared" ca="1" si="13"/>
        <v>140</v>
      </c>
      <c r="N121" s="39">
        <f t="shared" ca="1" si="14"/>
        <v>7.1820688000431288E-2</v>
      </c>
      <c r="O121" s="39">
        <f t="shared" ca="1" si="14"/>
        <v>0.90657569211628108</v>
      </c>
      <c r="P121" s="67">
        <f t="shared" ca="1" si="15"/>
        <v>0.29783963801167124</v>
      </c>
      <c r="Q121" s="56">
        <f t="shared" ca="1" si="16"/>
        <v>181.69754932163397</v>
      </c>
      <c r="R121" s="56">
        <f t="shared" ca="1" si="17"/>
        <v>182</v>
      </c>
      <c r="S121" s="56">
        <f t="shared" ca="1" si="18"/>
        <v>125</v>
      </c>
      <c r="T121" s="39">
        <f t="shared" ca="1" si="19"/>
        <v>687500</v>
      </c>
      <c r="U121" s="61">
        <f t="shared" ca="1" si="20"/>
        <v>0</v>
      </c>
      <c r="V121" s="61">
        <f t="shared" ca="1" si="21"/>
        <v>85500</v>
      </c>
      <c r="W121" s="62">
        <f t="shared" ca="1" si="22"/>
        <v>102000</v>
      </c>
      <c r="X121" s="14"/>
    </row>
    <row r="122" spans="11:38" x14ac:dyDescent="0.3">
      <c r="K122" s="40">
        <v>118</v>
      </c>
      <c r="L122" s="39">
        <f t="shared" ca="1" si="12"/>
        <v>0.66606681257187694</v>
      </c>
      <c r="M122" s="39">
        <f t="shared" ca="1" si="13"/>
        <v>200</v>
      </c>
      <c r="N122" s="39">
        <f t="shared" ca="1" si="14"/>
        <v>0.12914353923731015</v>
      </c>
      <c r="O122" s="39">
        <f t="shared" ca="1" si="14"/>
        <v>0.17005000762642242</v>
      </c>
      <c r="P122" s="67">
        <f t="shared" ca="1" si="15"/>
        <v>0.22991935468637326</v>
      </c>
      <c r="Q122" s="56">
        <f t="shared" ca="1" si="16"/>
        <v>245.98387093727465</v>
      </c>
      <c r="R122" s="56">
        <f t="shared" ca="1" si="17"/>
        <v>246</v>
      </c>
      <c r="S122" s="56">
        <f t="shared" ca="1" si="18"/>
        <v>125</v>
      </c>
      <c r="T122" s="39">
        <f t="shared" ca="1" si="19"/>
        <v>687500</v>
      </c>
      <c r="U122" s="61">
        <f t="shared" ca="1" si="20"/>
        <v>0</v>
      </c>
      <c r="V122" s="61">
        <f t="shared" ca="1" si="21"/>
        <v>181500</v>
      </c>
      <c r="W122" s="62">
        <f t="shared" ca="1" si="22"/>
        <v>6000</v>
      </c>
      <c r="X122" s="14"/>
      <c r="AB122" s="22"/>
    </row>
    <row r="123" spans="11:38" x14ac:dyDescent="0.3">
      <c r="K123" s="40">
        <v>119</v>
      </c>
      <c r="L123" s="39">
        <f t="shared" ca="1" si="12"/>
        <v>0.57203800841890551</v>
      </c>
      <c r="M123" s="39">
        <f t="shared" ca="1" si="13"/>
        <v>180</v>
      </c>
      <c r="N123" s="39">
        <f t="shared" ca="1" si="14"/>
        <v>0.1790361984804435</v>
      </c>
      <c r="O123" s="39">
        <f t="shared" ca="1" si="14"/>
        <v>0.16522359890470195</v>
      </c>
      <c r="P123" s="67">
        <f t="shared" ca="1" si="15"/>
        <v>0.23442597973851456</v>
      </c>
      <c r="Q123" s="56">
        <f t="shared" ca="1" si="16"/>
        <v>222.19667635293263</v>
      </c>
      <c r="R123" s="56">
        <f t="shared" ca="1" si="17"/>
        <v>223</v>
      </c>
      <c r="S123" s="56">
        <f t="shared" ca="1" si="18"/>
        <v>125</v>
      </c>
      <c r="T123" s="39">
        <f t="shared" ca="1" si="19"/>
        <v>687500</v>
      </c>
      <c r="U123" s="61">
        <f t="shared" ca="1" si="20"/>
        <v>0</v>
      </c>
      <c r="V123" s="61">
        <f t="shared" ca="1" si="21"/>
        <v>147000</v>
      </c>
      <c r="W123" s="62">
        <f t="shared" ca="1" si="22"/>
        <v>40500</v>
      </c>
      <c r="X123" s="14"/>
      <c r="AB123"/>
      <c r="AC123"/>
      <c r="AD123"/>
      <c r="AE123"/>
      <c r="AF123"/>
      <c r="AG123"/>
      <c r="AH123"/>
      <c r="AI123"/>
    </row>
    <row r="124" spans="11:38" x14ac:dyDescent="0.3">
      <c r="K124" s="40">
        <v>120</v>
      </c>
      <c r="L124" s="39">
        <f t="shared" ca="1" si="12"/>
        <v>5.5978260081924081E-2</v>
      </c>
      <c r="M124" s="39">
        <f t="shared" ca="1" si="13"/>
        <v>140</v>
      </c>
      <c r="N124" s="39">
        <f t="shared" ca="1" si="14"/>
        <v>0.2423311844455126</v>
      </c>
      <c r="O124" s="39">
        <f t="shared" ca="1" si="14"/>
        <v>0.34021165047202817</v>
      </c>
      <c r="P124" s="67">
        <f t="shared" ca="1" si="15"/>
        <v>0.25825428349175411</v>
      </c>
      <c r="Q124" s="56">
        <f t="shared" ca="1" si="16"/>
        <v>176.15559968884557</v>
      </c>
      <c r="R124" s="56">
        <f t="shared" ca="1" si="17"/>
        <v>177</v>
      </c>
      <c r="S124" s="56">
        <f t="shared" ca="1" si="18"/>
        <v>125</v>
      </c>
      <c r="T124" s="39">
        <f t="shared" ca="1" si="19"/>
        <v>687500</v>
      </c>
      <c r="U124" s="61">
        <f t="shared" ca="1" si="20"/>
        <v>0</v>
      </c>
      <c r="V124" s="61">
        <f t="shared" ca="1" si="21"/>
        <v>78000</v>
      </c>
      <c r="W124" s="62">
        <f t="shared" ca="1" si="22"/>
        <v>109500</v>
      </c>
      <c r="X124" s="14"/>
      <c r="AB124"/>
      <c r="AC124"/>
      <c r="AD124"/>
      <c r="AE124"/>
      <c r="AF124"/>
      <c r="AG124"/>
      <c r="AH124"/>
      <c r="AI124"/>
    </row>
    <row r="125" spans="11:38" x14ac:dyDescent="0.3">
      <c r="K125" s="40">
        <v>121</v>
      </c>
      <c r="L125" s="39">
        <f t="shared" ca="1" si="12"/>
        <v>0.15340133441976667</v>
      </c>
      <c r="M125" s="39">
        <f t="shared" ca="1" si="13"/>
        <v>140</v>
      </c>
      <c r="N125" s="39">
        <f t="shared" ca="1" si="14"/>
        <v>0.65248512847457074</v>
      </c>
      <c r="O125" s="39">
        <f t="shared" ca="1" si="14"/>
        <v>0.89009010094006558</v>
      </c>
      <c r="P125" s="67">
        <f t="shared" ca="1" si="15"/>
        <v>0.35425752294146368</v>
      </c>
      <c r="Q125" s="56">
        <f t="shared" ca="1" si="16"/>
        <v>189.59605321180493</v>
      </c>
      <c r="R125" s="56">
        <f t="shared" ca="1" si="17"/>
        <v>190</v>
      </c>
      <c r="S125" s="56">
        <f t="shared" ca="1" si="18"/>
        <v>125</v>
      </c>
      <c r="T125" s="39">
        <f t="shared" ca="1" si="19"/>
        <v>687500</v>
      </c>
      <c r="U125" s="61">
        <f t="shared" ca="1" si="20"/>
        <v>0</v>
      </c>
      <c r="V125" s="61">
        <f t="shared" ca="1" si="21"/>
        <v>97500</v>
      </c>
      <c r="W125" s="62">
        <f t="shared" ca="1" si="22"/>
        <v>90000</v>
      </c>
      <c r="X125" s="14"/>
      <c r="AB125"/>
      <c r="AC125"/>
      <c r="AD125"/>
      <c r="AE125"/>
      <c r="AF125"/>
      <c r="AG125"/>
      <c r="AH125"/>
      <c r="AI125"/>
    </row>
    <row r="126" spans="11:38" x14ac:dyDescent="0.3">
      <c r="K126" s="40">
        <v>122</v>
      </c>
      <c r="L126" s="39">
        <f t="shared" ca="1" si="12"/>
        <v>0.63554406393691754</v>
      </c>
      <c r="M126" s="39">
        <f t="shared" ca="1" si="13"/>
        <v>180</v>
      </c>
      <c r="N126" s="39">
        <f t="shared" ca="1" si="14"/>
        <v>0.57097051104355911</v>
      </c>
      <c r="O126" s="39">
        <f t="shared" ca="1" si="14"/>
        <v>0.97321637885174905</v>
      </c>
      <c r="P126" s="67">
        <f t="shared" ca="1" si="15"/>
        <v>0.35441868898953083</v>
      </c>
      <c r="Q126" s="56">
        <f t="shared" ca="1" si="16"/>
        <v>243.79536401811555</v>
      </c>
      <c r="R126" s="56">
        <f t="shared" ca="1" si="17"/>
        <v>244</v>
      </c>
      <c r="S126" s="56">
        <f t="shared" ca="1" si="18"/>
        <v>125</v>
      </c>
      <c r="T126" s="39">
        <f t="shared" ca="1" si="19"/>
        <v>687500</v>
      </c>
      <c r="U126" s="61">
        <f t="shared" ca="1" si="20"/>
        <v>0</v>
      </c>
      <c r="V126" s="61">
        <f t="shared" ca="1" si="21"/>
        <v>178500</v>
      </c>
      <c r="W126" s="62">
        <f t="shared" ca="1" si="22"/>
        <v>9000</v>
      </c>
      <c r="X126" s="14"/>
      <c r="AB126"/>
      <c r="AC126"/>
      <c r="AD126"/>
      <c r="AE126"/>
      <c r="AF126"/>
      <c r="AG126"/>
      <c r="AH126"/>
      <c r="AI126"/>
    </row>
    <row r="127" spans="11:38" x14ac:dyDescent="0.3">
      <c r="K127" s="40">
        <v>123</v>
      </c>
      <c r="L127" s="39">
        <f t="shared" ca="1" si="12"/>
        <v>0.65423217210622342</v>
      </c>
      <c r="M127" s="39">
        <f t="shared" ca="1" si="13"/>
        <v>200</v>
      </c>
      <c r="N127" s="39">
        <f t="shared" ca="1" si="14"/>
        <v>2.1100931455073635E-3</v>
      </c>
      <c r="O127" s="39">
        <f t="shared" ca="1" si="14"/>
        <v>0.60845552076053111</v>
      </c>
      <c r="P127" s="67">
        <f t="shared" ca="1" si="15"/>
        <v>0.26105656139060385</v>
      </c>
      <c r="Q127" s="56">
        <f t="shared" ca="1" si="16"/>
        <v>252.21131227812077</v>
      </c>
      <c r="R127" s="56">
        <f t="shared" ca="1" si="17"/>
        <v>253</v>
      </c>
      <c r="S127" s="56">
        <f t="shared" ca="1" si="18"/>
        <v>125</v>
      </c>
      <c r="T127" s="39">
        <f t="shared" ca="1" si="19"/>
        <v>687500</v>
      </c>
      <c r="U127" s="61">
        <f t="shared" ca="1" si="20"/>
        <v>0</v>
      </c>
      <c r="V127" s="61">
        <f t="shared" ca="1" si="21"/>
        <v>192000</v>
      </c>
      <c r="W127" s="62">
        <f t="shared" ca="1" si="22"/>
        <v>-4500</v>
      </c>
      <c r="X127" s="14"/>
      <c r="AB127"/>
      <c r="AC127"/>
      <c r="AD127"/>
      <c r="AE127"/>
      <c r="AF127"/>
      <c r="AG127"/>
      <c r="AH127"/>
      <c r="AI127"/>
    </row>
    <row r="128" spans="11:38" x14ac:dyDescent="0.3">
      <c r="K128" s="40">
        <v>124</v>
      </c>
      <c r="L128" s="39">
        <f t="shared" ca="1" si="12"/>
        <v>7.4641822785664891E-3</v>
      </c>
      <c r="M128" s="39">
        <f t="shared" ca="1" si="13"/>
        <v>140</v>
      </c>
      <c r="N128" s="39">
        <f t="shared" ca="1" si="14"/>
        <v>0.9937264586562784</v>
      </c>
      <c r="O128" s="39">
        <f t="shared" ca="1" si="14"/>
        <v>0.45569143816576019</v>
      </c>
      <c r="P128" s="67">
        <f t="shared" ca="1" si="15"/>
        <v>0.3449417896822039</v>
      </c>
      <c r="Q128" s="56">
        <f t="shared" ca="1" si="16"/>
        <v>188.29185055550855</v>
      </c>
      <c r="R128" s="56">
        <f t="shared" ca="1" si="17"/>
        <v>189</v>
      </c>
      <c r="S128" s="56">
        <f t="shared" ca="1" si="18"/>
        <v>125</v>
      </c>
      <c r="T128" s="39">
        <f t="shared" ca="1" si="19"/>
        <v>687500</v>
      </c>
      <c r="U128" s="61">
        <f t="shared" ca="1" si="20"/>
        <v>0</v>
      </c>
      <c r="V128" s="61">
        <f t="shared" ca="1" si="21"/>
        <v>96000</v>
      </c>
      <c r="W128" s="62">
        <f t="shared" ca="1" si="22"/>
        <v>91500</v>
      </c>
      <c r="X128" s="14"/>
      <c r="AB128"/>
      <c r="AC128"/>
      <c r="AD128"/>
      <c r="AE128"/>
      <c r="AF128"/>
      <c r="AG128"/>
      <c r="AH128"/>
      <c r="AI128"/>
    </row>
    <row r="129" spans="11:35" x14ac:dyDescent="0.3">
      <c r="K129" s="40">
        <v>125</v>
      </c>
      <c r="L129" s="39">
        <f t="shared" ca="1" si="12"/>
        <v>0.57894708574657949</v>
      </c>
      <c r="M129" s="39">
        <f t="shared" ca="1" si="13"/>
        <v>180</v>
      </c>
      <c r="N129" s="39">
        <f t="shared" ca="1" si="14"/>
        <v>0.5036978956619057</v>
      </c>
      <c r="O129" s="39">
        <f t="shared" ca="1" si="14"/>
        <v>8.0612600914137356E-2</v>
      </c>
      <c r="P129" s="67">
        <f t="shared" ca="1" si="15"/>
        <v>0.25843104965760433</v>
      </c>
      <c r="Q129" s="56">
        <f t="shared" ca="1" si="16"/>
        <v>226.51758893836879</v>
      </c>
      <c r="R129" s="56">
        <f t="shared" ca="1" si="17"/>
        <v>227</v>
      </c>
      <c r="S129" s="56">
        <f t="shared" ca="1" si="18"/>
        <v>125</v>
      </c>
      <c r="T129" s="39">
        <f t="shared" ca="1" si="19"/>
        <v>687500</v>
      </c>
      <c r="U129" s="61">
        <f t="shared" ca="1" si="20"/>
        <v>0</v>
      </c>
      <c r="V129" s="61">
        <f t="shared" ca="1" si="21"/>
        <v>153000</v>
      </c>
      <c r="W129" s="62">
        <f t="shared" ca="1" si="22"/>
        <v>34500</v>
      </c>
      <c r="X129" s="14"/>
      <c r="AB129"/>
      <c r="AC129"/>
      <c r="AD129"/>
      <c r="AE129"/>
      <c r="AF129"/>
      <c r="AG129"/>
      <c r="AH129"/>
      <c r="AI129"/>
    </row>
    <row r="130" spans="11:35" x14ac:dyDescent="0.3">
      <c r="K130" s="40">
        <v>126</v>
      </c>
      <c r="L130" s="39">
        <f t="shared" ca="1" si="12"/>
        <v>2.9643306308777206E-2</v>
      </c>
      <c r="M130" s="39">
        <f t="shared" ca="1" si="13"/>
        <v>140</v>
      </c>
      <c r="N130" s="39">
        <f t="shared" ca="1" si="14"/>
        <v>6.5695084625130407E-2</v>
      </c>
      <c r="O130" s="39">
        <f t="shared" ca="1" si="14"/>
        <v>0.7239471000874238</v>
      </c>
      <c r="P130" s="67">
        <f t="shared" ca="1" si="15"/>
        <v>0.27896421847125541</v>
      </c>
      <c r="Q130" s="56">
        <f t="shared" ca="1" si="16"/>
        <v>179.05499058597576</v>
      </c>
      <c r="R130" s="56">
        <f t="shared" ca="1" si="17"/>
        <v>180</v>
      </c>
      <c r="S130" s="56">
        <f t="shared" ca="1" si="18"/>
        <v>125</v>
      </c>
      <c r="T130" s="39">
        <f t="shared" ca="1" si="19"/>
        <v>687500</v>
      </c>
      <c r="U130" s="61">
        <f t="shared" ca="1" si="20"/>
        <v>0</v>
      </c>
      <c r="V130" s="61">
        <f t="shared" ca="1" si="21"/>
        <v>82500</v>
      </c>
      <c r="W130" s="62">
        <f t="shared" ca="1" si="22"/>
        <v>105000</v>
      </c>
      <c r="X130" s="14"/>
    </row>
    <row r="131" spans="11:35" x14ac:dyDescent="0.3">
      <c r="K131" s="40">
        <v>127</v>
      </c>
      <c r="L131" s="39">
        <f t="shared" ca="1" si="12"/>
        <v>0.21835777681468005</v>
      </c>
      <c r="M131" s="39">
        <f t="shared" ca="1" si="13"/>
        <v>140</v>
      </c>
      <c r="N131" s="39">
        <f t="shared" ca="1" si="14"/>
        <v>0.26333120297436086</v>
      </c>
      <c r="O131" s="39">
        <f t="shared" ca="1" si="14"/>
        <v>0.49794742148880866</v>
      </c>
      <c r="P131" s="67">
        <f t="shared" ca="1" si="15"/>
        <v>0.27612786244631699</v>
      </c>
      <c r="Q131" s="56">
        <f t="shared" ca="1" si="16"/>
        <v>178.65790074248437</v>
      </c>
      <c r="R131" s="56">
        <f t="shared" ca="1" si="17"/>
        <v>179</v>
      </c>
      <c r="S131" s="56">
        <f t="shared" ca="1" si="18"/>
        <v>125</v>
      </c>
      <c r="T131" s="39">
        <f t="shared" ca="1" si="19"/>
        <v>687500</v>
      </c>
      <c r="U131" s="61">
        <f t="shared" ca="1" si="20"/>
        <v>0</v>
      </c>
      <c r="V131" s="61">
        <f t="shared" ca="1" si="21"/>
        <v>81000</v>
      </c>
      <c r="W131" s="62">
        <f t="shared" ca="1" si="22"/>
        <v>106500</v>
      </c>
      <c r="X131" s="14"/>
    </row>
    <row r="132" spans="11:35" x14ac:dyDescent="0.3">
      <c r="K132" s="40">
        <v>128</v>
      </c>
      <c r="L132" s="39">
        <f t="shared" ca="1" si="12"/>
        <v>0.26700154499410234</v>
      </c>
      <c r="M132" s="39">
        <f t="shared" ca="1" si="13"/>
        <v>140</v>
      </c>
      <c r="N132" s="39">
        <f t="shared" ca="1" si="14"/>
        <v>0.93724015322611387</v>
      </c>
      <c r="O132" s="39">
        <f t="shared" ca="1" si="14"/>
        <v>0.94207387585489022</v>
      </c>
      <c r="P132" s="67">
        <f t="shared" ca="1" si="15"/>
        <v>0.38793140290810046</v>
      </c>
      <c r="Q132" s="56">
        <f t="shared" ca="1" si="16"/>
        <v>194.31039640713408</v>
      </c>
      <c r="R132" s="56">
        <f t="shared" ca="1" si="17"/>
        <v>195</v>
      </c>
      <c r="S132" s="56">
        <f t="shared" ca="1" si="18"/>
        <v>125</v>
      </c>
      <c r="T132" s="39">
        <f t="shared" ca="1" si="19"/>
        <v>687500</v>
      </c>
      <c r="U132" s="61">
        <f t="shared" ca="1" si="20"/>
        <v>0</v>
      </c>
      <c r="V132" s="61">
        <f t="shared" ca="1" si="21"/>
        <v>105000</v>
      </c>
      <c r="W132" s="62">
        <f t="shared" ca="1" si="22"/>
        <v>82500</v>
      </c>
      <c r="X132" s="14"/>
    </row>
    <row r="133" spans="11:35" x14ac:dyDescent="0.3">
      <c r="K133" s="40">
        <v>129</v>
      </c>
      <c r="L133" s="39">
        <f t="shared" ca="1" si="12"/>
        <v>0.97385034148601857</v>
      </c>
      <c r="M133" s="39">
        <f t="shared" ca="1" si="13"/>
        <v>220</v>
      </c>
      <c r="N133" s="39">
        <f t="shared" ca="1" si="14"/>
        <v>0.71729127552627159</v>
      </c>
      <c r="O133" s="39">
        <f t="shared" ca="1" si="14"/>
        <v>0.33069627742447161</v>
      </c>
      <c r="P133" s="67">
        <f t="shared" ca="1" si="15"/>
        <v>0.30479875529507433</v>
      </c>
      <c r="Q133" s="56">
        <f t="shared" ca="1" si="16"/>
        <v>287.05572616491634</v>
      </c>
      <c r="R133" s="56">
        <f t="shared" ca="1" si="17"/>
        <v>288</v>
      </c>
      <c r="S133" s="56">
        <f t="shared" ca="1" si="18"/>
        <v>125</v>
      </c>
      <c r="T133" s="39">
        <f t="shared" ca="1" si="19"/>
        <v>687500</v>
      </c>
      <c r="U133" s="61">
        <f t="shared" ca="1" si="20"/>
        <v>0</v>
      </c>
      <c r="V133" s="61">
        <f t="shared" ca="1" si="21"/>
        <v>244500</v>
      </c>
      <c r="W133" s="62">
        <f t="shared" ca="1" si="22"/>
        <v>-57000</v>
      </c>
      <c r="X133" s="14"/>
    </row>
    <row r="134" spans="11:35" x14ac:dyDescent="0.3">
      <c r="K134" s="40">
        <v>130</v>
      </c>
      <c r="L134" s="39">
        <f t="shared" ref="L134:L197" ca="1" si="29">RAND()</f>
        <v>0.76470604697075217</v>
      </c>
      <c r="M134" s="39">
        <f t="shared" ref="M134:M197" ca="1" si="30">VLOOKUP(L134,$C$5:$E$9,3,TRUE)</f>
        <v>200</v>
      </c>
      <c r="N134" s="39">
        <f t="shared" ref="N134:O197" ca="1" si="31">RAND()</f>
        <v>0.78835298143695054</v>
      </c>
      <c r="O134" s="39">
        <f t="shared" ca="1" si="31"/>
        <v>0.61198640933537518</v>
      </c>
      <c r="P134" s="67">
        <f t="shared" ref="P134:P197" ca="1" si="32">$E$11+($E$12-$E$11)/2*(N134+O134)</f>
        <v>0.34003393907723256</v>
      </c>
      <c r="Q134" s="56">
        <f t="shared" ref="Q134:Q197" ca="1" si="33">M134+(M134*P134)</f>
        <v>268.0067878154465</v>
      </c>
      <c r="R134" s="56">
        <f t="shared" ref="R134:R197" ca="1" si="34">ROUNDUP(Q134,0)</f>
        <v>269</v>
      </c>
      <c r="S134" s="56">
        <f t="shared" ref="S134:S197" ca="1" si="35">MIN(R134,$M$1)</f>
        <v>125</v>
      </c>
      <c r="T134" s="39">
        <f t="shared" ref="T134:T197" ca="1" si="36">S134*$B$14</f>
        <v>687500</v>
      </c>
      <c r="U134" s="61">
        <f t="shared" ref="U134:U197" ca="1" si="37">($M$1-S134)*$B$15</f>
        <v>0</v>
      </c>
      <c r="V134" s="61">
        <f t="shared" ref="V134:V197" ca="1" si="38">IF(R134&gt;$M$1,(R134-$M$1)*1500,0)</f>
        <v>216000</v>
      </c>
      <c r="W134" s="62">
        <f t="shared" ref="W134:W197" ca="1" si="39">U134+T134-$M$2-V134</f>
        <v>-28500</v>
      </c>
      <c r="X134" s="14"/>
    </row>
    <row r="135" spans="11:35" x14ac:dyDescent="0.3">
      <c r="K135" s="40">
        <v>131</v>
      </c>
      <c r="L135" s="39">
        <f t="shared" ca="1" si="29"/>
        <v>0.67515723158547369</v>
      </c>
      <c r="M135" s="39">
        <f t="shared" ca="1" si="30"/>
        <v>200</v>
      </c>
      <c r="N135" s="39">
        <f t="shared" ca="1" si="31"/>
        <v>0.51176673482779234</v>
      </c>
      <c r="O135" s="39">
        <f t="shared" ca="1" si="31"/>
        <v>0.90613865004710825</v>
      </c>
      <c r="P135" s="67">
        <f t="shared" ca="1" si="32"/>
        <v>0.34179053848749008</v>
      </c>
      <c r="Q135" s="56">
        <f t="shared" ca="1" si="33"/>
        <v>268.35810769749799</v>
      </c>
      <c r="R135" s="56">
        <f t="shared" ca="1" si="34"/>
        <v>269</v>
      </c>
      <c r="S135" s="56">
        <f t="shared" ca="1" si="35"/>
        <v>125</v>
      </c>
      <c r="T135" s="39">
        <f t="shared" ca="1" si="36"/>
        <v>687500</v>
      </c>
      <c r="U135" s="61">
        <f t="shared" ca="1" si="37"/>
        <v>0</v>
      </c>
      <c r="V135" s="61">
        <f t="shared" ca="1" si="38"/>
        <v>216000</v>
      </c>
      <c r="W135" s="62">
        <f t="shared" ca="1" si="39"/>
        <v>-28500</v>
      </c>
      <c r="X135" s="14"/>
    </row>
    <row r="136" spans="11:35" x14ac:dyDescent="0.3">
      <c r="K136" s="40">
        <v>132</v>
      </c>
      <c r="L136" s="39">
        <f t="shared" ca="1" si="29"/>
        <v>8.5949168134045184E-3</v>
      </c>
      <c r="M136" s="39">
        <f t="shared" ca="1" si="30"/>
        <v>140</v>
      </c>
      <c r="N136" s="39">
        <f t="shared" ca="1" si="31"/>
        <v>0.76848171906181051</v>
      </c>
      <c r="O136" s="39">
        <f t="shared" ca="1" si="31"/>
        <v>0.29250424613871839</v>
      </c>
      <c r="P136" s="67">
        <f t="shared" ca="1" si="32"/>
        <v>0.30609859652005289</v>
      </c>
      <c r="Q136" s="56">
        <f t="shared" ca="1" si="33"/>
        <v>182.85380351280742</v>
      </c>
      <c r="R136" s="56">
        <f t="shared" ca="1" si="34"/>
        <v>183</v>
      </c>
      <c r="S136" s="56">
        <f t="shared" ca="1" si="35"/>
        <v>125</v>
      </c>
      <c r="T136" s="39">
        <f t="shared" ca="1" si="36"/>
        <v>687500</v>
      </c>
      <c r="U136" s="61">
        <f t="shared" ca="1" si="37"/>
        <v>0</v>
      </c>
      <c r="V136" s="61">
        <f t="shared" ca="1" si="38"/>
        <v>87000</v>
      </c>
      <c r="W136" s="62">
        <f t="shared" ca="1" si="39"/>
        <v>100500</v>
      </c>
      <c r="X136" s="14"/>
    </row>
    <row r="137" spans="11:35" x14ac:dyDescent="0.3">
      <c r="K137" s="40">
        <v>133</v>
      </c>
      <c r="L137" s="39">
        <f t="shared" ca="1" si="29"/>
        <v>0.27194674027139421</v>
      </c>
      <c r="M137" s="39">
        <f t="shared" ca="1" si="30"/>
        <v>140</v>
      </c>
      <c r="N137" s="39">
        <f t="shared" ca="1" si="31"/>
        <v>0.25263146626878918</v>
      </c>
      <c r="O137" s="39">
        <f t="shared" ca="1" si="31"/>
        <v>0.95058066156247689</v>
      </c>
      <c r="P137" s="67">
        <f t="shared" ca="1" si="32"/>
        <v>0.32032121278312664</v>
      </c>
      <c r="Q137" s="56">
        <f t="shared" ca="1" si="33"/>
        <v>184.84496978963773</v>
      </c>
      <c r="R137" s="56">
        <f t="shared" ca="1" si="34"/>
        <v>185</v>
      </c>
      <c r="S137" s="56">
        <f t="shared" ca="1" si="35"/>
        <v>125</v>
      </c>
      <c r="T137" s="39">
        <f t="shared" ca="1" si="36"/>
        <v>687500</v>
      </c>
      <c r="U137" s="61">
        <f t="shared" ca="1" si="37"/>
        <v>0</v>
      </c>
      <c r="V137" s="61">
        <f t="shared" ca="1" si="38"/>
        <v>90000</v>
      </c>
      <c r="W137" s="62">
        <f t="shared" ca="1" si="39"/>
        <v>97500</v>
      </c>
      <c r="X137" s="14"/>
    </row>
    <row r="138" spans="11:35" x14ac:dyDescent="0.3">
      <c r="K138" s="40">
        <v>134</v>
      </c>
      <c r="L138" s="39">
        <f t="shared" ca="1" si="29"/>
        <v>0.50075679286625818</v>
      </c>
      <c r="M138" s="39">
        <f t="shared" ca="1" si="30"/>
        <v>180</v>
      </c>
      <c r="N138" s="39">
        <f t="shared" ca="1" si="31"/>
        <v>0.38087473232097546</v>
      </c>
      <c r="O138" s="39">
        <f t="shared" ca="1" si="31"/>
        <v>0.87513908605373703</v>
      </c>
      <c r="P138" s="67">
        <f t="shared" ca="1" si="32"/>
        <v>0.32560138183747123</v>
      </c>
      <c r="Q138" s="56">
        <f t="shared" ca="1" si="33"/>
        <v>238.60824873074483</v>
      </c>
      <c r="R138" s="56">
        <f t="shared" ca="1" si="34"/>
        <v>239</v>
      </c>
      <c r="S138" s="56">
        <f t="shared" ca="1" si="35"/>
        <v>125</v>
      </c>
      <c r="T138" s="39">
        <f t="shared" ca="1" si="36"/>
        <v>687500</v>
      </c>
      <c r="U138" s="61">
        <f t="shared" ca="1" si="37"/>
        <v>0</v>
      </c>
      <c r="V138" s="61">
        <f t="shared" ca="1" si="38"/>
        <v>171000</v>
      </c>
      <c r="W138" s="62">
        <f t="shared" ca="1" si="39"/>
        <v>16500</v>
      </c>
      <c r="X138" s="14"/>
    </row>
    <row r="139" spans="11:35" x14ac:dyDescent="0.3">
      <c r="K139" s="40">
        <v>135</v>
      </c>
      <c r="L139" s="39">
        <f t="shared" ca="1" si="29"/>
        <v>0.21522219697977663</v>
      </c>
      <c r="M139" s="39">
        <f t="shared" ca="1" si="30"/>
        <v>140</v>
      </c>
      <c r="N139" s="39">
        <f t="shared" ca="1" si="31"/>
        <v>0.42015606090193192</v>
      </c>
      <c r="O139" s="39">
        <f t="shared" ca="1" si="31"/>
        <v>0.61749423009838633</v>
      </c>
      <c r="P139" s="67">
        <f t="shared" ca="1" si="32"/>
        <v>0.30376502910003184</v>
      </c>
      <c r="Q139" s="56">
        <f t="shared" ca="1" si="33"/>
        <v>182.52710407400446</v>
      </c>
      <c r="R139" s="56">
        <f t="shared" ca="1" si="34"/>
        <v>183</v>
      </c>
      <c r="S139" s="56">
        <f t="shared" ca="1" si="35"/>
        <v>125</v>
      </c>
      <c r="T139" s="39">
        <f t="shared" ca="1" si="36"/>
        <v>687500</v>
      </c>
      <c r="U139" s="61">
        <f t="shared" ca="1" si="37"/>
        <v>0</v>
      </c>
      <c r="V139" s="61">
        <f t="shared" ca="1" si="38"/>
        <v>87000</v>
      </c>
      <c r="W139" s="62">
        <f t="shared" ca="1" si="39"/>
        <v>100500</v>
      </c>
      <c r="X139" s="14"/>
    </row>
    <row r="140" spans="11:35" x14ac:dyDescent="0.3">
      <c r="K140" s="40">
        <v>136</v>
      </c>
      <c r="L140" s="39">
        <f t="shared" ca="1" si="29"/>
        <v>0.56707357667948743</v>
      </c>
      <c r="M140" s="39">
        <f t="shared" ca="1" si="30"/>
        <v>180</v>
      </c>
      <c r="N140" s="39">
        <f t="shared" ca="1" si="31"/>
        <v>9.4061034710980262E-2</v>
      </c>
      <c r="O140" s="39">
        <f t="shared" ca="1" si="31"/>
        <v>0.11954644093308164</v>
      </c>
      <c r="P140" s="67">
        <f t="shared" ca="1" si="32"/>
        <v>0.22136074756440621</v>
      </c>
      <c r="Q140" s="56">
        <f t="shared" ca="1" si="33"/>
        <v>219.84493456159311</v>
      </c>
      <c r="R140" s="56">
        <f t="shared" ca="1" si="34"/>
        <v>220</v>
      </c>
      <c r="S140" s="56">
        <f t="shared" ca="1" si="35"/>
        <v>125</v>
      </c>
      <c r="T140" s="39">
        <f t="shared" ca="1" si="36"/>
        <v>687500</v>
      </c>
      <c r="U140" s="61">
        <f t="shared" ca="1" si="37"/>
        <v>0</v>
      </c>
      <c r="V140" s="61">
        <f t="shared" ca="1" si="38"/>
        <v>142500</v>
      </c>
      <c r="W140" s="62">
        <f t="shared" ca="1" si="39"/>
        <v>45000</v>
      </c>
      <c r="X140" s="14"/>
    </row>
    <row r="141" spans="11:35" x14ac:dyDescent="0.3">
      <c r="K141" s="40">
        <v>137</v>
      </c>
      <c r="L141" s="39">
        <f t="shared" ca="1" si="29"/>
        <v>4.2816220073861988E-2</v>
      </c>
      <c r="M141" s="39">
        <f t="shared" ca="1" si="30"/>
        <v>140</v>
      </c>
      <c r="N141" s="39">
        <f t="shared" ca="1" si="31"/>
        <v>2.6661648633409252E-2</v>
      </c>
      <c r="O141" s="39">
        <f t="shared" ca="1" si="31"/>
        <v>0.68052391552681402</v>
      </c>
      <c r="P141" s="67">
        <f t="shared" ca="1" si="32"/>
        <v>0.27071855641602233</v>
      </c>
      <c r="Q141" s="56">
        <f t="shared" ca="1" si="33"/>
        <v>177.90059789824312</v>
      </c>
      <c r="R141" s="56">
        <f t="shared" ca="1" si="34"/>
        <v>178</v>
      </c>
      <c r="S141" s="56">
        <f t="shared" ca="1" si="35"/>
        <v>125</v>
      </c>
      <c r="T141" s="39">
        <f t="shared" ca="1" si="36"/>
        <v>687500</v>
      </c>
      <c r="U141" s="61">
        <f t="shared" ca="1" si="37"/>
        <v>0</v>
      </c>
      <c r="V141" s="61">
        <f t="shared" ca="1" si="38"/>
        <v>79500</v>
      </c>
      <c r="W141" s="62">
        <f t="shared" ca="1" si="39"/>
        <v>108000</v>
      </c>
      <c r="X141" s="14"/>
    </row>
    <row r="142" spans="11:35" x14ac:dyDescent="0.3">
      <c r="K142" s="40">
        <v>138</v>
      </c>
      <c r="L142" s="39">
        <f t="shared" ca="1" si="29"/>
        <v>0.26180408758263773</v>
      </c>
      <c r="M142" s="39">
        <f t="shared" ca="1" si="30"/>
        <v>140</v>
      </c>
      <c r="N142" s="39">
        <f t="shared" ca="1" si="31"/>
        <v>2.6768268102377313E-3</v>
      </c>
      <c r="O142" s="39">
        <f t="shared" ca="1" si="31"/>
        <v>0.51941825735363867</v>
      </c>
      <c r="P142" s="67">
        <f t="shared" ca="1" si="32"/>
        <v>0.25220950841638767</v>
      </c>
      <c r="Q142" s="56">
        <f t="shared" ca="1" si="33"/>
        <v>175.30933117829426</v>
      </c>
      <c r="R142" s="56">
        <f t="shared" ca="1" si="34"/>
        <v>176</v>
      </c>
      <c r="S142" s="56">
        <f t="shared" ca="1" si="35"/>
        <v>125</v>
      </c>
      <c r="T142" s="39">
        <f t="shared" ca="1" si="36"/>
        <v>687500</v>
      </c>
      <c r="U142" s="61">
        <f t="shared" ca="1" si="37"/>
        <v>0</v>
      </c>
      <c r="V142" s="61">
        <f t="shared" ca="1" si="38"/>
        <v>76500</v>
      </c>
      <c r="W142" s="62">
        <f t="shared" ca="1" si="39"/>
        <v>111000</v>
      </c>
      <c r="X142" s="14"/>
    </row>
    <row r="143" spans="11:35" x14ac:dyDescent="0.3">
      <c r="K143" s="40">
        <v>139</v>
      </c>
      <c r="L143" s="39">
        <f t="shared" ca="1" si="29"/>
        <v>0.42933695921385229</v>
      </c>
      <c r="M143" s="39">
        <f t="shared" ca="1" si="30"/>
        <v>160</v>
      </c>
      <c r="N143" s="39">
        <f t="shared" ca="1" si="31"/>
        <v>0.33733388144727883</v>
      </c>
      <c r="O143" s="39">
        <f t="shared" ca="1" si="31"/>
        <v>0.76651774462192424</v>
      </c>
      <c r="P143" s="67">
        <f t="shared" ca="1" si="32"/>
        <v>0.31038516260692034</v>
      </c>
      <c r="Q143" s="56">
        <f t="shared" ca="1" si="33"/>
        <v>209.66162601710727</v>
      </c>
      <c r="R143" s="56">
        <f t="shared" ca="1" si="34"/>
        <v>210</v>
      </c>
      <c r="S143" s="56">
        <f t="shared" ca="1" si="35"/>
        <v>125</v>
      </c>
      <c r="T143" s="39">
        <f t="shared" ca="1" si="36"/>
        <v>687500</v>
      </c>
      <c r="U143" s="61">
        <f t="shared" ca="1" si="37"/>
        <v>0</v>
      </c>
      <c r="V143" s="61">
        <f t="shared" ca="1" si="38"/>
        <v>127500</v>
      </c>
      <c r="W143" s="62">
        <f t="shared" ca="1" si="39"/>
        <v>60000</v>
      </c>
      <c r="X143" s="14"/>
    </row>
    <row r="144" spans="11:35" x14ac:dyDescent="0.3">
      <c r="K144" s="40">
        <v>140</v>
      </c>
      <c r="L144" s="39">
        <f t="shared" ca="1" si="29"/>
        <v>0.68593372341583669</v>
      </c>
      <c r="M144" s="39">
        <f t="shared" ca="1" si="30"/>
        <v>200</v>
      </c>
      <c r="N144" s="39">
        <f t="shared" ca="1" si="31"/>
        <v>0.67227163519788058</v>
      </c>
      <c r="O144" s="39">
        <f t="shared" ca="1" si="31"/>
        <v>0.98167433447048846</v>
      </c>
      <c r="P144" s="67">
        <f t="shared" ca="1" si="32"/>
        <v>0.3653945969668369</v>
      </c>
      <c r="Q144" s="56">
        <f t="shared" ca="1" si="33"/>
        <v>273.07891939336741</v>
      </c>
      <c r="R144" s="56">
        <f t="shared" ca="1" si="34"/>
        <v>274</v>
      </c>
      <c r="S144" s="56">
        <f t="shared" ca="1" si="35"/>
        <v>125</v>
      </c>
      <c r="T144" s="39">
        <f t="shared" ca="1" si="36"/>
        <v>687500</v>
      </c>
      <c r="U144" s="61">
        <f t="shared" ca="1" si="37"/>
        <v>0</v>
      </c>
      <c r="V144" s="61">
        <f t="shared" ca="1" si="38"/>
        <v>223500</v>
      </c>
      <c r="W144" s="62">
        <f t="shared" ca="1" si="39"/>
        <v>-36000</v>
      </c>
      <c r="X144" s="14"/>
    </row>
    <row r="145" spans="11:24" x14ac:dyDescent="0.3">
      <c r="K145" s="40">
        <v>141</v>
      </c>
      <c r="L145" s="39">
        <f t="shared" ca="1" si="29"/>
        <v>0.92725597772387824</v>
      </c>
      <c r="M145" s="39">
        <f t="shared" ca="1" si="30"/>
        <v>220</v>
      </c>
      <c r="N145" s="39">
        <f t="shared" ca="1" si="31"/>
        <v>0.65306698272799024</v>
      </c>
      <c r="O145" s="39">
        <f t="shared" ca="1" si="31"/>
        <v>0.90882980014961912</v>
      </c>
      <c r="P145" s="67">
        <f t="shared" ca="1" si="32"/>
        <v>0.35618967828776094</v>
      </c>
      <c r="Q145" s="56">
        <f t="shared" ca="1" si="33"/>
        <v>298.36172922330741</v>
      </c>
      <c r="R145" s="56">
        <f t="shared" ca="1" si="34"/>
        <v>299</v>
      </c>
      <c r="S145" s="56">
        <f t="shared" ca="1" si="35"/>
        <v>125</v>
      </c>
      <c r="T145" s="39">
        <f t="shared" ca="1" si="36"/>
        <v>687500</v>
      </c>
      <c r="U145" s="61">
        <f t="shared" ca="1" si="37"/>
        <v>0</v>
      </c>
      <c r="V145" s="61">
        <f t="shared" ca="1" si="38"/>
        <v>261000</v>
      </c>
      <c r="W145" s="62">
        <f t="shared" ca="1" si="39"/>
        <v>-73500</v>
      </c>
      <c r="X145" s="14"/>
    </row>
    <row r="146" spans="11:24" x14ac:dyDescent="0.3">
      <c r="K146" s="40">
        <v>142</v>
      </c>
      <c r="L146" s="39">
        <f t="shared" ca="1" si="29"/>
        <v>0.15908725891154674</v>
      </c>
      <c r="M146" s="39">
        <f t="shared" ca="1" si="30"/>
        <v>140</v>
      </c>
      <c r="N146" s="39">
        <f t="shared" ca="1" si="31"/>
        <v>0.35308837357832767</v>
      </c>
      <c r="O146" s="39">
        <f t="shared" ca="1" si="31"/>
        <v>0.84951882180928562</v>
      </c>
      <c r="P146" s="67">
        <f t="shared" ca="1" si="32"/>
        <v>0.32026071953876134</v>
      </c>
      <c r="Q146" s="56">
        <f t="shared" ca="1" si="33"/>
        <v>184.8365007354266</v>
      </c>
      <c r="R146" s="56">
        <f t="shared" ca="1" si="34"/>
        <v>185</v>
      </c>
      <c r="S146" s="56">
        <f t="shared" ca="1" si="35"/>
        <v>125</v>
      </c>
      <c r="T146" s="39">
        <f t="shared" ca="1" si="36"/>
        <v>687500</v>
      </c>
      <c r="U146" s="61">
        <f t="shared" ca="1" si="37"/>
        <v>0</v>
      </c>
      <c r="V146" s="61">
        <f t="shared" ca="1" si="38"/>
        <v>90000</v>
      </c>
      <c r="W146" s="62">
        <f t="shared" ca="1" si="39"/>
        <v>97500</v>
      </c>
      <c r="X146" s="14"/>
    </row>
    <row r="147" spans="11:24" x14ac:dyDescent="0.3">
      <c r="K147" s="40">
        <v>143</v>
      </c>
      <c r="L147" s="39">
        <f t="shared" ca="1" si="29"/>
        <v>0.96558975073189168</v>
      </c>
      <c r="M147" s="39">
        <f t="shared" ca="1" si="30"/>
        <v>220</v>
      </c>
      <c r="N147" s="39">
        <f t="shared" ca="1" si="31"/>
        <v>0.32627116228646658</v>
      </c>
      <c r="O147" s="39">
        <f t="shared" ca="1" si="31"/>
        <v>0.27093407358176791</v>
      </c>
      <c r="P147" s="67">
        <f t="shared" ca="1" si="32"/>
        <v>0.25972052358682346</v>
      </c>
      <c r="Q147" s="56">
        <f t="shared" ca="1" si="33"/>
        <v>277.13851518910116</v>
      </c>
      <c r="R147" s="56">
        <f t="shared" ca="1" si="34"/>
        <v>278</v>
      </c>
      <c r="S147" s="56">
        <f t="shared" ca="1" si="35"/>
        <v>125</v>
      </c>
      <c r="T147" s="39">
        <f t="shared" ca="1" si="36"/>
        <v>687500</v>
      </c>
      <c r="U147" s="61">
        <f t="shared" ca="1" si="37"/>
        <v>0</v>
      </c>
      <c r="V147" s="61">
        <f t="shared" ca="1" si="38"/>
        <v>229500</v>
      </c>
      <c r="W147" s="62">
        <f t="shared" ca="1" si="39"/>
        <v>-42000</v>
      </c>
      <c r="X147" s="14"/>
    </row>
    <row r="148" spans="11:24" x14ac:dyDescent="0.3">
      <c r="K148" s="40">
        <v>144</v>
      </c>
      <c r="L148" s="39">
        <f t="shared" ca="1" si="29"/>
        <v>0.57442996380220646</v>
      </c>
      <c r="M148" s="39">
        <f t="shared" ca="1" si="30"/>
        <v>180</v>
      </c>
      <c r="N148" s="39">
        <f t="shared" ca="1" si="31"/>
        <v>0.493935428877321</v>
      </c>
      <c r="O148" s="39">
        <f t="shared" ca="1" si="31"/>
        <v>0.95376768668506329</v>
      </c>
      <c r="P148" s="67">
        <f t="shared" ca="1" si="32"/>
        <v>0.34477031155623844</v>
      </c>
      <c r="Q148" s="56">
        <f t="shared" ca="1" si="33"/>
        <v>242.05865608012292</v>
      </c>
      <c r="R148" s="56">
        <f t="shared" ca="1" si="34"/>
        <v>243</v>
      </c>
      <c r="S148" s="56">
        <f t="shared" ca="1" si="35"/>
        <v>125</v>
      </c>
      <c r="T148" s="39">
        <f t="shared" ca="1" si="36"/>
        <v>687500</v>
      </c>
      <c r="U148" s="61">
        <f t="shared" ca="1" si="37"/>
        <v>0</v>
      </c>
      <c r="V148" s="61">
        <f t="shared" ca="1" si="38"/>
        <v>177000</v>
      </c>
      <c r="W148" s="62">
        <f t="shared" ca="1" si="39"/>
        <v>10500</v>
      </c>
      <c r="X148" s="14"/>
    </row>
    <row r="149" spans="11:24" x14ac:dyDescent="0.3">
      <c r="K149" s="40">
        <v>145</v>
      </c>
      <c r="L149" s="39">
        <f t="shared" ca="1" si="29"/>
        <v>0.66724876065516525</v>
      </c>
      <c r="M149" s="39">
        <f t="shared" ca="1" si="30"/>
        <v>200</v>
      </c>
      <c r="N149" s="39">
        <f t="shared" ca="1" si="31"/>
        <v>0.37355507122065423</v>
      </c>
      <c r="O149" s="39">
        <f t="shared" ca="1" si="31"/>
        <v>0.78657641233532982</v>
      </c>
      <c r="P149" s="67">
        <f t="shared" ca="1" si="32"/>
        <v>0.31601314835559841</v>
      </c>
      <c r="Q149" s="56">
        <f t="shared" ca="1" si="33"/>
        <v>263.20262967111967</v>
      </c>
      <c r="R149" s="56">
        <f t="shared" ca="1" si="34"/>
        <v>264</v>
      </c>
      <c r="S149" s="56">
        <f t="shared" ca="1" si="35"/>
        <v>125</v>
      </c>
      <c r="T149" s="39">
        <f t="shared" ca="1" si="36"/>
        <v>687500</v>
      </c>
      <c r="U149" s="61">
        <f t="shared" ca="1" si="37"/>
        <v>0</v>
      </c>
      <c r="V149" s="61">
        <f t="shared" ca="1" si="38"/>
        <v>208500</v>
      </c>
      <c r="W149" s="62">
        <f t="shared" ca="1" si="39"/>
        <v>-21000</v>
      </c>
      <c r="X149" s="14"/>
    </row>
    <row r="150" spans="11:24" x14ac:dyDescent="0.3">
      <c r="K150" s="40">
        <v>146</v>
      </c>
      <c r="L150" s="39">
        <f t="shared" ca="1" si="29"/>
        <v>0.81006129541737693</v>
      </c>
      <c r="M150" s="39">
        <f t="shared" ca="1" si="30"/>
        <v>200</v>
      </c>
      <c r="N150" s="39">
        <f t="shared" ca="1" si="31"/>
        <v>0.39458901831981241</v>
      </c>
      <c r="O150" s="39">
        <f t="shared" ca="1" si="31"/>
        <v>0.16444964650875715</v>
      </c>
      <c r="P150" s="67">
        <f t="shared" ca="1" si="32"/>
        <v>0.25590386648285696</v>
      </c>
      <c r="Q150" s="56">
        <f t="shared" ca="1" si="33"/>
        <v>251.18077329657137</v>
      </c>
      <c r="R150" s="56">
        <f t="shared" ca="1" si="34"/>
        <v>252</v>
      </c>
      <c r="S150" s="56">
        <f t="shared" ca="1" si="35"/>
        <v>125</v>
      </c>
      <c r="T150" s="39">
        <f t="shared" ca="1" si="36"/>
        <v>687500</v>
      </c>
      <c r="U150" s="61">
        <f t="shared" ca="1" si="37"/>
        <v>0</v>
      </c>
      <c r="V150" s="61">
        <f t="shared" ca="1" si="38"/>
        <v>190500</v>
      </c>
      <c r="W150" s="62">
        <f t="shared" ca="1" si="39"/>
        <v>-3000</v>
      </c>
      <c r="X150" s="14"/>
    </row>
    <row r="151" spans="11:24" x14ac:dyDescent="0.3">
      <c r="K151" s="40">
        <v>147</v>
      </c>
      <c r="L151" s="39">
        <f t="shared" ca="1" si="29"/>
        <v>0.83428243865140572</v>
      </c>
      <c r="M151" s="39">
        <f t="shared" ca="1" si="30"/>
        <v>200</v>
      </c>
      <c r="N151" s="39">
        <f t="shared" ca="1" si="31"/>
        <v>0.12857123897859457</v>
      </c>
      <c r="O151" s="39">
        <f t="shared" ca="1" si="31"/>
        <v>0.62081146955976063</v>
      </c>
      <c r="P151" s="67">
        <f t="shared" ca="1" si="32"/>
        <v>0.27493827085383554</v>
      </c>
      <c r="Q151" s="56">
        <f t="shared" ca="1" si="33"/>
        <v>254.98765417076712</v>
      </c>
      <c r="R151" s="56">
        <f t="shared" ca="1" si="34"/>
        <v>255</v>
      </c>
      <c r="S151" s="56">
        <f t="shared" ca="1" si="35"/>
        <v>125</v>
      </c>
      <c r="T151" s="39">
        <f t="shared" ca="1" si="36"/>
        <v>687500</v>
      </c>
      <c r="U151" s="61">
        <f t="shared" ca="1" si="37"/>
        <v>0</v>
      </c>
      <c r="V151" s="61">
        <f t="shared" ca="1" si="38"/>
        <v>195000</v>
      </c>
      <c r="W151" s="62">
        <f t="shared" ca="1" si="39"/>
        <v>-7500</v>
      </c>
      <c r="X151" s="14"/>
    </row>
    <row r="152" spans="11:24" x14ac:dyDescent="0.3">
      <c r="K152" s="40">
        <v>148</v>
      </c>
      <c r="L152" s="39">
        <f t="shared" ca="1" si="29"/>
        <v>0.10420607843011631</v>
      </c>
      <c r="M152" s="39">
        <f t="shared" ca="1" si="30"/>
        <v>140</v>
      </c>
      <c r="N152" s="39">
        <f t="shared" ca="1" si="31"/>
        <v>0.8972286615820585</v>
      </c>
      <c r="O152" s="39">
        <f t="shared" ca="1" si="31"/>
        <v>0.986329010080923</v>
      </c>
      <c r="P152" s="67">
        <f t="shared" ca="1" si="32"/>
        <v>0.38835576716629816</v>
      </c>
      <c r="Q152" s="56">
        <f t="shared" ca="1" si="33"/>
        <v>194.36980740328175</v>
      </c>
      <c r="R152" s="56">
        <f t="shared" ca="1" si="34"/>
        <v>195</v>
      </c>
      <c r="S152" s="56">
        <f t="shared" ca="1" si="35"/>
        <v>125</v>
      </c>
      <c r="T152" s="39">
        <f t="shared" ca="1" si="36"/>
        <v>687500</v>
      </c>
      <c r="U152" s="61">
        <f t="shared" ca="1" si="37"/>
        <v>0</v>
      </c>
      <c r="V152" s="61">
        <f t="shared" ca="1" si="38"/>
        <v>105000</v>
      </c>
      <c r="W152" s="62">
        <f t="shared" ca="1" si="39"/>
        <v>82500</v>
      </c>
      <c r="X152" s="14"/>
    </row>
    <row r="153" spans="11:24" x14ac:dyDescent="0.3">
      <c r="K153" s="40">
        <v>149</v>
      </c>
      <c r="L153" s="39">
        <f t="shared" ca="1" si="29"/>
        <v>0.43869191532065377</v>
      </c>
      <c r="M153" s="39">
        <f t="shared" ca="1" si="30"/>
        <v>160</v>
      </c>
      <c r="N153" s="39">
        <f t="shared" ca="1" si="31"/>
        <v>0.97726280054443448</v>
      </c>
      <c r="O153" s="39">
        <f t="shared" ca="1" si="31"/>
        <v>0.85115414460848193</v>
      </c>
      <c r="P153" s="67">
        <f t="shared" ca="1" si="32"/>
        <v>0.38284169451529165</v>
      </c>
      <c r="Q153" s="56">
        <f t="shared" ca="1" si="33"/>
        <v>221.25467112244667</v>
      </c>
      <c r="R153" s="56">
        <f t="shared" ca="1" si="34"/>
        <v>222</v>
      </c>
      <c r="S153" s="56">
        <f t="shared" ca="1" si="35"/>
        <v>125</v>
      </c>
      <c r="T153" s="39">
        <f t="shared" ca="1" si="36"/>
        <v>687500</v>
      </c>
      <c r="U153" s="61">
        <f t="shared" ca="1" si="37"/>
        <v>0</v>
      </c>
      <c r="V153" s="61">
        <f t="shared" ca="1" si="38"/>
        <v>145500</v>
      </c>
      <c r="W153" s="62">
        <f t="shared" ca="1" si="39"/>
        <v>42000</v>
      </c>
      <c r="X153" s="14"/>
    </row>
    <row r="154" spans="11:24" x14ac:dyDescent="0.3">
      <c r="K154" s="40">
        <v>150</v>
      </c>
      <c r="L154" s="39">
        <f t="shared" ca="1" si="29"/>
        <v>0.99399438485234559</v>
      </c>
      <c r="M154" s="39">
        <f t="shared" ca="1" si="30"/>
        <v>220</v>
      </c>
      <c r="N154" s="39">
        <f t="shared" ca="1" si="31"/>
        <v>0.81290013922259774</v>
      </c>
      <c r="O154" s="39">
        <f t="shared" ca="1" si="31"/>
        <v>0.515219380796897</v>
      </c>
      <c r="P154" s="67">
        <f t="shared" ca="1" si="32"/>
        <v>0.33281195200194946</v>
      </c>
      <c r="Q154" s="56">
        <f t="shared" ca="1" si="33"/>
        <v>293.21862944042891</v>
      </c>
      <c r="R154" s="56">
        <f t="shared" ca="1" si="34"/>
        <v>294</v>
      </c>
      <c r="S154" s="56">
        <f t="shared" ca="1" si="35"/>
        <v>125</v>
      </c>
      <c r="T154" s="39">
        <f t="shared" ca="1" si="36"/>
        <v>687500</v>
      </c>
      <c r="U154" s="61">
        <f t="shared" ca="1" si="37"/>
        <v>0</v>
      </c>
      <c r="V154" s="61">
        <f t="shared" ca="1" si="38"/>
        <v>253500</v>
      </c>
      <c r="W154" s="62">
        <f t="shared" ca="1" si="39"/>
        <v>-66000</v>
      </c>
      <c r="X154" s="14"/>
    </row>
    <row r="155" spans="11:24" x14ac:dyDescent="0.3">
      <c r="K155" s="40">
        <v>151</v>
      </c>
      <c r="L155" s="39">
        <f t="shared" ca="1" si="29"/>
        <v>0.89996841562369745</v>
      </c>
      <c r="M155" s="39">
        <f t="shared" ca="1" si="30"/>
        <v>200</v>
      </c>
      <c r="N155" s="39">
        <f t="shared" ca="1" si="31"/>
        <v>0.85721996785490706</v>
      </c>
      <c r="O155" s="39">
        <f t="shared" ca="1" si="31"/>
        <v>0.41321051930528052</v>
      </c>
      <c r="P155" s="67">
        <f t="shared" ca="1" si="32"/>
        <v>0.32704304871601875</v>
      </c>
      <c r="Q155" s="56">
        <f t="shared" ca="1" si="33"/>
        <v>265.40860974320378</v>
      </c>
      <c r="R155" s="56">
        <f t="shared" ca="1" si="34"/>
        <v>266</v>
      </c>
      <c r="S155" s="56">
        <f t="shared" ca="1" si="35"/>
        <v>125</v>
      </c>
      <c r="T155" s="39">
        <f t="shared" ca="1" si="36"/>
        <v>687500</v>
      </c>
      <c r="U155" s="61">
        <f t="shared" ca="1" si="37"/>
        <v>0</v>
      </c>
      <c r="V155" s="61">
        <f t="shared" ca="1" si="38"/>
        <v>211500</v>
      </c>
      <c r="W155" s="62">
        <f t="shared" ca="1" si="39"/>
        <v>-24000</v>
      </c>
      <c r="X155" s="14"/>
    </row>
    <row r="156" spans="11:24" x14ac:dyDescent="0.3">
      <c r="K156" s="40">
        <v>152</v>
      </c>
      <c r="L156" s="39">
        <f t="shared" ca="1" si="29"/>
        <v>0.95004762024597422</v>
      </c>
      <c r="M156" s="39">
        <f t="shared" ca="1" si="30"/>
        <v>220</v>
      </c>
      <c r="N156" s="39">
        <f t="shared" ca="1" si="31"/>
        <v>0.25098644850178764</v>
      </c>
      <c r="O156" s="39">
        <f t="shared" ca="1" si="31"/>
        <v>0.89082826225129452</v>
      </c>
      <c r="P156" s="67">
        <f t="shared" ca="1" si="32"/>
        <v>0.31418147107530825</v>
      </c>
      <c r="Q156" s="56">
        <f t="shared" ca="1" si="33"/>
        <v>289.11992363656782</v>
      </c>
      <c r="R156" s="56">
        <f t="shared" ca="1" si="34"/>
        <v>290</v>
      </c>
      <c r="S156" s="56">
        <f t="shared" ca="1" si="35"/>
        <v>125</v>
      </c>
      <c r="T156" s="39">
        <f t="shared" ca="1" si="36"/>
        <v>687500</v>
      </c>
      <c r="U156" s="61">
        <f t="shared" ca="1" si="37"/>
        <v>0</v>
      </c>
      <c r="V156" s="61">
        <f t="shared" ca="1" si="38"/>
        <v>247500</v>
      </c>
      <c r="W156" s="62">
        <f t="shared" ca="1" si="39"/>
        <v>-60000</v>
      </c>
      <c r="X156" s="14"/>
    </row>
    <row r="157" spans="11:24" x14ac:dyDescent="0.3">
      <c r="K157" s="40">
        <v>153</v>
      </c>
      <c r="L157" s="39">
        <f t="shared" ca="1" si="29"/>
        <v>0.30149058946348839</v>
      </c>
      <c r="M157" s="39">
        <f t="shared" ca="1" si="30"/>
        <v>160</v>
      </c>
      <c r="N157" s="39">
        <f t="shared" ca="1" si="31"/>
        <v>0.28846300715162287</v>
      </c>
      <c r="O157" s="39">
        <f t="shared" ca="1" si="31"/>
        <v>0.42137075674091062</v>
      </c>
      <c r="P157" s="67">
        <f t="shared" ca="1" si="32"/>
        <v>0.27098337638925335</v>
      </c>
      <c r="Q157" s="56">
        <f t="shared" ca="1" si="33"/>
        <v>203.35734022228053</v>
      </c>
      <c r="R157" s="56">
        <f t="shared" ca="1" si="34"/>
        <v>204</v>
      </c>
      <c r="S157" s="56">
        <f t="shared" ca="1" si="35"/>
        <v>125</v>
      </c>
      <c r="T157" s="39">
        <f t="shared" ca="1" si="36"/>
        <v>687500</v>
      </c>
      <c r="U157" s="61">
        <f t="shared" ca="1" si="37"/>
        <v>0</v>
      </c>
      <c r="V157" s="61">
        <f t="shared" ca="1" si="38"/>
        <v>118500</v>
      </c>
      <c r="W157" s="62">
        <f t="shared" ca="1" si="39"/>
        <v>69000</v>
      </c>
      <c r="X157" s="14"/>
    </row>
    <row r="158" spans="11:24" x14ac:dyDescent="0.3">
      <c r="K158" s="40">
        <v>154</v>
      </c>
      <c r="L158" s="39">
        <f t="shared" ca="1" si="29"/>
        <v>0.10492286095500736</v>
      </c>
      <c r="M158" s="39">
        <f t="shared" ca="1" si="30"/>
        <v>140</v>
      </c>
      <c r="N158" s="39">
        <f t="shared" ca="1" si="31"/>
        <v>0.15790552825693205</v>
      </c>
      <c r="O158" s="39">
        <f t="shared" ca="1" si="31"/>
        <v>0.51711531163444657</v>
      </c>
      <c r="P158" s="67">
        <f t="shared" ca="1" si="32"/>
        <v>0.26750208398913788</v>
      </c>
      <c r="Q158" s="56">
        <f t="shared" ca="1" si="33"/>
        <v>177.4502917584793</v>
      </c>
      <c r="R158" s="56">
        <f t="shared" ca="1" si="34"/>
        <v>178</v>
      </c>
      <c r="S158" s="56">
        <f t="shared" ca="1" si="35"/>
        <v>125</v>
      </c>
      <c r="T158" s="39">
        <f t="shared" ca="1" si="36"/>
        <v>687500</v>
      </c>
      <c r="U158" s="61">
        <f t="shared" ca="1" si="37"/>
        <v>0</v>
      </c>
      <c r="V158" s="61">
        <f t="shared" ca="1" si="38"/>
        <v>79500</v>
      </c>
      <c r="W158" s="62">
        <f t="shared" ca="1" si="39"/>
        <v>108000</v>
      </c>
      <c r="X158" s="14"/>
    </row>
    <row r="159" spans="11:24" x14ac:dyDescent="0.3">
      <c r="K159" s="40">
        <v>155</v>
      </c>
      <c r="L159" s="39">
        <f t="shared" ca="1" si="29"/>
        <v>0.7680846755389269</v>
      </c>
      <c r="M159" s="39">
        <f t="shared" ca="1" si="30"/>
        <v>200</v>
      </c>
      <c r="N159" s="39">
        <f t="shared" ca="1" si="31"/>
        <v>0.12721574429376215</v>
      </c>
      <c r="O159" s="39">
        <f t="shared" ca="1" si="31"/>
        <v>0.47063230524172139</v>
      </c>
      <c r="P159" s="67">
        <f t="shared" ca="1" si="32"/>
        <v>0.25978480495354839</v>
      </c>
      <c r="Q159" s="56">
        <f t="shared" ca="1" si="33"/>
        <v>251.95696099070966</v>
      </c>
      <c r="R159" s="56">
        <f t="shared" ca="1" si="34"/>
        <v>252</v>
      </c>
      <c r="S159" s="56">
        <f t="shared" ca="1" si="35"/>
        <v>125</v>
      </c>
      <c r="T159" s="39">
        <f t="shared" ca="1" si="36"/>
        <v>687500</v>
      </c>
      <c r="U159" s="61">
        <f t="shared" ca="1" si="37"/>
        <v>0</v>
      </c>
      <c r="V159" s="61">
        <f t="shared" ca="1" si="38"/>
        <v>190500</v>
      </c>
      <c r="W159" s="62">
        <f t="shared" ca="1" si="39"/>
        <v>-3000</v>
      </c>
      <c r="X159" s="14"/>
    </row>
    <row r="160" spans="11:24" x14ac:dyDescent="0.3">
      <c r="K160" s="40">
        <v>156</v>
      </c>
      <c r="L160" s="39">
        <f t="shared" ca="1" si="29"/>
        <v>7.8656794010853015E-2</v>
      </c>
      <c r="M160" s="39">
        <f t="shared" ca="1" si="30"/>
        <v>140</v>
      </c>
      <c r="N160" s="39">
        <f t="shared" ca="1" si="31"/>
        <v>0.63338962189336878</v>
      </c>
      <c r="O160" s="39">
        <f t="shared" ca="1" si="31"/>
        <v>0.87464514672863003</v>
      </c>
      <c r="P160" s="67">
        <f t="shared" ca="1" si="32"/>
        <v>0.35080347686219993</v>
      </c>
      <c r="Q160" s="56">
        <f t="shared" ca="1" si="33"/>
        <v>189.11248676070798</v>
      </c>
      <c r="R160" s="56">
        <f t="shared" ca="1" si="34"/>
        <v>190</v>
      </c>
      <c r="S160" s="56">
        <f t="shared" ca="1" si="35"/>
        <v>125</v>
      </c>
      <c r="T160" s="39">
        <f t="shared" ca="1" si="36"/>
        <v>687500</v>
      </c>
      <c r="U160" s="61">
        <f t="shared" ca="1" si="37"/>
        <v>0</v>
      </c>
      <c r="V160" s="61">
        <f t="shared" ca="1" si="38"/>
        <v>97500</v>
      </c>
      <c r="W160" s="62">
        <f t="shared" ca="1" si="39"/>
        <v>90000</v>
      </c>
      <c r="X160" s="14"/>
    </row>
    <row r="161" spans="11:24" x14ac:dyDescent="0.3">
      <c r="K161" s="40">
        <v>157</v>
      </c>
      <c r="L161" s="39">
        <f t="shared" ca="1" si="29"/>
        <v>0.6323511887865223</v>
      </c>
      <c r="M161" s="39">
        <f t="shared" ca="1" si="30"/>
        <v>180</v>
      </c>
      <c r="N161" s="39">
        <f t="shared" ca="1" si="31"/>
        <v>0.64578450120092068</v>
      </c>
      <c r="O161" s="39">
        <f t="shared" ca="1" si="31"/>
        <v>0.5117528018630475</v>
      </c>
      <c r="P161" s="67">
        <f t="shared" ca="1" si="32"/>
        <v>0.31575373030639686</v>
      </c>
      <c r="Q161" s="56">
        <f t="shared" ca="1" si="33"/>
        <v>236.83567145515144</v>
      </c>
      <c r="R161" s="56">
        <f t="shared" ca="1" si="34"/>
        <v>237</v>
      </c>
      <c r="S161" s="56">
        <f t="shared" ca="1" si="35"/>
        <v>125</v>
      </c>
      <c r="T161" s="39">
        <f t="shared" ca="1" si="36"/>
        <v>687500</v>
      </c>
      <c r="U161" s="61">
        <f t="shared" ca="1" si="37"/>
        <v>0</v>
      </c>
      <c r="V161" s="61">
        <f t="shared" ca="1" si="38"/>
        <v>168000</v>
      </c>
      <c r="W161" s="62">
        <f t="shared" ca="1" si="39"/>
        <v>19500</v>
      </c>
      <c r="X161" s="14"/>
    </row>
    <row r="162" spans="11:24" x14ac:dyDescent="0.3">
      <c r="K162" s="40">
        <v>158</v>
      </c>
      <c r="L162" s="39">
        <f t="shared" ca="1" si="29"/>
        <v>0.80243415158091924</v>
      </c>
      <c r="M162" s="39">
        <f t="shared" ca="1" si="30"/>
        <v>200</v>
      </c>
      <c r="N162" s="39">
        <f t="shared" ca="1" si="31"/>
        <v>0.47507936146750873</v>
      </c>
      <c r="O162" s="39">
        <f t="shared" ca="1" si="31"/>
        <v>0.89635939330460757</v>
      </c>
      <c r="P162" s="67">
        <f t="shared" ca="1" si="32"/>
        <v>0.33714387547721164</v>
      </c>
      <c r="Q162" s="56">
        <f t="shared" ca="1" si="33"/>
        <v>267.42877509544235</v>
      </c>
      <c r="R162" s="56">
        <f t="shared" ca="1" si="34"/>
        <v>268</v>
      </c>
      <c r="S162" s="56">
        <f t="shared" ca="1" si="35"/>
        <v>125</v>
      </c>
      <c r="T162" s="39">
        <f t="shared" ca="1" si="36"/>
        <v>687500</v>
      </c>
      <c r="U162" s="61">
        <f t="shared" ca="1" si="37"/>
        <v>0</v>
      </c>
      <c r="V162" s="61">
        <f t="shared" ca="1" si="38"/>
        <v>214500</v>
      </c>
      <c r="W162" s="62">
        <f t="shared" ca="1" si="39"/>
        <v>-27000</v>
      </c>
      <c r="X162" s="14"/>
    </row>
    <row r="163" spans="11:24" x14ac:dyDescent="0.3">
      <c r="K163" s="40">
        <v>159</v>
      </c>
      <c r="L163" s="39">
        <f t="shared" ca="1" si="29"/>
        <v>0.3229605013020318</v>
      </c>
      <c r="M163" s="39">
        <f t="shared" ca="1" si="30"/>
        <v>160</v>
      </c>
      <c r="N163" s="39">
        <f t="shared" ca="1" si="31"/>
        <v>0.88866295930643813</v>
      </c>
      <c r="O163" s="39">
        <f t="shared" ca="1" si="31"/>
        <v>0.67800801349136386</v>
      </c>
      <c r="P163" s="67">
        <f t="shared" ca="1" si="32"/>
        <v>0.35666709727978024</v>
      </c>
      <c r="Q163" s="56">
        <f t="shared" ca="1" si="33"/>
        <v>217.06673556476483</v>
      </c>
      <c r="R163" s="56">
        <f t="shared" ca="1" si="34"/>
        <v>218</v>
      </c>
      <c r="S163" s="56">
        <f t="shared" ca="1" si="35"/>
        <v>125</v>
      </c>
      <c r="T163" s="39">
        <f t="shared" ca="1" si="36"/>
        <v>687500</v>
      </c>
      <c r="U163" s="61">
        <f t="shared" ca="1" si="37"/>
        <v>0</v>
      </c>
      <c r="V163" s="61">
        <f t="shared" ca="1" si="38"/>
        <v>139500</v>
      </c>
      <c r="W163" s="62">
        <f t="shared" ca="1" si="39"/>
        <v>48000</v>
      </c>
      <c r="X163" s="14"/>
    </row>
    <row r="164" spans="11:24" x14ac:dyDescent="0.3">
      <c r="K164" s="40">
        <v>160</v>
      </c>
      <c r="L164" s="39">
        <f t="shared" ca="1" si="29"/>
        <v>3.4529081530738637E-3</v>
      </c>
      <c r="M164" s="39">
        <f t="shared" ca="1" si="30"/>
        <v>140</v>
      </c>
      <c r="N164" s="39">
        <f t="shared" ca="1" si="31"/>
        <v>0.1786353470552221</v>
      </c>
      <c r="O164" s="39">
        <f t="shared" ca="1" si="31"/>
        <v>7.7668655752959004E-2</v>
      </c>
      <c r="P164" s="67">
        <f t="shared" ca="1" si="32"/>
        <v>0.22563040028081813</v>
      </c>
      <c r="Q164" s="56">
        <f t="shared" ca="1" si="33"/>
        <v>171.58825603931453</v>
      </c>
      <c r="R164" s="56">
        <f t="shared" ca="1" si="34"/>
        <v>172</v>
      </c>
      <c r="S164" s="56">
        <f t="shared" ca="1" si="35"/>
        <v>125</v>
      </c>
      <c r="T164" s="39">
        <f t="shared" ca="1" si="36"/>
        <v>687500</v>
      </c>
      <c r="U164" s="61">
        <f t="shared" ca="1" si="37"/>
        <v>0</v>
      </c>
      <c r="V164" s="61">
        <f t="shared" ca="1" si="38"/>
        <v>70500</v>
      </c>
      <c r="W164" s="62">
        <f t="shared" ca="1" si="39"/>
        <v>117000</v>
      </c>
      <c r="X164" s="14"/>
    </row>
    <row r="165" spans="11:24" x14ac:dyDescent="0.3">
      <c r="K165" s="40">
        <v>161</v>
      </c>
      <c r="L165" s="39">
        <f t="shared" ca="1" si="29"/>
        <v>0.20910087525729393</v>
      </c>
      <c r="M165" s="39">
        <f t="shared" ca="1" si="30"/>
        <v>140</v>
      </c>
      <c r="N165" s="39">
        <f t="shared" ca="1" si="31"/>
        <v>0.60704461300694912</v>
      </c>
      <c r="O165" s="39">
        <f t="shared" ca="1" si="31"/>
        <v>0.83035494714228153</v>
      </c>
      <c r="P165" s="67">
        <f t="shared" ca="1" si="32"/>
        <v>0.34373995601492308</v>
      </c>
      <c r="Q165" s="56">
        <f t="shared" ca="1" si="33"/>
        <v>188.12359384208924</v>
      </c>
      <c r="R165" s="56">
        <f t="shared" ca="1" si="34"/>
        <v>189</v>
      </c>
      <c r="S165" s="56">
        <f t="shared" ca="1" si="35"/>
        <v>125</v>
      </c>
      <c r="T165" s="39">
        <f t="shared" ca="1" si="36"/>
        <v>687500</v>
      </c>
      <c r="U165" s="61">
        <f t="shared" ca="1" si="37"/>
        <v>0</v>
      </c>
      <c r="V165" s="61">
        <f t="shared" ca="1" si="38"/>
        <v>96000</v>
      </c>
      <c r="W165" s="62">
        <f t="shared" ca="1" si="39"/>
        <v>91500</v>
      </c>
      <c r="X165" s="14"/>
    </row>
    <row r="166" spans="11:24" x14ac:dyDescent="0.3">
      <c r="K166" s="40">
        <v>162</v>
      </c>
      <c r="L166" s="39">
        <f t="shared" ca="1" si="29"/>
        <v>0.57719161530579211</v>
      </c>
      <c r="M166" s="39">
        <f t="shared" ca="1" si="30"/>
        <v>180</v>
      </c>
      <c r="N166" s="39">
        <f t="shared" ca="1" si="31"/>
        <v>0.43015476121175777</v>
      </c>
      <c r="O166" s="39">
        <f t="shared" ca="1" si="31"/>
        <v>0.21028753422401036</v>
      </c>
      <c r="P166" s="67">
        <f t="shared" ca="1" si="32"/>
        <v>0.26404422954357681</v>
      </c>
      <c r="Q166" s="56">
        <f t="shared" ca="1" si="33"/>
        <v>227.52796131784382</v>
      </c>
      <c r="R166" s="56">
        <f t="shared" ca="1" si="34"/>
        <v>228</v>
      </c>
      <c r="S166" s="56">
        <f t="shared" ca="1" si="35"/>
        <v>125</v>
      </c>
      <c r="T166" s="39">
        <f t="shared" ca="1" si="36"/>
        <v>687500</v>
      </c>
      <c r="U166" s="61">
        <f t="shared" ca="1" si="37"/>
        <v>0</v>
      </c>
      <c r="V166" s="61">
        <f t="shared" ca="1" si="38"/>
        <v>154500</v>
      </c>
      <c r="W166" s="62">
        <f t="shared" ca="1" si="39"/>
        <v>33000</v>
      </c>
      <c r="X166" s="14"/>
    </row>
    <row r="167" spans="11:24" x14ac:dyDescent="0.3">
      <c r="K167" s="40">
        <v>163</v>
      </c>
      <c r="L167" s="39">
        <f t="shared" ca="1" si="29"/>
        <v>0.21042301614189973</v>
      </c>
      <c r="M167" s="39">
        <f t="shared" ca="1" si="30"/>
        <v>140</v>
      </c>
      <c r="N167" s="39">
        <f t="shared" ca="1" si="31"/>
        <v>0.74181339188510764</v>
      </c>
      <c r="O167" s="39">
        <f t="shared" ca="1" si="31"/>
        <v>7.0073714598463455E-2</v>
      </c>
      <c r="P167" s="67">
        <f t="shared" ca="1" si="32"/>
        <v>0.28118871064835715</v>
      </c>
      <c r="Q167" s="56">
        <f t="shared" ca="1" si="33"/>
        <v>179.36641949077</v>
      </c>
      <c r="R167" s="56">
        <f t="shared" ca="1" si="34"/>
        <v>180</v>
      </c>
      <c r="S167" s="56">
        <f t="shared" ca="1" si="35"/>
        <v>125</v>
      </c>
      <c r="T167" s="39">
        <f t="shared" ca="1" si="36"/>
        <v>687500</v>
      </c>
      <c r="U167" s="61">
        <f t="shared" ca="1" si="37"/>
        <v>0</v>
      </c>
      <c r="V167" s="61">
        <f t="shared" ca="1" si="38"/>
        <v>82500</v>
      </c>
      <c r="W167" s="62">
        <f t="shared" ca="1" si="39"/>
        <v>105000</v>
      </c>
      <c r="X167" s="14"/>
    </row>
    <row r="168" spans="11:24" x14ac:dyDescent="0.3">
      <c r="K168" s="40">
        <v>164</v>
      </c>
      <c r="L168" s="39">
        <f t="shared" ca="1" si="29"/>
        <v>0.18737087866145108</v>
      </c>
      <c r="M168" s="39">
        <f t="shared" ca="1" si="30"/>
        <v>140</v>
      </c>
      <c r="N168" s="39">
        <f t="shared" ca="1" si="31"/>
        <v>0.89829334128307969</v>
      </c>
      <c r="O168" s="39">
        <f t="shared" ca="1" si="31"/>
        <v>0.30508008526718655</v>
      </c>
      <c r="P168" s="67">
        <f t="shared" ca="1" si="32"/>
        <v>0.32033734265502667</v>
      </c>
      <c r="Q168" s="56">
        <f t="shared" ca="1" si="33"/>
        <v>184.84722797170372</v>
      </c>
      <c r="R168" s="56">
        <f t="shared" ca="1" si="34"/>
        <v>185</v>
      </c>
      <c r="S168" s="56">
        <f t="shared" ca="1" si="35"/>
        <v>125</v>
      </c>
      <c r="T168" s="39">
        <f t="shared" ca="1" si="36"/>
        <v>687500</v>
      </c>
      <c r="U168" s="61">
        <f t="shared" ca="1" si="37"/>
        <v>0</v>
      </c>
      <c r="V168" s="61">
        <f t="shared" ca="1" si="38"/>
        <v>90000</v>
      </c>
      <c r="W168" s="62">
        <f t="shared" ca="1" si="39"/>
        <v>97500</v>
      </c>
      <c r="X168" s="14"/>
    </row>
    <row r="169" spans="11:24" x14ac:dyDescent="0.3">
      <c r="K169" s="40">
        <v>165</v>
      </c>
      <c r="L169" s="39">
        <f t="shared" ca="1" si="29"/>
        <v>0.35338338516169898</v>
      </c>
      <c r="M169" s="39">
        <f t="shared" ca="1" si="30"/>
        <v>160</v>
      </c>
      <c r="N169" s="39">
        <f t="shared" ca="1" si="31"/>
        <v>0.1958255487308147</v>
      </c>
      <c r="O169" s="39">
        <f t="shared" ca="1" si="31"/>
        <v>0.5007506019247101</v>
      </c>
      <c r="P169" s="67">
        <f t="shared" ca="1" si="32"/>
        <v>0.26965761506555253</v>
      </c>
      <c r="Q169" s="56">
        <f t="shared" ca="1" si="33"/>
        <v>203.14521841048841</v>
      </c>
      <c r="R169" s="56">
        <f t="shared" ca="1" si="34"/>
        <v>204</v>
      </c>
      <c r="S169" s="56">
        <f t="shared" ca="1" si="35"/>
        <v>125</v>
      </c>
      <c r="T169" s="39">
        <f t="shared" ca="1" si="36"/>
        <v>687500</v>
      </c>
      <c r="U169" s="61">
        <f t="shared" ca="1" si="37"/>
        <v>0</v>
      </c>
      <c r="V169" s="61">
        <f t="shared" ca="1" si="38"/>
        <v>118500</v>
      </c>
      <c r="W169" s="62">
        <f t="shared" ca="1" si="39"/>
        <v>69000</v>
      </c>
      <c r="X169" s="14"/>
    </row>
    <row r="170" spans="11:24" x14ac:dyDescent="0.3">
      <c r="K170" s="40">
        <v>166</v>
      </c>
      <c r="L170" s="39">
        <f t="shared" ca="1" si="29"/>
        <v>0.74554257369437016</v>
      </c>
      <c r="M170" s="39">
        <f t="shared" ca="1" si="30"/>
        <v>200</v>
      </c>
      <c r="N170" s="39">
        <f t="shared" ca="1" si="31"/>
        <v>0.88513038658587662</v>
      </c>
      <c r="O170" s="39">
        <f t="shared" ca="1" si="31"/>
        <v>0.24844782661734666</v>
      </c>
      <c r="P170" s="67">
        <f t="shared" ca="1" si="32"/>
        <v>0.31335782132032236</v>
      </c>
      <c r="Q170" s="56">
        <f t="shared" ca="1" si="33"/>
        <v>262.6715642640645</v>
      </c>
      <c r="R170" s="56">
        <f t="shared" ca="1" si="34"/>
        <v>263</v>
      </c>
      <c r="S170" s="56">
        <f t="shared" ca="1" si="35"/>
        <v>125</v>
      </c>
      <c r="T170" s="39">
        <f t="shared" ca="1" si="36"/>
        <v>687500</v>
      </c>
      <c r="U170" s="61">
        <f t="shared" ca="1" si="37"/>
        <v>0</v>
      </c>
      <c r="V170" s="61">
        <f t="shared" ca="1" si="38"/>
        <v>207000</v>
      </c>
      <c r="W170" s="62">
        <f t="shared" ca="1" si="39"/>
        <v>-19500</v>
      </c>
      <c r="X170" s="14"/>
    </row>
    <row r="171" spans="11:24" x14ac:dyDescent="0.3">
      <c r="K171" s="40">
        <v>167</v>
      </c>
      <c r="L171" s="39">
        <f t="shared" ca="1" si="29"/>
        <v>0.95092924920174282</v>
      </c>
      <c r="M171" s="39">
        <f t="shared" ca="1" si="30"/>
        <v>220</v>
      </c>
      <c r="N171" s="39">
        <f t="shared" ca="1" si="31"/>
        <v>0.46993250389948404</v>
      </c>
      <c r="O171" s="39">
        <f t="shared" ca="1" si="31"/>
        <v>0.5866000385469522</v>
      </c>
      <c r="P171" s="67">
        <f t="shared" ca="1" si="32"/>
        <v>0.30565325424464362</v>
      </c>
      <c r="Q171" s="56">
        <f t="shared" ca="1" si="33"/>
        <v>287.24371593382159</v>
      </c>
      <c r="R171" s="56">
        <f t="shared" ca="1" si="34"/>
        <v>288</v>
      </c>
      <c r="S171" s="56">
        <f t="shared" ca="1" si="35"/>
        <v>125</v>
      </c>
      <c r="T171" s="39">
        <f t="shared" ca="1" si="36"/>
        <v>687500</v>
      </c>
      <c r="U171" s="61">
        <f t="shared" ca="1" si="37"/>
        <v>0</v>
      </c>
      <c r="V171" s="61">
        <f t="shared" ca="1" si="38"/>
        <v>244500</v>
      </c>
      <c r="W171" s="62">
        <f t="shared" ca="1" si="39"/>
        <v>-57000</v>
      </c>
      <c r="X171" s="14"/>
    </row>
    <row r="172" spans="11:24" x14ac:dyDescent="0.3">
      <c r="K172" s="40">
        <v>168</v>
      </c>
      <c r="L172" s="39">
        <f t="shared" ca="1" si="29"/>
        <v>0.98354309568287124</v>
      </c>
      <c r="M172" s="39">
        <f t="shared" ca="1" si="30"/>
        <v>220</v>
      </c>
      <c r="N172" s="39">
        <f t="shared" ca="1" si="31"/>
        <v>4.6800855311706635E-2</v>
      </c>
      <c r="O172" s="39">
        <f t="shared" ca="1" si="31"/>
        <v>0.76828717069215446</v>
      </c>
      <c r="P172" s="67">
        <f t="shared" ca="1" si="32"/>
        <v>0.28150880260038613</v>
      </c>
      <c r="Q172" s="56">
        <f t="shared" ca="1" si="33"/>
        <v>281.93193657208496</v>
      </c>
      <c r="R172" s="56">
        <f t="shared" ca="1" si="34"/>
        <v>282</v>
      </c>
      <c r="S172" s="56">
        <f t="shared" ca="1" si="35"/>
        <v>125</v>
      </c>
      <c r="T172" s="39">
        <f t="shared" ca="1" si="36"/>
        <v>687500</v>
      </c>
      <c r="U172" s="61">
        <f t="shared" ca="1" si="37"/>
        <v>0</v>
      </c>
      <c r="V172" s="61">
        <f t="shared" ca="1" si="38"/>
        <v>235500</v>
      </c>
      <c r="W172" s="62">
        <f t="shared" ca="1" si="39"/>
        <v>-48000</v>
      </c>
      <c r="X172" s="14"/>
    </row>
    <row r="173" spans="11:24" x14ac:dyDescent="0.3">
      <c r="K173" s="40">
        <v>169</v>
      </c>
      <c r="L173" s="39">
        <f t="shared" ca="1" si="29"/>
        <v>0.29189676433653144</v>
      </c>
      <c r="M173" s="39">
        <f t="shared" ca="1" si="30"/>
        <v>140</v>
      </c>
      <c r="N173" s="39">
        <f t="shared" ca="1" si="31"/>
        <v>0.88962327170513056</v>
      </c>
      <c r="O173" s="39">
        <f t="shared" ca="1" si="31"/>
        <v>0.20471735176261141</v>
      </c>
      <c r="P173" s="67">
        <f t="shared" ca="1" si="32"/>
        <v>0.30943406234677423</v>
      </c>
      <c r="Q173" s="56">
        <f t="shared" ca="1" si="33"/>
        <v>183.32076872854839</v>
      </c>
      <c r="R173" s="56">
        <f t="shared" ca="1" si="34"/>
        <v>184</v>
      </c>
      <c r="S173" s="56">
        <f t="shared" ca="1" si="35"/>
        <v>125</v>
      </c>
      <c r="T173" s="39">
        <f t="shared" ca="1" si="36"/>
        <v>687500</v>
      </c>
      <c r="U173" s="61">
        <f t="shared" ca="1" si="37"/>
        <v>0</v>
      </c>
      <c r="V173" s="61">
        <f t="shared" ca="1" si="38"/>
        <v>88500</v>
      </c>
      <c r="W173" s="62">
        <f t="shared" ca="1" si="39"/>
        <v>99000</v>
      </c>
      <c r="X173" s="14"/>
    </row>
    <row r="174" spans="11:24" x14ac:dyDescent="0.3">
      <c r="K174" s="40">
        <v>170</v>
      </c>
      <c r="L174" s="39">
        <f t="shared" ca="1" si="29"/>
        <v>0.58475569634897184</v>
      </c>
      <c r="M174" s="39">
        <f t="shared" ca="1" si="30"/>
        <v>180</v>
      </c>
      <c r="N174" s="39">
        <f t="shared" ca="1" si="31"/>
        <v>6.2116295493159224E-2</v>
      </c>
      <c r="O174" s="39">
        <f t="shared" ca="1" si="31"/>
        <v>1.3236398306254005E-2</v>
      </c>
      <c r="P174" s="67">
        <f t="shared" ca="1" si="32"/>
        <v>0.20753526937994132</v>
      </c>
      <c r="Q174" s="56">
        <f t="shared" ca="1" si="33"/>
        <v>217.35634848838944</v>
      </c>
      <c r="R174" s="56">
        <f t="shared" ca="1" si="34"/>
        <v>218</v>
      </c>
      <c r="S174" s="56">
        <f t="shared" ca="1" si="35"/>
        <v>125</v>
      </c>
      <c r="T174" s="39">
        <f t="shared" ca="1" si="36"/>
        <v>687500</v>
      </c>
      <c r="U174" s="61">
        <f t="shared" ca="1" si="37"/>
        <v>0</v>
      </c>
      <c r="V174" s="61">
        <f t="shared" ca="1" si="38"/>
        <v>139500</v>
      </c>
      <c r="W174" s="62">
        <f t="shared" ca="1" si="39"/>
        <v>48000</v>
      </c>
      <c r="X174" s="14"/>
    </row>
    <row r="175" spans="11:24" x14ac:dyDescent="0.3">
      <c r="K175" s="40">
        <v>171</v>
      </c>
      <c r="L175" s="39">
        <f t="shared" ca="1" si="29"/>
        <v>0.51435211899953692</v>
      </c>
      <c r="M175" s="39">
        <f t="shared" ca="1" si="30"/>
        <v>180</v>
      </c>
      <c r="N175" s="39">
        <f t="shared" ca="1" si="31"/>
        <v>0.49532101239391835</v>
      </c>
      <c r="O175" s="39">
        <f t="shared" ca="1" si="31"/>
        <v>0.98058958780254646</v>
      </c>
      <c r="P175" s="67">
        <f t="shared" ca="1" si="32"/>
        <v>0.34759106001964646</v>
      </c>
      <c r="Q175" s="56">
        <f t="shared" ca="1" si="33"/>
        <v>242.56639080353636</v>
      </c>
      <c r="R175" s="56">
        <f t="shared" ca="1" si="34"/>
        <v>243</v>
      </c>
      <c r="S175" s="56">
        <f t="shared" ca="1" si="35"/>
        <v>125</v>
      </c>
      <c r="T175" s="39">
        <f t="shared" ca="1" si="36"/>
        <v>687500</v>
      </c>
      <c r="U175" s="61">
        <f t="shared" ca="1" si="37"/>
        <v>0</v>
      </c>
      <c r="V175" s="61">
        <f t="shared" ca="1" si="38"/>
        <v>177000</v>
      </c>
      <c r="W175" s="62">
        <f t="shared" ca="1" si="39"/>
        <v>10500</v>
      </c>
      <c r="X175" s="14"/>
    </row>
    <row r="176" spans="11:24" x14ac:dyDescent="0.3">
      <c r="K176" s="40">
        <v>172</v>
      </c>
      <c r="L176" s="39">
        <f t="shared" ca="1" si="29"/>
        <v>0.98774100899110739</v>
      </c>
      <c r="M176" s="39">
        <f t="shared" ca="1" si="30"/>
        <v>220</v>
      </c>
      <c r="N176" s="39">
        <f t="shared" ca="1" si="31"/>
        <v>0.32226972699488177</v>
      </c>
      <c r="O176" s="39">
        <f t="shared" ca="1" si="31"/>
        <v>0.72862286742256033</v>
      </c>
      <c r="P176" s="67">
        <f t="shared" ca="1" si="32"/>
        <v>0.30508925944174425</v>
      </c>
      <c r="Q176" s="56">
        <f t="shared" ca="1" si="33"/>
        <v>287.11963707718371</v>
      </c>
      <c r="R176" s="56">
        <f t="shared" ca="1" si="34"/>
        <v>288</v>
      </c>
      <c r="S176" s="56">
        <f t="shared" ca="1" si="35"/>
        <v>125</v>
      </c>
      <c r="T176" s="39">
        <f t="shared" ca="1" si="36"/>
        <v>687500</v>
      </c>
      <c r="U176" s="61">
        <f t="shared" ca="1" si="37"/>
        <v>0</v>
      </c>
      <c r="V176" s="61">
        <f t="shared" ca="1" si="38"/>
        <v>244500</v>
      </c>
      <c r="W176" s="62">
        <f t="shared" ca="1" si="39"/>
        <v>-57000</v>
      </c>
      <c r="X176" s="14"/>
    </row>
    <row r="177" spans="11:24" x14ac:dyDescent="0.3">
      <c r="K177" s="40">
        <v>173</v>
      </c>
      <c r="L177" s="39">
        <f t="shared" ca="1" si="29"/>
        <v>0.52422783295080655</v>
      </c>
      <c r="M177" s="39">
        <f t="shared" ca="1" si="30"/>
        <v>180</v>
      </c>
      <c r="N177" s="39">
        <f t="shared" ca="1" si="31"/>
        <v>0.93910064917046177</v>
      </c>
      <c r="O177" s="39">
        <f t="shared" ca="1" si="31"/>
        <v>0.83945151477694535</v>
      </c>
      <c r="P177" s="67">
        <f t="shared" ca="1" si="32"/>
        <v>0.37785521639474073</v>
      </c>
      <c r="Q177" s="56">
        <f t="shared" ca="1" si="33"/>
        <v>248.01393895105332</v>
      </c>
      <c r="R177" s="56">
        <f t="shared" ca="1" si="34"/>
        <v>249</v>
      </c>
      <c r="S177" s="56">
        <f t="shared" ca="1" si="35"/>
        <v>125</v>
      </c>
      <c r="T177" s="39">
        <f t="shared" ca="1" si="36"/>
        <v>687500</v>
      </c>
      <c r="U177" s="61">
        <f t="shared" ca="1" si="37"/>
        <v>0</v>
      </c>
      <c r="V177" s="61">
        <f t="shared" ca="1" si="38"/>
        <v>186000</v>
      </c>
      <c r="W177" s="62">
        <f t="shared" ca="1" si="39"/>
        <v>1500</v>
      </c>
      <c r="X177" s="14"/>
    </row>
    <row r="178" spans="11:24" x14ac:dyDescent="0.3">
      <c r="K178" s="40">
        <v>174</v>
      </c>
      <c r="L178" s="39">
        <f t="shared" ca="1" si="29"/>
        <v>0.1442723854579071</v>
      </c>
      <c r="M178" s="39">
        <f t="shared" ca="1" si="30"/>
        <v>140</v>
      </c>
      <c r="N178" s="39">
        <f t="shared" ca="1" si="31"/>
        <v>2.6591081561537999E-2</v>
      </c>
      <c r="O178" s="39">
        <f t="shared" ca="1" si="31"/>
        <v>0.55804711056015299</v>
      </c>
      <c r="P178" s="67">
        <f t="shared" ca="1" si="32"/>
        <v>0.2584638192121691</v>
      </c>
      <c r="Q178" s="56">
        <f t="shared" ca="1" si="33"/>
        <v>176.18493468970368</v>
      </c>
      <c r="R178" s="56">
        <f t="shared" ca="1" si="34"/>
        <v>177</v>
      </c>
      <c r="S178" s="56">
        <f t="shared" ca="1" si="35"/>
        <v>125</v>
      </c>
      <c r="T178" s="39">
        <f t="shared" ca="1" si="36"/>
        <v>687500</v>
      </c>
      <c r="U178" s="61">
        <f t="shared" ca="1" si="37"/>
        <v>0</v>
      </c>
      <c r="V178" s="61">
        <f t="shared" ca="1" si="38"/>
        <v>78000</v>
      </c>
      <c r="W178" s="62">
        <f t="shared" ca="1" si="39"/>
        <v>109500</v>
      </c>
      <c r="X178" s="14"/>
    </row>
    <row r="179" spans="11:24" x14ac:dyDescent="0.3">
      <c r="K179" s="40">
        <v>175</v>
      </c>
      <c r="L179" s="39">
        <f t="shared" ca="1" si="29"/>
        <v>0.94286515629017509</v>
      </c>
      <c r="M179" s="39">
        <f t="shared" ca="1" si="30"/>
        <v>220</v>
      </c>
      <c r="N179" s="39">
        <f t="shared" ca="1" si="31"/>
        <v>0.94301135549767723</v>
      </c>
      <c r="O179" s="39">
        <f t="shared" ca="1" si="31"/>
        <v>0.54712157603621947</v>
      </c>
      <c r="P179" s="67">
        <f t="shared" ca="1" si="32"/>
        <v>0.34901329315338969</v>
      </c>
      <c r="Q179" s="56">
        <f t="shared" ca="1" si="33"/>
        <v>296.78292449374572</v>
      </c>
      <c r="R179" s="56">
        <f t="shared" ca="1" si="34"/>
        <v>297</v>
      </c>
      <c r="S179" s="56">
        <f t="shared" ca="1" si="35"/>
        <v>125</v>
      </c>
      <c r="T179" s="39">
        <f t="shared" ca="1" si="36"/>
        <v>687500</v>
      </c>
      <c r="U179" s="61">
        <f t="shared" ca="1" si="37"/>
        <v>0</v>
      </c>
      <c r="V179" s="61">
        <f t="shared" ca="1" si="38"/>
        <v>258000</v>
      </c>
      <c r="W179" s="62">
        <f t="shared" ca="1" si="39"/>
        <v>-70500</v>
      </c>
      <c r="X179" s="14"/>
    </row>
    <row r="180" spans="11:24" x14ac:dyDescent="0.3">
      <c r="K180" s="40">
        <v>176</v>
      </c>
      <c r="L180" s="39">
        <f t="shared" ca="1" si="29"/>
        <v>0.59909702144113652</v>
      </c>
      <c r="M180" s="39">
        <f t="shared" ca="1" si="30"/>
        <v>180</v>
      </c>
      <c r="N180" s="39">
        <f t="shared" ca="1" si="31"/>
        <v>2.5642095415839505E-2</v>
      </c>
      <c r="O180" s="39">
        <f t="shared" ca="1" si="31"/>
        <v>0.61132449874520411</v>
      </c>
      <c r="P180" s="67">
        <f t="shared" ca="1" si="32"/>
        <v>0.26369665941610437</v>
      </c>
      <c r="Q180" s="56">
        <f t="shared" ca="1" si="33"/>
        <v>227.46539869489879</v>
      </c>
      <c r="R180" s="56">
        <f t="shared" ca="1" si="34"/>
        <v>228</v>
      </c>
      <c r="S180" s="56">
        <f t="shared" ca="1" si="35"/>
        <v>125</v>
      </c>
      <c r="T180" s="39">
        <f t="shared" ca="1" si="36"/>
        <v>687500</v>
      </c>
      <c r="U180" s="61">
        <f t="shared" ca="1" si="37"/>
        <v>0</v>
      </c>
      <c r="V180" s="61">
        <f t="shared" ca="1" si="38"/>
        <v>154500</v>
      </c>
      <c r="W180" s="62">
        <f t="shared" ca="1" si="39"/>
        <v>33000</v>
      </c>
      <c r="X180" s="14"/>
    </row>
    <row r="181" spans="11:24" x14ac:dyDescent="0.3">
      <c r="K181" s="40">
        <v>177</v>
      </c>
      <c r="L181" s="39">
        <f t="shared" ca="1" si="29"/>
        <v>0.33023332977195918</v>
      </c>
      <c r="M181" s="39">
        <f t="shared" ca="1" si="30"/>
        <v>160</v>
      </c>
      <c r="N181" s="39">
        <f t="shared" ca="1" si="31"/>
        <v>0.98516484024109752</v>
      </c>
      <c r="O181" s="39">
        <f t="shared" ca="1" si="31"/>
        <v>0.11847542075170103</v>
      </c>
      <c r="P181" s="67">
        <f t="shared" ca="1" si="32"/>
        <v>0.31036402609927988</v>
      </c>
      <c r="Q181" s="56">
        <f t="shared" ca="1" si="33"/>
        <v>209.65824417588479</v>
      </c>
      <c r="R181" s="56">
        <f t="shared" ca="1" si="34"/>
        <v>210</v>
      </c>
      <c r="S181" s="56">
        <f t="shared" ca="1" si="35"/>
        <v>125</v>
      </c>
      <c r="T181" s="39">
        <f t="shared" ca="1" si="36"/>
        <v>687500</v>
      </c>
      <c r="U181" s="61">
        <f t="shared" ca="1" si="37"/>
        <v>0</v>
      </c>
      <c r="V181" s="61">
        <f t="shared" ca="1" si="38"/>
        <v>127500</v>
      </c>
      <c r="W181" s="62">
        <f t="shared" ca="1" si="39"/>
        <v>60000</v>
      </c>
      <c r="X181" s="14"/>
    </row>
    <row r="182" spans="11:24" x14ac:dyDescent="0.3">
      <c r="K182" s="40">
        <v>178</v>
      </c>
      <c r="L182" s="39">
        <f t="shared" ca="1" si="29"/>
        <v>0.6520561307977365</v>
      </c>
      <c r="M182" s="39">
        <f t="shared" ca="1" si="30"/>
        <v>200</v>
      </c>
      <c r="N182" s="39">
        <f t="shared" ca="1" si="31"/>
        <v>0.1948952357366055</v>
      </c>
      <c r="O182" s="39">
        <f t="shared" ca="1" si="31"/>
        <v>0.69408105477231707</v>
      </c>
      <c r="P182" s="67">
        <f t="shared" ca="1" si="32"/>
        <v>0.28889762905089228</v>
      </c>
      <c r="Q182" s="56">
        <f t="shared" ca="1" si="33"/>
        <v>257.77952581017848</v>
      </c>
      <c r="R182" s="56">
        <f t="shared" ca="1" si="34"/>
        <v>258</v>
      </c>
      <c r="S182" s="56">
        <f t="shared" ca="1" si="35"/>
        <v>125</v>
      </c>
      <c r="T182" s="39">
        <f t="shared" ca="1" si="36"/>
        <v>687500</v>
      </c>
      <c r="U182" s="61">
        <f t="shared" ca="1" si="37"/>
        <v>0</v>
      </c>
      <c r="V182" s="61">
        <f t="shared" ca="1" si="38"/>
        <v>199500</v>
      </c>
      <c r="W182" s="62">
        <f t="shared" ca="1" si="39"/>
        <v>-12000</v>
      </c>
      <c r="X182" s="14"/>
    </row>
    <row r="183" spans="11:24" x14ac:dyDescent="0.3">
      <c r="K183" s="40">
        <v>179</v>
      </c>
      <c r="L183" s="39">
        <f t="shared" ca="1" si="29"/>
        <v>1.4578439332168736E-2</v>
      </c>
      <c r="M183" s="39">
        <f t="shared" ca="1" si="30"/>
        <v>140</v>
      </c>
      <c r="N183" s="39">
        <f t="shared" ca="1" si="31"/>
        <v>0.52447325304857184</v>
      </c>
      <c r="O183" s="39">
        <f t="shared" ca="1" si="31"/>
        <v>0.23335964700688416</v>
      </c>
      <c r="P183" s="67">
        <f t="shared" ca="1" si="32"/>
        <v>0.27578329000554563</v>
      </c>
      <c r="Q183" s="56">
        <f t="shared" ca="1" si="33"/>
        <v>178.60966060077638</v>
      </c>
      <c r="R183" s="56">
        <f t="shared" ca="1" si="34"/>
        <v>179</v>
      </c>
      <c r="S183" s="56">
        <f t="shared" ca="1" si="35"/>
        <v>125</v>
      </c>
      <c r="T183" s="39">
        <f t="shared" ca="1" si="36"/>
        <v>687500</v>
      </c>
      <c r="U183" s="61">
        <f t="shared" ca="1" si="37"/>
        <v>0</v>
      </c>
      <c r="V183" s="61">
        <f t="shared" ca="1" si="38"/>
        <v>81000</v>
      </c>
      <c r="W183" s="62">
        <f t="shared" ca="1" si="39"/>
        <v>106500</v>
      </c>
      <c r="X183" s="14"/>
    </row>
    <row r="184" spans="11:24" x14ac:dyDescent="0.3">
      <c r="K184" s="40">
        <v>180</v>
      </c>
      <c r="L184" s="39">
        <f t="shared" ca="1" si="29"/>
        <v>0.4436098377929365</v>
      </c>
      <c r="M184" s="39">
        <f t="shared" ca="1" si="30"/>
        <v>160</v>
      </c>
      <c r="N184" s="39">
        <f t="shared" ca="1" si="31"/>
        <v>3.4230258057027729E-2</v>
      </c>
      <c r="O184" s="39">
        <f t="shared" ca="1" si="31"/>
        <v>0.87581476834966165</v>
      </c>
      <c r="P184" s="67">
        <f t="shared" ca="1" si="32"/>
        <v>0.29100450264066896</v>
      </c>
      <c r="Q184" s="56">
        <f t="shared" ca="1" si="33"/>
        <v>206.56072042250702</v>
      </c>
      <c r="R184" s="56">
        <f t="shared" ca="1" si="34"/>
        <v>207</v>
      </c>
      <c r="S184" s="56">
        <f t="shared" ca="1" si="35"/>
        <v>125</v>
      </c>
      <c r="T184" s="39">
        <f t="shared" ca="1" si="36"/>
        <v>687500</v>
      </c>
      <c r="U184" s="61">
        <f t="shared" ca="1" si="37"/>
        <v>0</v>
      </c>
      <c r="V184" s="61">
        <f t="shared" ca="1" si="38"/>
        <v>123000</v>
      </c>
      <c r="W184" s="62">
        <f t="shared" ca="1" si="39"/>
        <v>64500</v>
      </c>
      <c r="X184" s="14"/>
    </row>
    <row r="185" spans="11:24" x14ac:dyDescent="0.3">
      <c r="K185" s="40">
        <v>181</v>
      </c>
      <c r="L185" s="39">
        <f t="shared" ca="1" si="29"/>
        <v>0.54544867262165719</v>
      </c>
      <c r="M185" s="39">
        <f t="shared" ca="1" si="30"/>
        <v>180</v>
      </c>
      <c r="N185" s="39">
        <f t="shared" ca="1" si="31"/>
        <v>0.52732052768530235</v>
      </c>
      <c r="O185" s="39">
        <f t="shared" ca="1" si="31"/>
        <v>0.70876812836280545</v>
      </c>
      <c r="P185" s="67">
        <f t="shared" ca="1" si="32"/>
        <v>0.32360886560481084</v>
      </c>
      <c r="Q185" s="56">
        <f t="shared" ca="1" si="33"/>
        <v>238.24959580886593</v>
      </c>
      <c r="R185" s="56">
        <f t="shared" ca="1" si="34"/>
        <v>239</v>
      </c>
      <c r="S185" s="56">
        <f t="shared" ca="1" si="35"/>
        <v>125</v>
      </c>
      <c r="T185" s="39">
        <f t="shared" ca="1" si="36"/>
        <v>687500</v>
      </c>
      <c r="U185" s="61">
        <f t="shared" ca="1" si="37"/>
        <v>0</v>
      </c>
      <c r="V185" s="61">
        <f t="shared" ca="1" si="38"/>
        <v>171000</v>
      </c>
      <c r="W185" s="62">
        <f t="shared" ca="1" si="39"/>
        <v>16500</v>
      </c>
      <c r="X185" s="14"/>
    </row>
    <row r="186" spans="11:24" x14ac:dyDescent="0.3">
      <c r="K186" s="40">
        <v>182</v>
      </c>
      <c r="L186" s="39">
        <f t="shared" ca="1" si="29"/>
        <v>0.96544997085094453</v>
      </c>
      <c r="M186" s="39">
        <f t="shared" ca="1" si="30"/>
        <v>220</v>
      </c>
      <c r="N186" s="39">
        <f t="shared" ca="1" si="31"/>
        <v>0.26990676559728466</v>
      </c>
      <c r="O186" s="39">
        <f t="shared" ca="1" si="31"/>
        <v>0.9696897391231305</v>
      </c>
      <c r="P186" s="67">
        <f t="shared" ca="1" si="32"/>
        <v>0.32395965047204156</v>
      </c>
      <c r="Q186" s="56">
        <f t="shared" ca="1" si="33"/>
        <v>291.27112310384916</v>
      </c>
      <c r="R186" s="56">
        <f t="shared" ca="1" si="34"/>
        <v>292</v>
      </c>
      <c r="S186" s="56">
        <f t="shared" ca="1" si="35"/>
        <v>125</v>
      </c>
      <c r="T186" s="39">
        <f t="shared" ca="1" si="36"/>
        <v>687500</v>
      </c>
      <c r="U186" s="61">
        <f t="shared" ca="1" si="37"/>
        <v>0</v>
      </c>
      <c r="V186" s="61">
        <f t="shared" ca="1" si="38"/>
        <v>250500</v>
      </c>
      <c r="W186" s="62">
        <f t="shared" ca="1" si="39"/>
        <v>-63000</v>
      </c>
      <c r="X186" s="14"/>
    </row>
    <row r="187" spans="11:24" x14ac:dyDescent="0.3">
      <c r="K187" s="40">
        <v>183</v>
      </c>
      <c r="L187" s="39">
        <f t="shared" ca="1" si="29"/>
        <v>0.29267734838713977</v>
      </c>
      <c r="M187" s="39">
        <f t="shared" ca="1" si="30"/>
        <v>140</v>
      </c>
      <c r="N187" s="39">
        <f t="shared" ca="1" si="31"/>
        <v>0.36476613238958144</v>
      </c>
      <c r="O187" s="39">
        <f t="shared" ca="1" si="31"/>
        <v>0.46295431060087266</v>
      </c>
      <c r="P187" s="67">
        <f t="shared" ca="1" si="32"/>
        <v>0.28277204429904546</v>
      </c>
      <c r="Q187" s="56">
        <f t="shared" ca="1" si="33"/>
        <v>179.58808620186636</v>
      </c>
      <c r="R187" s="56">
        <f t="shared" ca="1" si="34"/>
        <v>180</v>
      </c>
      <c r="S187" s="56">
        <f t="shared" ca="1" si="35"/>
        <v>125</v>
      </c>
      <c r="T187" s="39">
        <f t="shared" ca="1" si="36"/>
        <v>687500</v>
      </c>
      <c r="U187" s="61">
        <f t="shared" ca="1" si="37"/>
        <v>0</v>
      </c>
      <c r="V187" s="61">
        <f t="shared" ca="1" si="38"/>
        <v>82500</v>
      </c>
      <c r="W187" s="62">
        <f t="shared" ca="1" si="39"/>
        <v>105000</v>
      </c>
      <c r="X187" s="14"/>
    </row>
    <row r="188" spans="11:24" x14ac:dyDescent="0.3">
      <c r="K188" s="40">
        <v>184</v>
      </c>
      <c r="L188" s="39">
        <f t="shared" ca="1" si="29"/>
        <v>0.96315518798442834</v>
      </c>
      <c r="M188" s="39">
        <f t="shared" ca="1" si="30"/>
        <v>220</v>
      </c>
      <c r="N188" s="39">
        <f t="shared" ca="1" si="31"/>
        <v>0.83415869350676686</v>
      </c>
      <c r="O188" s="39">
        <f t="shared" ca="1" si="31"/>
        <v>0.14266240576977218</v>
      </c>
      <c r="P188" s="67">
        <f t="shared" ca="1" si="32"/>
        <v>0.29768210992765393</v>
      </c>
      <c r="Q188" s="56">
        <f t="shared" ca="1" si="33"/>
        <v>285.49006418408385</v>
      </c>
      <c r="R188" s="56">
        <f t="shared" ca="1" si="34"/>
        <v>286</v>
      </c>
      <c r="S188" s="56">
        <f t="shared" ca="1" si="35"/>
        <v>125</v>
      </c>
      <c r="T188" s="39">
        <f t="shared" ca="1" si="36"/>
        <v>687500</v>
      </c>
      <c r="U188" s="61">
        <f t="shared" ca="1" si="37"/>
        <v>0</v>
      </c>
      <c r="V188" s="61">
        <f t="shared" ca="1" si="38"/>
        <v>241500</v>
      </c>
      <c r="W188" s="62">
        <f t="shared" ca="1" si="39"/>
        <v>-54000</v>
      </c>
      <c r="X188" s="14"/>
    </row>
    <row r="189" spans="11:24" x14ac:dyDescent="0.3">
      <c r="K189" s="40">
        <v>185</v>
      </c>
      <c r="L189" s="39">
        <f t="shared" ca="1" si="29"/>
        <v>0.46322375481787947</v>
      </c>
      <c r="M189" s="39">
        <f t="shared" ca="1" si="30"/>
        <v>160</v>
      </c>
      <c r="N189" s="39">
        <f t="shared" ca="1" si="31"/>
        <v>0.50277091355574821</v>
      </c>
      <c r="O189" s="39">
        <f t="shared" ca="1" si="31"/>
        <v>0.88272983424805618</v>
      </c>
      <c r="P189" s="67">
        <f t="shared" ca="1" si="32"/>
        <v>0.33855007478038046</v>
      </c>
      <c r="Q189" s="56">
        <f t="shared" ca="1" si="33"/>
        <v>214.16801196486088</v>
      </c>
      <c r="R189" s="56">
        <f t="shared" ca="1" si="34"/>
        <v>215</v>
      </c>
      <c r="S189" s="56">
        <f t="shared" ca="1" si="35"/>
        <v>125</v>
      </c>
      <c r="T189" s="39">
        <f t="shared" ca="1" si="36"/>
        <v>687500</v>
      </c>
      <c r="U189" s="61">
        <f t="shared" ca="1" si="37"/>
        <v>0</v>
      </c>
      <c r="V189" s="61">
        <f t="shared" ca="1" si="38"/>
        <v>135000</v>
      </c>
      <c r="W189" s="62">
        <f t="shared" ca="1" si="39"/>
        <v>52500</v>
      </c>
      <c r="X189" s="14"/>
    </row>
    <row r="190" spans="11:24" x14ac:dyDescent="0.3">
      <c r="K190" s="40">
        <v>186</v>
      </c>
      <c r="L190" s="39">
        <f t="shared" ca="1" si="29"/>
        <v>0.2995472242767927</v>
      </c>
      <c r="M190" s="39">
        <f t="shared" ca="1" si="30"/>
        <v>140</v>
      </c>
      <c r="N190" s="39">
        <f t="shared" ca="1" si="31"/>
        <v>0.67582231413613614</v>
      </c>
      <c r="O190" s="39">
        <f t="shared" ca="1" si="31"/>
        <v>0.44906830996700509</v>
      </c>
      <c r="P190" s="67">
        <f t="shared" ca="1" si="32"/>
        <v>0.31248906241031416</v>
      </c>
      <c r="Q190" s="56">
        <f t="shared" ca="1" si="33"/>
        <v>183.74846873744397</v>
      </c>
      <c r="R190" s="56">
        <f t="shared" ca="1" si="34"/>
        <v>184</v>
      </c>
      <c r="S190" s="56">
        <f t="shared" ca="1" si="35"/>
        <v>125</v>
      </c>
      <c r="T190" s="39">
        <f t="shared" ca="1" si="36"/>
        <v>687500</v>
      </c>
      <c r="U190" s="61">
        <f t="shared" ca="1" si="37"/>
        <v>0</v>
      </c>
      <c r="V190" s="61">
        <f t="shared" ca="1" si="38"/>
        <v>88500</v>
      </c>
      <c r="W190" s="62">
        <f t="shared" ca="1" si="39"/>
        <v>99000</v>
      </c>
      <c r="X190" s="14"/>
    </row>
    <row r="191" spans="11:24" x14ac:dyDescent="0.3">
      <c r="K191" s="40">
        <v>187</v>
      </c>
      <c r="L191" s="39">
        <f t="shared" ca="1" si="29"/>
        <v>9.9217741169503881E-3</v>
      </c>
      <c r="M191" s="39">
        <f t="shared" ca="1" si="30"/>
        <v>140</v>
      </c>
      <c r="N191" s="39">
        <f t="shared" ca="1" si="31"/>
        <v>0.60675625668126465</v>
      </c>
      <c r="O191" s="39">
        <f t="shared" ca="1" si="31"/>
        <v>0.62765502031599529</v>
      </c>
      <c r="P191" s="67">
        <f t="shared" ca="1" si="32"/>
        <v>0.32344112769972599</v>
      </c>
      <c r="Q191" s="56">
        <f t="shared" ca="1" si="33"/>
        <v>185.28175787796164</v>
      </c>
      <c r="R191" s="56">
        <f t="shared" ca="1" si="34"/>
        <v>186</v>
      </c>
      <c r="S191" s="56">
        <f t="shared" ca="1" si="35"/>
        <v>125</v>
      </c>
      <c r="T191" s="39">
        <f t="shared" ca="1" si="36"/>
        <v>687500</v>
      </c>
      <c r="U191" s="61">
        <f t="shared" ca="1" si="37"/>
        <v>0</v>
      </c>
      <c r="V191" s="61">
        <f t="shared" ca="1" si="38"/>
        <v>91500</v>
      </c>
      <c r="W191" s="62">
        <f t="shared" ca="1" si="39"/>
        <v>96000</v>
      </c>
      <c r="X191" s="14"/>
    </row>
    <row r="192" spans="11:24" x14ac:dyDescent="0.3">
      <c r="K192" s="40">
        <v>188</v>
      </c>
      <c r="L192" s="39">
        <f t="shared" ca="1" si="29"/>
        <v>0.67185644882279283</v>
      </c>
      <c r="M192" s="39">
        <f t="shared" ca="1" si="30"/>
        <v>200</v>
      </c>
      <c r="N192" s="39">
        <f t="shared" ca="1" si="31"/>
        <v>1.365661358621062E-2</v>
      </c>
      <c r="O192" s="39">
        <f t="shared" ca="1" si="31"/>
        <v>0.97411458796628425</v>
      </c>
      <c r="P192" s="67">
        <f t="shared" ca="1" si="32"/>
        <v>0.29877712015524949</v>
      </c>
      <c r="Q192" s="56">
        <f t="shared" ca="1" si="33"/>
        <v>259.75542403104987</v>
      </c>
      <c r="R192" s="56">
        <f t="shared" ca="1" si="34"/>
        <v>260</v>
      </c>
      <c r="S192" s="56">
        <f t="shared" ca="1" si="35"/>
        <v>125</v>
      </c>
      <c r="T192" s="39">
        <f t="shared" ca="1" si="36"/>
        <v>687500</v>
      </c>
      <c r="U192" s="61">
        <f t="shared" ca="1" si="37"/>
        <v>0</v>
      </c>
      <c r="V192" s="61">
        <f t="shared" ca="1" si="38"/>
        <v>202500</v>
      </c>
      <c r="W192" s="62">
        <f t="shared" ca="1" si="39"/>
        <v>-15000</v>
      </c>
      <c r="X192" s="14"/>
    </row>
    <row r="193" spans="11:24" x14ac:dyDescent="0.3">
      <c r="K193" s="40">
        <v>189</v>
      </c>
      <c r="L193" s="39">
        <f t="shared" ca="1" si="29"/>
        <v>0.18721795004147401</v>
      </c>
      <c r="M193" s="39">
        <f t="shared" ca="1" si="30"/>
        <v>140</v>
      </c>
      <c r="N193" s="39">
        <f t="shared" ca="1" si="31"/>
        <v>0.5116192181504251</v>
      </c>
      <c r="O193" s="39">
        <f t="shared" ca="1" si="31"/>
        <v>0.69741571350626663</v>
      </c>
      <c r="P193" s="67">
        <f t="shared" ca="1" si="32"/>
        <v>0.32090349316566918</v>
      </c>
      <c r="Q193" s="56">
        <f t="shared" ca="1" si="33"/>
        <v>184.92648904319367</v>
      </c>
      <c r="R193" s="56">
        <f t="shared" ca="1" si="34"/>
        <v>185</v>
      </c>
      <c r="S193" s="56">
        <f t="shared" ca="1" si="35"/>
        <v>125</v>
      </c>
      <c r="T193" s="39">
        <f t="shared" ca="1" si="36"/>
        <v>687500</v>
      </c>
      <c r="U193" s="61">
        <f t="shared" ca="1" si="37"/>
        <v>0</v>
      </c>
      <c r="V193" s="61">
        <f t="shared" ca="1" si="38"/>
        <v>90000</v>
      </c>
      <c r="W193" s="62">
        <f t="shared" ca="1" si="39"/>
        <v>97500</v>
      </c>
      <c r="X193" s="14"/>
    </row>
    <row r="194" spans="11:24" x14ac:dyDescent="0.3">
      <c r="K194" s="40">
        <v>190</v>
      </c>
      <c r="L194" s="39">
        <f t="shared" ca="1" si="29"/>
        <v>0.83293746427737458</v>
      </c>
      <c r="M194" s="39">
        <f t="shared" ca="1" si="30"/>
        <v>200</v>
      </c>
      <c r="N194" s="39">
        <f t="shared" ca="1" si="31"/>
        <v>0.42957594747934569</v>
      </c>
      <c r="O194" s="39">
        <f t="shared" ca="1" si="31"/>
        <v>0.85194682419379963</v>
      </c>
      <c r="P194" s="67">
        <f t="shared" ca="1" si="32"/>
        <v>0.32815227716731454</v>
      </c>
      <c r="Q194" s="56">
        <f t="shared" ca="1" si="33"/>
        <v>265.63045543346288</v>
      </c>
      <c r="R194" s="56">
        <f t="shared" ca="1" si="34"/>
        <v>266</v>
      </c>
      <c r="S194" s="56">
        <f t="shared" ca="1" si="35"/>
        <v>125</v>
      </c>
      <c r="T194" s="39">
        <f t="shared" ca="1" si="36"/>
        <v>687500</v>
      </c>
      <c r="U194" s="61">
        <f t="shared" ca="1" si="37"/>
        <v>0</v>
      </c>
      <c r="V194" s="61">
        <f t="shared" ca="1" si="38"/>
        <v>211500</v>
      </c>
      <c r="W194" s="62">
        <f t="shared" ca="1" si="39"/>
        <v>-24000</v>
      </c>
      <c r="X194" s="14"/>
    </row>
    <row r="195" spans="11:24" x14ac:dyDescent="0.3">
      <c r="K195" s="40">
        <v>191</v>
      </c>
      <c r="L195" s="39">
        <f t="shared" ca="1" si="29"/>
        <v>9.5054209922567301E-2</v>
      </c>
      <c r="M195" s="39">
        <f t="shared" ca="1" si="30"/>
        <v>140</v>
      </c>
      <c r="N195" s="39">
        <f t="shared" ca="1" si="31"/>
        <v>0.77930274080032358</v>
      </c>
      <c r="O195" s="39">
        <f t="shared" ca="1" si="31"/>
        <v>0.49285775971062173</v>
      </c>
      <c r="P195" s="67">
        <f t="shared" ca="1" si="32"/>
        <v>0.32721605005109455</v>
      </c>
      <c r="Q195" s="56">
        <f t="shared" ca="1" si="33"/>
        <v>185.81024700715324</v>
      </c>
      <c r="R195" s="56">
        <f t="shared" ca="1" si="34"/>
        <v>186</v>
      </c>
      <c r="S195" s="56">
        <f t="shared" ca="1" si="35"/>
        <v>125</v>
      </c>
      <c r="T195" s="39">
        <f t="shared" ca="1" si="36"/>
        <v>687500</v>
      </c>
      <c r="U195" s="61">
        <f t="shared" ca="1" si="37"/>
        <v>0</v>
      </c>
      <c r="V195" s="61">
        <f t="shared" ca="1" si="38"/>
        <v>91500</v>
      </c>
      <c r="W195" s="62">
        <f t="shared" ca="1" si="39"/>
        <v>96000</v>
      </c>
      <c r="X195" s="14"/>
    </row>
    <row r="196" spans="11:24" x14ac:dyDescent="0.3">
      <c r="K196" s="40">
        <v>192</v>
      </c>
      <c r="L196" s="39">
        <f t="shared" ca="1" si="29"/>
        <v>0.26306918008585689</v>
      </c>
      <c r="M196" s="39">
        <f t="shared" ca="1" si="30"/>
        <v>140</v>
      </c>
      <c r="N196" s="39">
        <f t="shared" ca="1" si="31"/>
        <v>0.81541169887755161</v>
      </c>
      <c r="O196" s="39">
        <f t="shared" ca="1" si="31"/>
        <v>0.67064576883042015</v>
      </c>
      <c r="P196" s="67">
        <f t="shared" ca="1" si="32"/>
        <v>0.34860574677079714</v>
      </c>
      <c r="Q196" s="56">
        <f t="shared" ca="1" si="33"/>
        <v>188.8048045479116</v>
      </c>
      <c r="R196" s="56">
        <f t="shared" ca="1" si="34"/>
        <v>189</v>
      </c>
      <c r="S196" s="56">
        <f t="shared" ca="1" si="35"/>
        <v>125</v>
      </c>
      <c r="T196" s="39">
        <f t="shared" ca="1" si="36"/>
        <v>687500</v>
      </c>
      <c r="U196" s="61">
        <f t="shared" ca="1" si="37"/>
        <v>0</v>
      </c>
      <c r="V196" s="61">
        <f t="shared" ca="1" si="38"/>
        <v>96000</v>
      </c>
      <c r="W196" s="62">
        <f t="shared" ca="1" si="39"/>
        <v>91500</v>
      </c>
      <c r="X196" s="14"/>
    </row>
    <row r="197" spans="11:24" x14ac:dyDescent="0.3">
      <c r="K197" s="40">
        <v>193</v>
      </c>
      <c r="L197" s="39">
        <f t="shared" ca="1" si="29"/>
        <v>0.39967588447155555</v>
      </c>
      <c r="M197" s="39">
        <f t="shared" ca="1" si="30"/>
        <v>160</v>
      </c>
      <c r="N197" s="39">
        <f t="shared" ca="1" si="31"/>
        <v>9.1294975387911093E-3</v>
      </c>
      <c r="O197" s="39">
        <f t="shared" ca="1" si="31"/>
        <v>0.71508547441983317</v>
      </c>
      <c r="P197" s="67">
        <f t="shared" ca="1" si="32"/>
        <v>0.27242149719586245</v>
      </c>
      <c r="Q197" s="56">
        <f t="shared" ca="1" si="33"/>
        <v>203.58743955133798</v>
      </c>
      <c r="R197" s="56">
        <f t="shared" ca="1" si="34"/>
        <v>204</v>
      </c>
      <c r="S197" s="56">
        <f t="shared" ca="1" si="35"/>
        <v>125</v>
      </c>
      <c r="T197" s="39">
        <f t="shared" ca="1" si="36"/>
        <v>687500</v>
      </c>
      <c r="U197" s="61">
        <f t="shared" ca="1" si="37"/>
        <v>0</v>
      </c>
      <c r="V197" s="61">
        <f t="shared" ca="1" si="38"/>
        <v>118500</v>
      </c>
      <c r="W197" s="62">
        <f t="shared" ca="1" si="39"/>
        <v>69000</v>
      </c>
      <c r="X197" s="14"/>
    </row>
    <row r="198" spans="11:24" x14ac:dyDescent="0.3">
      <c r="K198" s="40">
        <v>194</v>
      </c>
      <c r="L198" s="39">
        <f t="shared" ref="L198:L204" ca="1" si="40">RAND()</f>
        <v>0.12455210801403405</v>
      </c>
      <c r="M198" s="39">
        <f t="shared" ref="M198:M204" ca="1" si="41">VLOOKUP(L198,$C$5:$E$9,3,TRUE)</f>
        <v>140</v>
      </c>
      <c r="N198" s="39">
        <f t="shared" ref="N198:O204" ca="1" si="42">RAND()</f>
        <v>0.40761119620489028</v>
      </c>
      <c r="O198" s="39">
        <f t="shared" ca="1" si="42"/>
        <v>0.56800093875621904</v>
      </c>
      <c r="P198" s="67">
        <f t="shared" ref="P198:P204" ca="1" si="43">$E$11+($E$12-$E$11)/2*(N198+O198)</f>
        <v>0.29756121349611098</v>
      </c>
      <c r="Q198" s="56">
        <f t="shared" ref="Q198:Q204" ca="1" si="44">M198+(M198*P198)</f>
        <v>181.65856988945552</v>
      </c>
      <c r="R198" s="56">
        <f t="shared" ref="R198:R204" ca="1" si="45">ROUNDUP(Q198,0)</f>
        <v>182</v>
      </c>
      <c r="S198" s="56">
        <f t="shared" ref="S198:S204" ca="1" si="46">MIN(R198,$M$1)</f>
        <v>125</v>
      </c>
      <c r="T198" s="39">
        <f t="shared" ref="T198:T204" ca="1" si="47">S198*$B$14</f>
        <v>687500</v>
      </c>
      <c r="U198" s="61">
        <f t="shared" ref="U198:U204" ca="1" si="48">($M$1-S198)*$B$15</f>
        <v>0</v>
      </c>
      <c r="V198" s="61">
        <f t="shared" ref="V198:V204" ca="1" si="49">IF(R198&gt;$M$1,(R198-$M$1)*1500,0)</f>
        <v>85500</v>
      </c>
      <c r="W198" s="62">
        <f t="shared" ref="W198:W204" ca="1" si="50">U198+T198-$M$2-V198</f>
        <v>102000</v>
      </c>
      <c r="X198" s="14"/>
    </row>
    <row r="199" spans="11:24" x14ac:dyDescent="0.3">
      <c r="K199" s="40">
        <v>195</v>
      </c>
      <c r="L199" s="39">
        <f t="shared" ca="1" si="40"/>
        <v>7.7265674633473225E-2</v>
      </c>
      <c r="M199" s="39">
        <f t="shared" ca="1" si="41"/>
        <v>140</v>
      </c>
      <c r="N199" s="39">
        <f t="shared" ca="1" si="42"/>
        <v>0.81941848751911828</v>
      </c>
      <c r="O199" s="39">
        <f t="shared" ca="1" si="42"/>
        <v>0.3205101245041605</v>
      </c>
      <c r="P199" s="67">
        <f t="shared" ca="1" si="43"/>
        <v>0.31399286120232789</v>
      </c>
      <c r="Q199" s="56">
        <f t="shared" ca="1" si="44"/>
        <v>183.95900056832591</v>
      </c>
      <c r="R199" s="56">
        <f t="shared" ca="1" si="45"/>
        <v>184</v>
      </c>
      <c r="S199" s="56">
        <f t="shared" ca="1" si="46"/>
        <v>125</v>
      </c>
      <c r="T199" s="39">
        <f t="shared" ca="1" si="47"/>
        <v>687500</v>
      </c>
      <c r="U199" s="61">
        <f t="shared" ca="1" si="48"/>
        <v>0</v>
      </c>
      <c r="V199" s="61">
        <f t="shared" ca="1" si="49"/>
        <v>88500</v>
      </c>
      <c r="W199" s="62">
        <f t="shared" ca="1" si="50"/>
        <v>99000</v>
      </c>
      <c r="X199" s="14"/>
    </row>
    <row r="200" spans="11:24" x14ac:dyDescent="0.3">
      <c r="K200" s="40">
        <v>196</v>
      </c>
      <c r="L200" s="39">
        <f t="shared" ca="1" si="40"/>
        <v>0.53415875312374161</v>
      </c>
      <c r="M200" s="39">
        <f t="shared" ca="1" si="41"/>
        <v>180</v>
      </c>
      <c r="N200" s="39">
        <f t="shared" ca="1" si="42"/>
        <v>0.95766002387982074</v>
      </c>
      <c r="O200" s="39">
        <f t="shared" ca="1" si="42"/>
        <v>0.86254784132368878</v>
      </c>
      <c r="P200" s="67">
        <f t="shared" ca="1" si="43"/>
        <v>0.38202078652035099</v>
      </c>
      <c r="Q200" s="56">
        <f t="shared" ca="1" si="44"/>
        <v>248.7637415736632</v>
      </c>
      <c r="R200" s="56">
        <f t="shared" ca="1" si="45"/>
        <v>249</v>
      </c>
      <c r="S200" s="56">
        <f t="shared" ca="1" si="46"/>
        <v>125</v>
      </c>
      <c r="T200" s="39">
        <f t="shared" ca="1" si="47"/>
        <v>687500</v>
      </c>
      <c r="U200" s="61">
        <f t="shared" ca="1" si="48"/>
        <v>0</v>
      </c>
      <c r="V200" s="61">
        <f t="shared" ca="1" si="49"/>
        <v>186000</v>
      </c>
      <c r="W200" s="62">
        <f t="shared" ca="1" si="50"/>
        <v>1500</v>
      </c>
      <c r="X200" s="14"/>
    </row>
    <row r="201" spans="11:24" x14ac:dyDescent="0.3">
      <c r="K201" s="40">
        <v>197</v>
      </c>
      <c r="L201" s="39">
        <f t="shared" ca="1" si="40"/>
        <v>0.9172129597275176</v>
      </c>
      <c r="M201" s="39">
        <f t="shared" ca="1" si="41"/>
        <v>220</v>
      </c>
      <c r="N201" s="39">
        <f t="shared" ca="1" si="42"/>
        <v>0.50735118672601298</v>
      </c>
      <c r="O201" s="39">
        <f t="shared" ca="1" si="42"/>
        <v>0.753721778551942</v>
      </c>
      <c r="P201" s="67">
        <f t="shared" ca="1" si="43"/>
        <v>0.32610729652779546</v>
      </c>
      <c r="Q201" s="56">
        <f t="shared" ca="1" si="44"/>
        <v>291.743605236115</v>
      </c>
      <c r="R201" s="56">
        <f t="shared" ca="1" si="45"/>
        <v>292</v>
      </c>
      <c r="S201" s="56">
        <f t="shared" ca="1" si="46"/>
        <v>125</v>
      </c>
      <c r="T201" s="39">
        <f t="shared" ca="1" si="47"/>
        <v>687500</v>
      </c>
      <c r="U201" s="61">
        <f t="shared" ca="1" si="48"/>
        <v>0</v>
      </c>
      <c r="V201" s="61">
        <f t="shared" ca="1" si="49"/>
        <v>250500</v>
      </c>
      <c r="W201" s="62">
        <f t="shared" ca="1" si="50"/>
        <v>-63000</v>
      </c>
      <c r="X201" s="14"/>
    </row>
    <row r="202" spans="11:24" x14ac:dyDescent="0.3">
      <c r="K202" s="40">
        <v>198</v>
      </c>
      <c r="L202" s="39">
        <f t="shared" ca="1" si="40"/>
        <v>6.9274748587094481E-2</v>
      </c>
      <c r="M202" s="39">
        <f t="shared" ca="1" si="41"/>
        <v>140</v>
      </c>
      <c r="N202" s="39">
        <f t="shared" ca="1" si="42"/>
        <v>0.50998941067320458</v>
      </c>
      <c r="O202" s="39">
        <f t="shared" ca="1" si="42"/>
        <v>0.9659795961600437</v>
      </c>
      <c r="P202" s="67">
        <f t="shared" ca="1" si="43"/>
        <v>0.34759690068332483</v>
      </c>
      <c r="Q202" s="56">
        <f t="shared" ca="1" si="44"/>
        <v>188.66356609566549</v>
      </c>
      <c r="R202" s="56">
        <f t="shared" ca="1" si="45"/>
        <v>189</v>
      </c>
      <c r="S202" s="56">
        <f t="shared" ca="1" si="46"/>
        <v>125</v>
      </c>
      <c r="T202" s="39">
        <f t="shared" ca="1" si="47"/>
        <v>687500</v>
      </c>
      <c r="U202" s="61">
        <f t="shared" ca="1" si="48"/>
        <v>0</v>
      </c>
      <c r="V202" s="61">
        <f t="shared" ca="1" si="49"/>
        <v>96000</v>
      </c>
      <c r="W202" s="62">
        <f t="shared" ca="1" si="50"/>
        <v>91500</v>
      </c>
      <c r="X202" s="14"/>
    </row>
    <row r="203" spans="11:24" x14ac:dyDescent="0.3">
      <c r="K203" s="40">
        <v>199</v>
      </c>
      <c r="L203" s="39">
        <f t="shared" ca="1" si="40"/>
        <v>0.58343249411556497</v>
      </c>
      <c r="M203" s="39">
        <f t="shared" ca="1" si="41"/>
        <v>180</v>
      </c>
      <c r="N203" s="39">
        <f t="shared" ca="1" si="42"/>
        <v>0.32953435593671765</v>
      </c>
      <c r="O203" s="39">
        <f t="shared" ca="1" si="42"/>
        <v>0.80088692520491955</v>
      </c>
      <c r="P203" s="67">
        <f t="shared" ca="1" si="43"/>
        <v>0.31304212811416376</v>
      </c>
      <c r="Q203" s="56">
        <f t="shared" ca="1" si="44"/>
        <v>236.34758306054948</v>
      </c>
      <c r="R203" s="56">
        <f t="shared" ca="1" si="45"/>
        <v>237</v>
      </c>
      <c r="S203" s="56">
        <f t="shared" ca="1" si="46"/>
        <v>125</v>
      </c>
      <c r="T203" s="39">
        <f t="shared" ca="1" si="47"/>
        <v>687500</v>
      </c>
      <c r="U203" s="61">
        <f t="shared" ca="1" si="48"/>
        <v>0</v>
      </c>
      <c r="V203" s="61">
        <f t="shared" ca="1" si="49"/>
        <v>168000</v>
      </c>
      <c r="W203" s="62">
        <f t="shared" ca="1" si="50"/>
        <v>19500</v>
      </c>
      <c r="X203" s="14"/>
    </row>
    <row r="204" spans="11:24" x14ac:dyDescent="0.3">
      <c r="K204" s="41">
        <v>200</v>
      </c>
      <c r="L204" s="39">
        <f t="shared" ca="1" si="40"/>
        <v>0.34741487493992051</v>
      </c>
      <c r="M204" s="39">
        <f t="shared" ca="1" si="41"/>
        <v>160</v>
      </c>
      <c r="N204" s="39">
        <f t="shared" ca="1" si="42"/>
        <v>0.80113288032715813</v>
      </c>
      <c r="O204" s="39">
        <f t="shared" ca="1" si="42"/>
        <v>0.90061211115809081</v>
      </c>
      <c r="P204" s="67">
        <f t="shared" ca="1" si="43"/>
        <v>0.3701744991485249</v>
      </c>
      <c r="Q204" s="56">
        <f t="shared" ca="1" si="44"/>
        <v>219.22791986376399</v>
      </c>
      <c r="R204" s="56">
        <f t="shared" ca="1" si="45"/>
        <v>220</v>
      </c>
      <c r="S204" s="56">
        <f t="shared" ca="1" si="46"/>
        <v>125</v>
      </c>
      <c r="T204" s="39">
        <f t="shared" ca="1" si="47"/>
        <v>687500</v>
      </c>
      <c r="U204" s="61">
        <f t="shared" ca="1" si="48"/>
        <v>0</v>
      </c>
      <c r="V204" s="61">
        <f t="shared" ca="1" si="49"/>
        <v>142500</v>
      </c>
      <c r="W204" s="62">
        <f t="shared" ca="1" si="50"/>
        <v>45000</v>
      </c>
      <c r="X204" s="14"/>
    </row>
    <row r="205" spans="11:24" x14ac:dyDescent="0.3">
      <c r="X205" s="15"/>
    </row>
    <row r="206" spans="11:24" x14ac:dyDescent="0.3">
      <c r="U206"/>
      <c r="V206"/>
      <c r="W206"/>
      <c r="X206"/>
    </row>
    <row r="207" spans="11:24" x14ac:dyDescent="0.3">
      <c r="U207"/>
      <c r="V207"/>
      <c r="W207"/>
      <c r="X207"/>
    </row>
    <row r="208" spans="11:24" x14ac:dyDescent="0.3">
      <c r="U208"/>
      <c r="V208"/>
      <c r="W208"/>
      <c r="X208"/>
    </row>
    <row r="209" spans="21:24" x14ac:dyDescent="0.3">
      <c r="U209"/>
      <c r="V209"/>
      <c r="W209"/>
      <c r="X209"/>
    </row>
    <row r="210" spans="21:24" x14ac:dyDescent="0.3">
      <c r="U210"/>
      <c r="V210"/>
      <c r="W210"/>
      <c r="X210"/>
    </row>
    <row r="211" spans="21:24" x14ac:dyDescent="0.3">
      <c r="U211"/>
      <c r="V211"/>
      <c r="W211"/>
      <c r="X211"/>
    </row>
    <row r="212" spans="21:24" x14ac:dyDescent="0.3">
      <c r="U212"/>
      <c r="V212"/>
      <c r="W212"/>
      <c r="X212"/>
    </row>
    <row r="213" spans="21:24" x14ac:dyDescent="0.3">
      <c r="U213"/>
      <c r="V213"/>
      <c r="W213"/>
      <c r="X213"/>
    </row>
    <row r="214" spans="21:24" x14ac:dyDescent="0.3">
      <c r="U214"/>
      <c r="V214"/>
      <c r="W214"/>
      <c r="X214"/>
    </row>
    <row r="215" spans="21:24" x14ac:dyDescent="0.3">
      <c r="U215"/>
      <c r="V215"/>
      <c r="W215"/>
      <c r="X215"/>
    </row>
    <row r="216" spans="21:24" x14ac:dyDescent="0.3">
      <c r="U216"/>
      <c r="V216"/>
      <c r="W216"/>
      <c r="X216"/>
    </row>
    <row r="217" spans="21:24" x14ac:dyDescent="0.3">
      <c r="U217"/>
      <c r="V217"/>
      <c r="W217"/>
      <c r="X217"/>
    </row>
  </sheetData>
  <mergeCells count="8">
    <mergeCell ref="A26:B26"/>
    <mergeCell ref="A27:B27"/>
    <mergeCell ref="AC4:AL4"/>
    <mergeCell ref="A20:B20"/>
    <mergeCell ref="A21:B21"/>
    <mergeCell ref="A23:B23"/>
    <mergeCell ref="A24:B24"/>
    <mergeCell ref="A25:B25"/>
  </mergeCells>
  <pageMargins left="0.75" right="0.75" top="1" bottom="1" header="0.5" footer="0.5"/>
  <pageSetup paperSize="9" orientation="portrait" horizontalDpi="4294967294" verticalDpi="12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94"/>
  <sheetViews>
    <sheetView workbookViewId="0">
      <selection activeCell="I13" sqref="I13"/>
    </sheetView>
  </sheetViews>
  <sheetFormatPr defaultRowHeight="15.6" x14ac:dyDescent="0.3"/>
  <sheetData>
    <row r="1" spans="1:1" x14ac:dyDescent="0.3">
      <c r="A1" s="68" t="s">
        <v>53</v>
      </c>
    </row>
    <row r="3" spans="1:1" x14ac:dyDescent="0.3">
      <c r="A3" s="69" t="s">
        <v>54</v>
      </c>
    </row>
    <row r="4" spans="1:1" x14ac:dyDescent="0.3">
      <c r="A4" s="69" t="s">
        <v>55</v>
      </c>
    </row>
    <row r="6" spans="1:1" x14ac:dyDescent="0.3">
      <c r="A6" s="68" t="s">
        <v>50</v>
      </c>
    </row>
    <row r="8" spans="1:1" x14ac:dyDescent="0.3">
      <c r="A8" s="69" t="s">
        <v>56</v>
      </c>
    </row>
    <row r="9" spans="1:1" x14ac:dyDescent="0.3">
      <c r="A9" s="69" t="s">
        <v>57</v>
      </c>
    </row>
    <row r="10" spans="1:1" x14ac:dyDescent="0.3">
      <c r="A10" s="69" t="s">
        <v>58</v>
      </c>
    </row>
    <row r="11" spans="1:1" x14ac:dyDescent="0.3">
      <c r="A11" s="69" t="s">
        <v>69</v>
      </c>
    </row>
    <row r="12" spans="1:1" x14ac:dyDescent="0.3">
      <c r="A12" s="69" t="s">
        <v>70</v>
      </c>
    </row>
    <row r="14" spans="1:1" x14ac:dyDescent="0.3">
      <c r="A14" s="68" t="s">
        <v>51</v>
      </c>
    </row>
    <row r="16" spans="1:1" x14ac:dyDescent="0.3">
      <c r="A16" s="69" t="s">
        <v>61</v>
      </c>
    </row>
    <row r="17" spans="1:21" x14ac:dyDescent="0.3">
      <c r="A17" s="69" t="s">
        <v>62</v>
      </c>
    </row>
    <row r="19" spans="1:21" x14ac:dyDescent="0.3">
      <c r="A19" s="68" t="s">
        <v>52</v>
      </c>
    </row>
    <row r="21" spans="1:21" x14ac:dyDescent="0.3">
      <c r="A21" s="69" t="s">
        <v>63</v>
      </c>
    </row>
    <row r="22" spans="1:21" x14ac:dyDescent="0.3">
      <c r="A22" s="69"/>
    </row>
    <row r="23" spans="1:21" x14ac:dyDescent="0.3">
      <c r="J23" s="72" t="s">
        <v>66</v>
      </c>
      <c r="K23" s="72">
        <f>'Basic Simulation'!M1</f>
        <v>125</v>
      </c>
    </row>
    <row r="24" spans="1:21" x14ac:dyDescent="0.3">
      <c r="A24" s="76" t="s">
        <v>64</v>
      </c>
      <c r="B24" s="77"/>
      <c r="C24" s="77"/>
      <c r="D24" s="77"/>
      <c r="E24" s="77"/>
      <c r="F24" s="77"/>
      <c r="G24" s="77"/>
      <c r="H24" s="77"/>
      <c r="I24" s="77"/>
      <c r="J24" s="78"/>
      <c r="K24" s="79" t="s">
        <v>65</v>
      </c>
      <c r="L24" s="77"/>
      <c r="M24" s="77"/>
      <c r="N24" s="77"/>
      <c r="O24" s="77"/>
      <c r="P24" s="77"/>
      <c r="Q24" s="77"/>
      <c r="R24" s="77"/>
      <c r="S24" s="77"/>
      <c r="T24" s="77"/>
      <c r="U24" s="77"/>
    </row>
    <row r="25" spans="1:21" x14ac:dyDescent="0.3">
      <c r="J25" s="71"/>
    </row>
    <row r="26" spans="1:21" x14ac:dyDescent="0.3">
      <c r="J26" s="71"/>
    </row>
    <row r="27" spans="1:21" x14ac:dyDescent="0.3">
      <c r="J27" s="71"/>
    </row>
    <row r="28" spans="1:21" x14ac:dyDescent="0.3">
      <c r="J28" s="71"/>
    </row>
    <row r="29" spans="1:21" x14ac:dyDescent="0.3">
      <c r="J29" s="71"/>
    </row>
    <row r="30" spans="1:21" x14ac:dyDescent="0.3">
      <c r="J30" s="71"/>
    </row>
    <row r="31" spans="1:21" x14ac:dyDescent="0.3">
      <c r="J31" s="71"/>
    </row>
    <row r="32" spans="1:21" x14ac:dyDescent="0.3">
      <c r="J32" s="71"/>
    </row>
    <row r="33" spans="10:10" x14ac:dyDescent="0.3">
      <c r="J33" s="71"/>
    </row>
    <row r="34" spans="10:10" x14ac:dyDescent="0.3">
      <c r="J34" s="71"/>
    </row>
    <row r="35" spans="10:10" x14ac:dyDescent="0.3">
      <c r="J35" s="71"/>
    </row>
    <row r="36" spans="10:10" x14ac:dyDescent="0.3">
      <c r="J36" s="71"/>
    </row>
    <row r="37" spans="10:10" x14ac:dyDescent="0.3">
      <c r="J37" s="71"/>
    </row>
    <row r="38" spans="10:10" x14ac:dyDescent="0.3">
      <c r="J38" s="71"/>
    </row>
    <row r="39" spans="10:10" x14ac:dyDescent="0.3">
      <c r="J39" s="71"/>
    </row>
    <row r="40" spans="10:10" x14ac:dyDescent="0.3">
      <c r="J40" s="71"/>
    </row>
    <row r="41" spans="10:10" x14ac:dyDescent="0.3">
      <c r="J41" s="71"/>
    </row>
    <row r="42" spans="10:10" x14ac:dyDescent="0.3">
      <c r="J42" s="71"/>
    </row>
    <row r="43" spans="10:10" x14ac:dyDescent="0.3">
      <c r="J43" s="71"/>
    </row>
    <row r="44" spans="10:10" x14ac:dyDescent="0.3">
      <c r="J44" s="71"/>
    </row>
    <row r="45" spans="10:10" x14ac:dyDescent="0.3">
      <c r="J45" s="71"/>
    </row>
    <row r="46" spans="10:10" x14ac:dyDescent="0.3">
      <c r="J46" s="71"/>
    </row>
    <row r="47" spans="10:10" x14ac:dyDescent="0.3">
      <c r="J47" s="71"/>
    </row>
    <row r="48" spans="10:10" x14ac:dyDescent="0.3">
      <c r="J48" s="71"/>
    </row>
    <row r="49" spans="10:10" x14ac:dyDescent="0.3">
      <c r="J49" s="71"/>
    </row>
    <row r="50" spans="10:10" x14ac:dyDescent="0.3">
      <c r="J50" s="71"/>
    </row>
    <row r="51" spans="10:10" x14ac:dyDescent="0.3">
      <c r="J51" s="71"/>
    </row>
    <row r="52" spans="10:10" x14ac:dyDescent="0.3">
      <c r="J52" s="71"/>
    </row>
    <row r="53" spans="10:10" x14ac:dyDescent="0.3">
      <c r="J53" s="71"/>
    </row>
    <row r="54" spans="10:10" x14ac:dyDescent="0.3">
      <c r="J54" s="71"/>
    </row>
    <row r="55" spans="10:10" x14ac:dyDescent="0.3">
      <c r="J55" s="71"/>
    </row>
    <row r="56" spans="10:10" x14ac:dyDescent="0.3">
      <c r="J56" s="71"/>
    </row>
    <row r="57" spans="10:10" x14ac:dyDescent="0.3">
      <c r="J57" s="71"/>
    </row>
    <row r="58" spans="10:10" x14ac:dyDescent="0.3">
      <c r="J58" s="71"/>
    </row>
    <row r="59" spans="10:10" x14ac:dyDescent="0.3">
      <c r="J59" s="71"/>
    </row>
    <row r="60" spans="10:10" x14ac:dyDescent="0.3">
      <c r="J60" s="71"/>
    </row>
    <row r="61" spans="10:10" x14ac:dyDescent="0.3">
      <c r="J61" s="71"/>
    </row>
    <row r="62" spans="10:10" x14ac:dyDescent="0.3">
      <c r="J62" s="71"/>
    </row>
    <row r="63" spans="10:10" x14ac:dyDescent="0.3">
      <c r="J63" s="71"/>
    </row>
    <row r="64" spans="10:10" x14ac:dyDescent="0.3">
      <c r="J64" s="71"/>
    </row>
    <row r="65" spans="10:10" x14ac:dyDescent="0.3">
      <c r="J65" s="71"/>
    </row>
    <row r="66" spans="10:10" x14ac:dyDescent="0.3">
      <c r="J66" s="71"/>
    </row>
    <row r="67" spans="10:10" x14ac:dyDescent="0.3">
      <c r="J67" s="71"/>
    </row>
    <row r="68" spans="10:10" x14ac:dyDescent="0.3">
      <c r="J68" s="71"/>
    </row>
    <row r="69" spans="10:10" x14ac:dyDescent="0.3">
      <c r="J69" s="71"/>
    </row>
    <row r="70" spans="10:10" x14ac:dyDescent="0.3">
      <c r="J70" s="71"/>
    </row>
    <row r="71" spans="10:10" x14ac:dyDescent="0.3">
      <c r="J71" s="71"/>
    </row>
    <row r="72" spans="10:10" x14ac:dyDescent="0.3">
      <c r="J72" s="71"/>
    </row>
    <row r="73" spans="10:10" x14ac:dyDescent="0.3">
      <c r="J73" s="71"/>
    </row>
    <row r="74" spans="10:10" x14ac:dyDescent="0.3">
      <c r="J74" s="71"/>
    </row>
    <row r="75" spans="10:10" x14ac:dyDescent="0.3">
      <c r="J75" s="71"/>
    </row>
    <row r="76" spans="10:10" x14ac:dyDescent="0.3">
      <c r="J76" s="71"/>
    </row>
    <row r="77" spans="10:10" x14ac:dyDescent="0.3">
      <c r="J77" s="71"/>
    </row>
    <row r="78" spans="10:10" x14ac:dyDescent="0.3">
      <c r="J78" s="71"/>
    </row>
    <row r="79" spans="10:10" x14ac:dyDescent="0.3">
      <c r="J79" s="71"/>
    </row>
    <row r="80" spans="10:10" x14ac:dyDescent="0.3">
      <c r="J80" s="71"/>
    </row>
    <row r="81" spans="1:21" x14ac:dyDescent="0.3">
      <c r="J81" s="71"/>
    </row>
    <row r="82" spans="1:21" x14ac:dyDescent="0.3">
      <c r="J82" s="71"/>
    </row>
    <row r="83" spans="1:21" x14ac:dyDescent="0.3">
      <c r="J83" s="71"/>
    </row>
    <row r="84" spans="1:21" x14ac:dyDescent="0.3">
      <c r="J84" s="71"/>
    </row>
    <row r="85" spans="1:21" x14ac:dyDescent="0.3">
      <c r="J85" s="71"/>
    </row>
    <row r="86" spans="1:21" x14ac:dyDescent="0.3">
      <c r="J86" s="71"/>
    </row>
    <row r="87" spans="1:21" x14ac:dyDescent="0.3">
      <c r="J87" s="71"/>
    </row>
    <row r="88" spans="1:21" x14ac:dyDescent="0.3">
      <c r="J88" s="71"/>
    </row>
    <row r="89" spans="1:21" x14ac:dyDescent="0.3">
      <c r="J89" s="71"/>
    </row>
    <row r="90" spans="1:21" x14ac:dyDescent="0.3">
      <c r="J90" s="71"/>
    </row>
    <row r="91" spans="1:21" x14ac:dyDescent="0.3">
      <c r="J91" s="71"/>
    </row>
    <row r="92" spans="1:21" x14ac:dyDescent="0.3">
      <c r="A92" s="73"/>
      <c r="B92" s="73"/>
      <c r="C92" s="73"/>
      <c r="D92" s="73"/>
      <c r="E92" s="73"/>
      <c r="F92" s="73"/>
      <c r="G92" s="73"/>
      <c r="H92" s="73"/>
      <c r="I92" s="73"/>
      <c r="J92" s="74"/>
      <c r="K92" s="73"/>
      <c r="L92" s="73"/>
      <c r="M92" s="73"/>
      <c r="N92" s="73"/>
      <c r="O92" s="73"/>
      <c r="P92" s="73"/>
      <c r="Q92" s="73"/>
      <c r="R92" s="73"/>
      <c r="S92" s="73"/>
      <c r="T92" s="73"/>
      <c r="U92" s="73"/>
    </row>
    <row r="93" spans="1:21" x14ac:dyDescent="0.3">
      <c r="A93" s="80" t="s">
        <v>68</v>
      </c>
      <c r="B93" s="80"/>
      <c r="C93" s="80"/>
      <c r="D93" s="80"/>
      <c r="E93" s="80"/>
      <c r="F93" s="80"/>
      <c r="G93" s="80"/>
      <c r="H93" s="80"/>
      <c r="I93" s="80"/>
      <c r="J93" s="80"/>
      <c r="K93" s="80"/>
      <c r="L93" s="80"/>
      <c r="M93" s="80"/>
      <c r="N93" s="80"/>
      <c r="O93" s="80"/>
      <c r="P93" s="80"/>
      <c r="Q93" s="80"/>
      <c r="R93" s="80"/>
      <c r="S93" s="80"/>
      <c r="T93" s="80"/>
      <c r="U93" s="80"/>
    </row>
    <row r="94" spans="1:21" x14ac:dyDescent="0.3">
      <c r="J94" s="75"/>
    </row>
  </sheetData>
  <mergeCells count="3">
    <mergeCell ref="A24:J24"/>
    <mergeCell ref="K24:U24"/>
    <mergeCell ref="A93:U93"/>
  </mergeCells>
  <phoneticPr fontId="0" type="noConversion"/>
  <pageMargins left="0.75" right="0.75" top="1" bottom="1" header="0.5" footer="0.5"/>
  <pageSetup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Basic Simulation</vt:lpstr>
      <vt:lpstr>Mod. Simul.</vt:lpstr>
      <vt:lpstr>Demand Increase</vt:lpstr>
      <vt:lpstr>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2026-04-22T11:08:49Z</dcterms:created>
  <dcterms:modified xsi:type="dcterms:W3CDTF">2026-04-22T11:08:57Z</dcterms:modified>
</cp:coreProperties>
</file>