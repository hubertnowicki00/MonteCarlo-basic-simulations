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5012B07-234F-426C-92D9-F5B8282D34F7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Solved examples" sheetId="8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8" l="1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21" i="8"/>
  <c r="Z17" i="8"/>
  <c r="Z18" i="8"/>
  <c r="Z19" i="8"/>
  <c r="Z20" i="8"/>
  <c r="Z16" i="8"/>
  <c r="T17" i="8"/>
  <c r="U17" i="8"/>
  <c r="T18" i="8"/>
  <c r="U18" i="8"/>
  <c r="T19" i="8"/>
  <c r="U19" i="8"/>
  <c r="T20" i="8"/>
  <c r="U20" i="8"/>
  <c r="T21" i="8"/>
  <c r="U21" i="8"/>
  <c r="T22" i="8"/>
  <c r="U22" i="8"/>
  <c r="T23" i="8"/>
  <c r="U23" i="8"/>
  <c r="T24" i="8"/>
  <c r="U24" i="8"/>
  <c r="T25" i="8"/>
  <c r="U25" i="8"/>
  <c r="T26" i="8"/>
  <c r="U26" i="8"/>
  <c r="T27" i="8"/>
  <c r="U27" i="8"/>
  <c r="T28" i="8"/>
  <c r="U28" i="8"/>
  <c r="T29" i="8"/>
  <c r="U29" i="8"/>
  <c r="T30" i="8"/>
  <c r="U30" i="8"/>
  <c r="T31" i="8"/>
  <c r="U31" i="8"/>
  <c r="T32" i="8"/>
  <c r="U32" i="8"/>
  <c r="T33" i="8"/>
  <c r="U33" i="8"/>
  <c r="T34" i="8"/>
  <c r="U34" i="8"/>
  <c r="T35" i="8"/>
  <c r="U35" i="8"/>
  <c r="T36" i="8"/>
  <c r="U36" i="8"/>
  <c r="T37" i="8"/>
  <c r="U37" i="8"/>
  <c r="T38" i="8"/>
  <c r="U38" i="8"/>
  <c r="T39" i="8"/>
  <c r="U39" i="8"/>
  <c r="T40" i="8"/>
  <c r="U40" i="8"/>
  <c r="T41" i="8"/>
  <c r="U41" i="8"/>
  <c r="T42" i="8"/>
  <c r="U42" i="8"/>
  <c r="T43" i="8"/>
  <c r="U43" i="8"/>
  <c r="T44" i="8"/>
  <c r="U44" i="8"/>
  <c r="T45" i="8"/>
  <c r="U45" i="8"/>
  <c r="T46" i="8"/>
  <c r="U46" i="8"/>
  <c r="T47" i="8"/>
  <c r="U47" i="8"/>
  <c r="T48" i="8"/>
  <c r="U48" i="8"/>
  <c r="T49" i="8"/>
  <c r="U49" i="8"/>
  <c r="T50" i="8"/>
  <c r="U50" i="8"/>
  <c r="T51" i="8"/>
  <c r="U51" i="8"/>
  <c r="T52" i="8"/>
  <c r="U52" i="8"/>
  <c r="T53" i="8"/>
  <c r="U53" i="8"/>
  <c r="T54" i="8"/>
  <c r="U54" i="8"/>
  <c r="T55" i="8"/>
  <c r="U55" i="8"/>
  <c r="T56" i="8"/>
  <c r="U56" i="8"/>
  <c r="T57" i="8"/>
  <c r="U57" i="8"/>
  <c r="T58" i="8"/>
  <c r="U58" i="8"/>
  <c r="T59" i="8"/>
  <c r="U59" i="8"/>
  <c r="T60" i="8"/>
  <c r="U60" i="8"/>
  <c r="T61" i="8"/>
  <c r="U61" i="8"/>
  <c r="T62" i="8"/>
  <c r="U62" i="8"/>
  <c r="T63" i="8"/>
  <c r="U63" i="8"/>
  <c r="T64" i="8"/>
  <c r="U64" i="8"/>
  <c r="T65" i="8"/>
  <c r="U65" i="8"/>
  <c r="T66" i="8"/>
  <c r="U66" i="8"/>
  <c r="T67" i="8"/>
  <c r="U67" i="8"/>
  <c r="T68" i="8"/>
  <c r="U68" i="8"/>
  <c r="T69" i="8"/>
  <c r="U69" i="8"/>
  <c r="T70" i="8"/>
  <c r="U70" i="8"/>
  <c r="T71" i="8"/>
  <c r="U71" i="8"/>
  <c r="T72" i="8"/>
  <c r="U72" i="8"/>
  <c r="T73" i="8"/>
  <c r="U73" i="8"/>
  <c r="T74" i="8"/>
  <c r="U74" i="8"/>
  <c r="T75" i="8"/>
  <c r="U75" i="8"/>
  <c r="T76" i="8"/>
  <c r="U76" i="8"/>
  <c r="T77" i="8"/>
  <c r="U77" i="8"/>
  <c r="T78" i="8"/>
  <c r="U78" i="8"/>
  <c r="T79" i="8"/>
  <c r="U79" i="8"/>
  <c r="T80" i="8"/>
  <c r="U80" i="8"/>
  <c r="T81" i="8"/>
  <c r="U81" i="8"/>
  <c r="T82" i="8"/>
  <c r="U82" i="8"/>
  <c r="T83" i="8"/>
  <c r="U83" i="8"/>
  <c r="T84" i="8"/>
  <c r="U84" i="8"/>
  <c r="T85" i="8"/>
  <c r="U85" i="8"/>
  <c r="T86" i="8"/>
  <c r="U86" i="8"/>
  <c r="T87" i="8"/>
  <c r="U87" i="8"/>
  <c r="T88" i="8"/>
  <c r="U88" i="8"/>
  <c r="T89" i="8"/>
  <c r="U89" i="8"/>
  <c r="T90" i="8"/>
  <c r="U90" i="8"/>
  <c r="T91" i="8"/>
  <c r="U91" i="8"/>
  <c r="T92" i="8"/>
  <c r="U92" i="8"/>
  <c r="T93" i="8"/>
  <c r="U93" i="8"/>
  <c r="T94" i="8"/>
  <c r="U94" i="8"/>
  <c r="T95" i="8"/>
  <c r="U95" i="8"/>
  <c r="T96" i="8"/>
  <c r="U96" i="8"/>
  <c r="T97" i="8"/>
  <c r="U97" i="8"/>
  <c r="T98" i="8"/>
  <c r="U98" i="8"/>
  <c r="T99" i="8"/>
  <c r="U99" i="8"/>
  <c r="T100" i="8"/>
  <c r="U100" i="8"/>
  <c r="T101" i="8"/>
  <c r="U101" i="8"/>
  <c r="T102" i="8"/>
  <c r="U102" i="8"/>
  <c r="T103" i="8"/>
  <c r="U103" i="8"/>
  <c r="T104" i="8"/>
  <c r="U104" i="8"/>
  <c r="T105" i="8"/>
  <c r="U105" i="8"/>
  <c r="T106" i="8"/>
  <c r="U106" i="8"/>
  <c r="T107" i="8"/>
  <c r="U107" i="8"/>
  <c r="T108" i="8"/>
  <c r="U108" i="8"/>
  <c r="T109" i="8"/>
  <c r="U109" i="8"/>
  <c r="T110" i="8"/>
  <c r="U110" i="8"/>
  <c r="T111" i="8"/>
  <c r="U111" i="8"/>
  <c r="T112" i="8"/>
  <c r="U112" i="8"/>
  <c r="T113" i="8"/>
  <c r="U113" i="8"/>
  <c r="T114" i="8"/>
  <c r="U114" i="8"/>
  <c r="T115" i="8"/>
  <c r="U115" i="8"/>
  <c r="T116" i="8"/>
  <c r="U116" i="8"/>
  <c r="T117" i="8"/>
  <c r="U117" i="8"/>
  <c r="T118" i="8"/>
  <c r="U118" i="8"/>
  <c r="T119" i="8"/>
  <c r="U119" i="8"/>
  <c r="T120" i="8"/>
  <c r="U120" i="8"/>
  <c r="T121" i="8"/>
  <c r="U121" i="8"/>
  <c r="T122" i="8"/>
  <c r="U122" i="8"/>
  <c r="T123" i="8"/>
  <c r="U123" i="8"/>
  <c r="T124" i="8"/>
  <c r="U124" i="8"/>
  <c r="T125" i="8"/>
  <c r="U125" i="8"/>
  <c r="T126" i="8"/>
  <c r="U126" i="8"/>
  <c r="T127" i="8"/>
  <c r="U127" i="8"/>
  <c r="T128" i="8"/>
  <c r="U128" i="8"/>
  <c r="T129" i="8"/>
  <c r="U129" i="8"/>
  <c r="T130" i="8"/>
  <c r="U130" i="8"/>
  <c r="T131" i="8"/>
  <c r="U131" i="8"/>
  <c r="T132" i="8"/>
  <c r="U132" i="8"/>
  <c r="T133" i="8"/>
  <c r="U133" i="8"/>
  <c r="T134" i="8"/>
  <c r="U134" i="8"/>
  <c r="T135" i="8"/>
  <c r="U135" i="8"/>
  <c r="T136" i="8"/>
  <c r="U136" i="8"/>
  <c r="T137" i="8"/>
  <c r="U137" i="8"/>
  <c r="T138" i="8"/>
  <c r="U138" i="8"/>
  <c r="T139" i="8"/>
  <c r="U139" i="8"/>
  <c r="T140" i="8"/>
  <c r="U140" i="8"/>
  <c r="T141" i="8"/>
  <c r="U141" i="8"/>
  <c r="T142" i="8"/>
  <c r="U142" i="8"/>
  <c r="T143" i="8"/>
  <c r="U143" i="8"/>
  <c r="T144" i="8"/>
  <c r="U144" i="8"/>
  <c r="T145" i="8"/>
  <c r="U145" i="8"/>
  <c r="T146" i="8"/>
  <c r="U146" i="8"/>
  <c r="T147" i="8"/>
  <c r="U147" i="8"/>
  <c r="T148" i="8"/>
  <c r="U148" i="8"/>
  <c r="T149" i="8"/>
  <c r="U149" i="8"/>
  <c r="T150" i="8"/>
  <c r="U150" i="8"/>
  <c r="T151" i="8"/>
  <c r="U151" i="8"/>
  <c r="T152" i="8"/>
  <c r="U152" i="8"/>
  <c r="T153" i="8"/>
  <c r="U153" i="8"/>
  <c r="T154" i="8"/>
  <c r="U154" i="8"/>
  <c r="T155" i="8"/>
  <c r="U155" i="8"/>
  <c r="T156" i="8"/>
  <c r="U156" i="8"/>
  <c r="T157" i="8"/>
  <c r="U157" i="8"/>
  <c r="T158" i="8"/>
  <c r="U158" i="8"/>
  <c r="T159" i="8"/>
  <c r="U159" i="8"/>
  <c r="T160" i="8"/>
  <c r="U160" i="8"/>
  <c r="T161" i="8"/>
  <c r="U161" i="8"/>
  <c r="T162" i="8"/>
  <c r="U162" i="8"/>
  <c r="T163" i="8"/>
  <c r="U163" i="8"/>
  <c r="T164" i="8"/>
  <c r="U164" i="8"/>
  <c r="T165" i="8"/>
  <c r="U165" i="8"/>
  <c r="T166" i="8"/>
  <c r="U166" i="8"/>
  <c r="T167" i="8"/>
  <c r="U167" i="8"/>
  <c r="T168" i="8"/>
  <c r="U168" i="8"/>
  <c r="T169" i="8"/>
  <c r="U169" i="8"/>
  <c r="T170" i="8"/>
  <c r="U170" i="8"/>
  <c r="T171" i="8"/>
  <c r="U171" i="8"/>
  <c r="T172" i="8"/>
  <c r="U172" i="8"/>
  <c r="T173" i="8"/>
  <c r="U173" i="8"/>
  <c r="T174" i="8"/>
  <c r="U174" i="8"/>
  <c r="T175" i="8"/>
  <c r="U175" i="8"/>
  <c r="T176" i="8"/>
  <c r="U176" i="8"/>
  <c r="T177" i="8"/>
  <c r="U177" i="8"/>
  <c r="T178" i="8"/>
  <c r="U178" i="8"/>
  <c r="T179" i="8"/>
  <c r="U179" i="8"/>
  <c r="T180" i="8"/>
  <c r="U180" i="8"/>
  <c r="T181" i="8"/>
  <c r="U181" i="8"/>
  <c r="T182" i="8"/>
  <c r="U182" i="8"/>
  <c r="T183" i="8"/>
  <c r="U183" i="8"/>
  <c r="T184" i="8"/>
  <c r="U184" i="8"/>
  <c r="T185" i="8"/>
  <c r="U185" i="8"/>
  <c r="T186" i="8"/>
  <c r="U186" i="8"/>
  <c r="T187" i="8"/>
  <c r="U187" i="8"/>
  <c r="T188" i="8"/>
  <c r="U188" i="8"/>
  <c r="T189" i="8"/>
  <c r="U189" i="8"/>
  <c r="T190" i="8"/>
  <c r="U190" i="8"/>
  <c r="T191" i="8"/>
  <c r="U191" i="8"/>
  <c r="T192" i="8"/>
  <c r="U192" i="8"/>
  <c r="T193" i="8"/>
  <c r="U193" i="8"/>
  <c r="T194" i="8"/>
  <c r="U194" i="8"/>
  <c r="T195" i="8"/>
  <c r="U195" i="8"/>
  <c r="T196" i="8"/>
  <c r="U196" i="8"/>
  <c r="T197" i="8"/>
  <c r="U197" i="8"/>
  <c r="T198" i="8"/>
  <c r="U198" i="8"/>
  <c r="T199" i="8"/>
  <c r="U199" i="8"/>
  <c r="T200" i="8"/>
  <c r="U200" i="8"/>
  <c r="T201" i="8"/>
  <c r="U201" i="8"/>
  <c r="T202" i="8"/>
  <c r="U202" i="8"/>
  <c r="T203" i="8"/>
  <c r="U203" i="8"/>
  <c r="T204" i="8"/>
  <c r="U204" i="8"/>
  <c r="T205" i="8"/>
  <c r="U205" i="8"/>
  <c r="T206" i="8"/>
  <c r="U206" i="8"/>
  <c r="T207" i="8"/>
  <c r="U207" i="8"/>
  <c r="T208" i="8"/>
  <c r="U208" i="8"/>
  <c r="T209" i="8"/>
  <c r="U209" i="8"/>
  <c r="T210" i="8"/>
  <c r="U210" i="8"/>
  <c r="T211" i="8"/>
  <c r="U211" i="8"/>
  <c r="T212" i="8"/>
  <c r="U212" i="8"/>
  <c r="T213" i="8"/>
  <c r="U213" i="8"/>
  <c r="T214" i="8"/>
  <c r="U214" i="8"/>
  <c r="T215" i="8"/>
  <c r="U215" i="8"/>
  <c r="T216" i="8"/>
  <c r="U216" i="8"/>
  <c r="T217" i="8"/>
  <c r="U217" i="8"/>
  <c r="T218" i="8"/>
  <c r="U218" i="8"/>
  <c r="T219" i="8"/>
  <c r="U219" i="8"/>
  <c r="T220" i="8"/>
  <c r="U220" i="8"/>
  <c r="T221" i="8"/>
  <c r="U221" i="8"/>
  <c r="T222" i="8"/>
  <c r="U222" i="8"/>
  <c r="T223" i="8"/>
  <c r="U223" i="8"/>
  <c r="T224" i="8"/>
  <c r="U224" i="8"/>
  <c r="T225" i="8"/>
  <c r="U225" i="8"/>
  <c r="T226" i="8"/>
  <c r="U226" i="8"/>
  <c r="T227" i="8"/>
  <c r="U227" i="8"/>
  <c r="T228" i="8"/>
  <c r="U228" i="8"/>
  <c r="T229" i="8"/>
  <c r="U229" i="8"/>
  <c r="T230" i="8"/>
  <c r="U230" i="8"/>
  <c r="T231" i="8"/>
  <c r="U231" i="8"/>
  <c r="T232" i="8"/>
  <c r="U232" i="8"/>
  <c r="T233" i="8"/>
  <c r="U233" i="8"/>
  <c r="T234" i="8"/>
  <c r="U234" i="8"/>
  <c r="T235" i="8"/>
  <c r="U235" i="8"/>
  <c r="T236" i="8"/>
  <c r="U236" i="8"/>
  <c r="T237" i="8"/>
  <c r="U237" i="8"/>
  <c r="T238" i="8"/>
  <c r="U238" i="8"/>
  <c r="T239" i="8"/>
  <c r="U239" i="8"/>
  <c r="T240" i="8"/>
  <c r="U240" i="8"/>
  <c r="T241" i="8"/>
  <c r="U241" i="8"/>
  <c r="T242" i="8"/>
  <c r="U242" i="8"/>
  <c r="T243" i="8"/>
  <c r="U243" i="8"/>
  <c r="T244" i="8"/>
  <c r="U244" i="8"/>
  <c r="T245" i="8"/>
  <c r="U245" i="8"/>
  <c r="T246" i="8"/>
  <c r="U246" i="8"/>
  <c r="T247" i="8"/>
  <c r="U247" i="8"/>
  <c r="T248" i="8"/>
  <c r="U248" i="8"/>
  <c r="T249" i="8"/>
  <c r="U249" i="8"/>
  <c r="T250" i="8"/>
  <c r="U250" i="8"/>
  <c r="T251" i="8"/>
  <c r="U251" i="8"/>
  <c r="T252" i="8"/>
  <c r="U252" i="8"/>
  <c r="T253" i="8"/>
  <c r="U253" i="8"/>
  <c r="T254" i="8"/>
  <c r="U254" i="8"/>
  <c r="T255" i="8"/>
  <c r="U255" i="8"/>
  <c r="T256" i="8"/>
  <c r="U256" i="8"/>
  <c r="T257" i="8"/>
  <c r="U257" i="8"/>
  <c r="T258" i="8"/>
  <c r="U258" i="8"/>
  <c r="T259" i="8"/>
  <c r="U259" i="8"/>
  <c r="T260" i="8"/>
  <c r="U260" i="8"/>
  <c r="T261" i="8"/>
  <c r="U261" i="8"/>
  <c r="T262" i="8"/>
  <c r="U262" i="8"/>
  <c r="T263" i="8"/>
  <c r="U263" i="8"/>
  <c r="T264" i="8"/>
  <c r="U264" i="8"/>
  <c r="T265" i="8"/>
  <c r="U265" i="8"/>
  <c r="T13" i="8"/>
  <c r="U16" i="8"/>
  <c r="T16" i="8"/>
  <c r="V96" i="8" l="1"/>
  <c r="V56" i="8"/>
  <c r="V48" i="8"/>
  <c r="V32" i="8"/>
  <c r="V24" i="8"/>
  <c r="V80" i="8"/>
  <c r="V102" i="8"/>
  <c r="V261" i="8"/>
  <c r="V237" i="8"/>
  <c r="V229" i="8"/>
  <c r="V85" i="8"/>
  <c r="V224" i="8"/>
  <c r="V200" i="8"/>
  <c r="V184" i="8"/>
  <c r="V176" i="8"/>
  <c r="V172" i="8"/>
  <c r="V168" i="8"/>
  <c r="V160" i="8"/>
  <c r="V120" i="8"/>
  <c r="V104" i="8"/>
  <c r="V192" i="8"/>
  <c r="V216" i="8"/>
  <c r="V259" i="8"/>
  <c r="V204" i="8"/>
  <c r="V208" i="8"/>
  <c r="V17" i="8"/>
  <c r="V159" i="8"/>
  <c r="V119" i="8"/>
  <c r="V86" i="8"/>
  <c r="V217" i="8"/>
  <c r="V121" i="8"/>
  <c r="V105" i="8"/>
  <c r="V240" i="8"/>
  <c r="V75" i="8"/>
  <c r="V59" i="8"/>
  <c r="V258" i="8"/>
  <c r="V54" i="8"/>
  <c r="V38" i="8"/>
  <c r="V22" i="8"/>
  <c r="V18" i="8"/>
  <c r="V262" i="8"/>
  <c r="V251" i="8"/>
  <c r="V179" i="8"/>
  <c r="V171" i="8"/>
  <c r="V163" i="8"/>
  <c r="V131" i="8"/>
  <c r="V123" i="8"/>
  <c r="V107" i="8"/>
  <c r="V72" i="8"/>
  <c r="V68" i="8"/>
  <c r="V60" i="8"/>
  <c r="V40" i="8"/>
  <c r="V238" i="8"/>
  <c r="V31" i="8"/>
  <c r="V158" i="8"/>
  <c r="V150" i="8"/>
  <c r="V146" i="8"/>
  <c r="V142" i="8"/>
  <c r="V134" i="8"/>
  <c r="V126" i="8"/>
  <c r="V122" i="8"/>
  <c r="V118" i="8"/>
  <c r="V250" i="8"/>
  <c r="V234" i="8"/>
  <c r="V249" i="8"/>
  <c r="V213" i="8"/>
  <c r="V205" i="8"/>
  <c r="V197" i="8"/>
  <c r="V248" i="8"/>
  <c r="V112" i="8"/>
  <c r="V57" i="8"/>
  <c r="V41" i="8"/>
  <c r="V241" i="8"/>
  <c r="V191" i="8"/>
  <c r="V206" i="8"/>
  <c r="V202" i="8"/>
  <c r="V144" i="8"/>
  <c r="V136" i="8"/>
  <c r="V132" i="8"/>
  <c r="V124" i="8"/>
  <c r="V117" i="8"/>
  <c r="V33" i="8"/>
  <c r="V25" i="8"/>
  <c r="V95" i="8"/>
  <c r="V236" i="8"/>
  <c r="V232" i="8"/>
  <c r="V174" i="8"/>
  <c r="V170" i="8"/>
  <c r="V70" i="8"/>
  <c r="V66" i="8"/>
  <c r="V62" i="8"/>
  <c r="V58" i="8"/>
  <c r="V47" i="8"/>
  <c r="V20" i="8"/>
  <c r="V235" i="8"/>
  <c r="V227" i="8"/>
  <c r="V185" i="8"/>
  <c r="V181" i="8"/>
  <c r="V173" i="8"/>
  <c r="V165" i="8"/>
  <c r="V97" i="8"/>
  <c r="V89" i="8"/>
  <c r="V73" i="8"/>
  <c r="V69" i="8"/>
  <c r="V264" i="8"/>
  <c r="V260" i="8"/>
  <c r="V257" i="8"/>
  <c r="V246" i="8"/>
  <c r="V223" i="8"/>
  <c r="V211" i="8"/>
  <c r="V203" i="8"/>
  <c r="V195" i="8"/>
  <c r="V157" i="8"/>
  <c r="V153" i="8"/>
  <c r="V133" i="8"/>
  <c r="V88" i="8"/>
  <c r="V166" i="8"/>
  <c r="V151" i="8"/>
  <c r="V84" i="8"/>
  <c r="V254" i="8"/>
  <c r="V233" i="8"/>
  <c r="V222" i="8"/>
  <c r="V207" i="8"/>
  <c r="V188" i="8"/>
  <c r="V98" i="8"/>
  <c r="V90" i="8"/>
  <c r="V28" i="8"/>
  <c r="V243" i="8"/>
  <c r="V225" i="8"/>
  <c r="V221" i="8"/>
  <c r="V214" i="8"/>
  <c r="V210" i="8"/>
  <c r="V187" i="8"/>
  <c r="V180" i="8"/>
  <c r="V154" i="8"/>
  <c r="V138" i="8"/>
  <c r="V130" i="8"/>
  <c r="V116" i="8"/>
  <c r="V108" i="8"/>
  <c r="V101" i="8"/>
  <c r="V79" i="8"/>
  <c r="V64" i="8"/>
  <c r="V50" i="8"/>
  <c r="V46" i="8"/>
  <c r="V42" i="8"/>
  <c r="V27" i="8"/>
  <c r="V53" i="8"/>
  <c r="V194" i="8"/>
  <c r="V74" i="8"/>
  <c r="V71" i="8"/>
  <c r="V49" i="8"/>
  <c r="V242" i="8"/>
  <c r="V209" i="8"/>
  <c r="V198" i="8"/>
  <c r="V164" i="8"/>
  <c r="V82" i="8"/>
  <c r="V256" i="8"/>
  <c r="V220" i="8"/>
  <c r="V201" i="8"/>
  <c r="V190" i="8"/>
  <c r="V92" i="8"/>
  <c r="V34" i="8"/>
  <c r="V26" i="8"/>
  <c r="V239" i="8"/>
  <c r="V228" i="8"/>
  <c r="V111" i="8"/>
  <c r="V78" i="8"/>
  <c r="V263" i="8"/>
  <c r="V186" i="8"/>
  <c r="V175" i="8"/>
  <c r="V100" i="8"/>
  <c r="V63" i="8"/>
  <c r="V30" i="8"/>
  <c r="V219" i="8"/>
  <c r="V212" i="8"/>
  <c r="V193" i="8"/>
  <c r="V189" i="8"/>
  <c r="V182" i="8"/>
  <c r="V178" i="8"/>
  <c r="V156" i="8"/>
  <c r="V152" i="8"/>
  <c r="V128" i="8"/>
  <c r="V114" i="8"/>
  <c r="V110" i="8"/>
  <c r="V106" i="8"/>
  <c r="V103" i="8"/>
  <c r="V91" i="8"/>
  <c r="V81" i="8"/>
  <c r="V52" i="8"/>
  <c r="V44" i="8"/>
  <c r="V37" i="8"/>
  <c r="V43" i="8"/>
  <c r="V265" i="8"/>
  <c r="V226" i="8"/>
  <c r="V196" i="8"/>
  <c r="V177" i="8"/>
  <c r="V113" i="8"/>
  <c r="V76" i="8"/>
  <c r="V230" i="8"/>
  <c r="V162" i="8"/>
  <c r="V247" i="8"/>
  <c r="V218" i="8"/>
  <c r="V169" i="8"/>
  <c r="V135" i="8"/>
  <c r="V127" i="8"/>
  <c r="V94" i="8"/>
  <c r="V87" i="8"/>
  <c r="V65" i="8"/>
  <c r="V36" i="8"/>
  <c r="V16" i="8"/>
  <c r="V245" i="8"/>
  <c r="V149" i="8"/>
  <c r="V155" i="8"/>
  <c r="V145" i="8"/>
  <c r="V125" i="8"/>
  <c r="V115" i="8"/>
  <c r="V109" i="8"/>
  <c r="V99" i="8"/>
  <c r="V93" i="8"/>
  <c r="V83" i="8"/>
  <c r="V77" i="8"/>
  <c r="V67" i="8"/>
  <c r="V61" i="8"/>
  <c r="V55" i="8"/>
  <c r="V51" i="8"/>
  <c r="V45" i="8"/>
  <c r="V39" i="8"/>
  <c r="V35" i="8"/>
  <c r="V29" i="8"/>
  <c r="V23" i="8"/>
  <c r="V19" i="8"/>
  <c r="V253" i="8"/>
  <c r="V244" i="8"/>
  <c r="V161" i="8"/>
  <c r="V148" i="8"/>
  <c r="V141" i="8"/>
  <c r="V147" i="8"/>
  <c r="V137" i="8"/>
  <c r="V21" i="8"/>
  <c r="V252" i="8"/>
  <c r="V215" i="8"/>
  <c r="V199" i="8"/>
  <c r="V167" i="8"/>
  <c r="V140" i="8"/>
  <c r="V231" i="8"/>
  <c r="V183" i="8"/>
  <c r="V255" i="8"/>
  <c r="V143" i="8"/>
  <c r="V139" i="8"/>
  <c r="V129" i="8"/>
  <c r="AD34" i="8" l="1"/>
  <c r="AD35" i="8" s="1"/>
  <c r="Y16" i="8" a="1"/>
  <c r="Y16" i="8" s="1"/>
  <c r="AD33" i="8"/>
  <c r="AR16" i="8"/>
  <c r="AD36" i="8" l="1"/>
  <c r="Y34" i="8"/>
  <c r="Y26" i="8"/>
  <c r="Y36" i="8"/>
  <c r="Y24" i="8"/>
  <c r="Y31" i="8"/>
  <c r="Y20" i="8"/>
  <c r="Y18" i="8"/>
  <c r="Y23" i="8"/>
  <c r="Y35" i="8"/>
  <c r="Y30" i="8"/>
  <c r="Y27" i="8"/>
  <c r="Y33" i="8"/>
  <c r="Y22" i="8"/>
  <c r="Y19" i="8"/>
  <c r="Y25" i="8"/>
  <c r="Y29" i="8"/>
  <c r="Y32" i="8"/>
  <c r="Y17" i="8"/>
  <c r="Y21" i="8"/>
  <c r="Y28" i="8"/>
  <c r="AD37" i="8"/>
  <c r="AP17" i="8"/>
  <c r="AP18" i="8" s="1"/>
  <c r="AL116" i="8"/>
  <c r="AM116" i="8" s="1"/>
  <c r="AL117" i="8"/>
  <c r="AM117" i="8" s="1"/>
  <c r="AL118" i="8"/>
  <c r="AM118" i="8" s="1"/>
  <c r="AL119" i="8"/>
  <c r="AM119" i="8" s="1"/>
  <c r="AL120" i="8"/>
  <c r="AM120" i="8" s="1"/>
  <c r="AL121" i="8"/>
  <c r="AM121" i="8" s="1"/>
  <c r="AL122" i="8"/>
  <c r="AM122" i="8" s="1"/>
  <c r="AL123" i="8"/>
  <c r="AM123" i="8" s="1"/>
  <c r="AL124" i="8"/>
  <c r="AM124" i="8" s="1"/>
  <c r="AL125" i="8"/>
  <c r="AM125" i="8" s="1"/>
  <c r="AL126" i="8"/>
  <c r="AM126" i="8" s="1"/>
  <c r="AL127" i="8"/>
  <c r="AM127" i="8" s="1"/>
  <c r="AL128" i="8"/>
  <c r="AM128" i="8" s="1"/>
  <c r="AL129" i="8"/>
  <c r="AM129" i="8" s="1"/>
  <c r="AL130" i="8"/>
  <c r="AM130" i="8" s="1"/>
  <c r="AL131" i="8"/>
  <c r="AM131" i="8" s="1"/>
  <c r="AL132" i="8"/>
  <c r="AM132" i="8" s="1"/>
  <c r="AL133" i="8"/>
  <c r="AM133" i="8" s="1"/>
  <c r="AL134" i="8"/>
  <c r="AM134" i="8" s="1"/>
  <c r="AL135" i="8"/>
  <c r="AM135" i="8" s="1"/>
  <c r="AL136" i="8"/>
  <c r="AM136" i="8" s="1"/>
  <c r="AL137" i="8"/>
  <c r="AM137" i="8" s="1"/>
  <c r="AL138" i="8"/>
  <c r="AM138" i="8" s="1"/>
  <c r="AL139" i="8"/>
  <c r="AM139" i="8" s="1"/>
  <c r="AL140" i="8"/>
  <c r="AM140" i="8" s="1"/>
  <c r="AL141" i="8"/>
  <c r="AM141" i="8" s="1"/>
  <c r="AL142" i="8"/>
  <c r="AM142" i="8" s="1"/>
  <c r="AL143" i="8"/>
  <c r="AM143" i="8" s="1"/>
  <c r="AL144" i="8"/>
  <c r="AM144" i="8" s="1"/>
  <c r="AL145" i="8"/>
  <c r="AM145" i="8" s="1"/>
  <c r="AL146" i="8"/>
  <c r="AM146" i="8" s="1"/>
  <c r="AL147" i="8"/>
  <c r="AM147" i="8" s="1"/>
  <c r="AL148" i="8"/>
  <c r="AM148" i="8" s="1"/>
  <c r="AL149" i="8"/>
  <c r="AM149" i="8" s="1"/>
  <c r="AL150" i="8"/>
  <c r="AM150" i="8" s="1"/>
  <c r="AL151" i="8"/>
  <c r="AM151" i="8" s="1"/>
  <c r="AL152" i="8"/>
  <c r="AM152" i="8" s="1"/>
  <c r="AL153" i="8"/>
  <c r="AM153" i="8" s="1"/>
  <c r="AL154" i="8"/>
  <c r="AM154" i="8" s="1"/>
  <c r="AL155" i="8"/>
  <c r="AM155" i="8" s="1"/>
  <c r="AL156" i="8"/>
  <c r="AM156" i="8" s="1"/>
  <c r="AL157" i="8"/>
  <c r="AM157" i="8" s="1"/>
  <c r="AL158" i="8"/>
  <c r="AM158" i="8" s="1"/>
  <c r="AL159" i="8"/>
  <c r="AM159" i="8" s="1"/>
  <c r="AL160" i="8"/>
  <c r="AM160" i="8" s="1"/>
  <c r="AL161" i="8"/>
  <c r="AM161" i="8" s="1"/>
  <c r="AL162" i="8"/>
  <c r="AM162" i="8" s="1"/>
  <c r="AL163" i="8"/>
  <c r="AM163" i="8" s="1"/>
  <c r="AL164" i="8"/>
  <c r="AM164" i="8" s="1"/>
  <c r="AL165" i="8"/>
  <c r="AM165" i="8" s="1"/>
  <c r="AL166" i="8"/>
  <c r="AM166" i="8" s="1"/>
  <c r="AL167" i="8"/>
  <c r="AM167" i="8" s="1"/>
  <c r="AL168" i="8"/>
  <c r="AM168" i="8" s="1"/>
  <c r="AL169" i="8"/>
  <c r="AM169" i="8" s="1"/>
  <c r="AL170" i="8"/>
  <c r="AM170" i="8" s="1"/>
  <c r="AL171" i="8"/>
  <c r="AM171" i="8" s="1"/>
  <c r="AL172" i="8"/>
  <c r="AM172" i="8" s="1"/>
  <c r="AL173" i="8"/>
  <c r="AM173" i="8" s="1"/>
  <c r="AL174" i="8"/>
  <c r="AM174" i="8" s="1"/>
  <c r="AL175" i="8"/>
  <c r="AM175" i="8" s="1"/>
  <c r="AL176" i="8"/>
  <c r="AM176" i="8" s="1"/>
  <c r="AL177" i="8"/>
  <c r="AM177" i="8" s="1"/>
  <c r="AL178" i="8"/>
  <c r="AM178" i="8" s="1"/>
  <c r="AL179" i="8"/>
  <c r="AM179" i="8" s="1"/>
  <c r="AL180" i="8"/>
  <c r="AM180" i="8" s="1"/>
  <c r="AL181" i="8"/>
  <c r="AM181" i="8" s="1"/>
  <c r="AL182" i="8"/>
  <c r="AM182" i="8" s="1"/>
  <c r="AL183" i="8"/>
  <c r="AM183" i="8" s="1"/>
  <c r="AL184" i="8"/>
  <c r="AM184" i="8" s="1"/>
  <c r="AL185" i="8"/>
  <c r="AM185" i="8" s="1"/>
  <c r="AL186" i="8"/>
  <c r="AM186" i="8" s="1"/>
  <c r="AL187" i="8"/>
  <c r="AM187" i="8" s="1"/>
  <c r="AL188" i="8"/>
  <c r="AM188" i="8" s="1"/>
  <c r="AL189" i="8"/>
  <c r="AM189" i="8" s="1"/>
  <c r="AL190" i="8"/>
  <c r="AM190" i="8" s="1"/>
  <c r="AL191" i="8"/>
  <c r="AM191" i="8" s="1"/>
  <c r="AL192" i="8"/>
  <c r="AM192" i="8" s="1"/>
  <c r="AL193" i="8"/>
  <c r="AM193" i="8" s="1"/>
  <c r="AL194" i="8"/>
  <c r="AM194" i="8" s="1"/>
  <c r="AL195" i="8"/>
  <c r="AM195" i="8" s="1"/>
  <c r="AL196" i="8"/>
  <c r="AM196" i="8" s="1"/>
  <c r="AL197" i="8"/>
  <c r="AM197" i="8" s="1"/>
  <c r="AL198" i="8"/>
  <c r="AM198" i="8" s="1"/>
  <c r="AL199" i="8"/>
  <c r="AM199" i="8" s="1"/>
  <c r="AL200" i="8"/>
  <c r="AM200" i="8" s="1"/>
  <c r="AL201" i="8"/>
  <c r="AM201" i="8" s="1"/>
  <c r="AL202" i="8"/>
  <c r="AM202" i="8" s="1"/>
  <c r="AL203" i="8"/>
  <c r="AM203" i="8" s="1"/>
  <c r="AL204" i="8"/>
  <c r="AM204" i="8" s="1"/>
  <c r="AL205" i="8"/>
  <c r="AM205" i="8" s="1"/>
  <c r="AL206" i="8"/>
  <c r="AM206" i="8" s="1"/>
  <c r="AL207" i="8"/>
  <c r="AM207" i="8" s="1"/>
  <c r="AL208" i="8"/>
  <c r="AM208" i="8" s="1"/>
  <c r="AL209" i="8"/>
  <c r="AM209" i="8" s="1"/>
  <c r="AL210" i="8"/>
  <c r="AM210" i="8" s="1"/>
  <c r="AL211" i="8"/>
  <c r="AM211" i="8" s="1"/>
  <c r="AL212" i="8"/>
  <c r="AM212" i="8" s="1"/>
  <c r="AL213" i="8"/>
  <c r="AM213" i="8" s="1"/>
  <c r="AL214" i="8"/>
  <c r="AM214" i="8" s="1"/>
  <c r="AL215" i="8"/>
  <c r="AM215" i="8" s="1"/>
  <c r="AL216" i="8"/>
  <c r="AM216" i="8" s="1"/>
  <c r="AL217" i="8"/>
  <c r="AM217" i="8" s="1"/>
  <c r="AL218" i="8"/>
  <c r="AM218" i="8" s="1"/>
  <c r="AL219" i="8"/>
  <c r="AM219" i="8" s="1"/>
  <c r="AL220" i="8"/>
  <c r="AM220" i="8" s="1"/>
  <c r="AL221" i="8"/>
  <c r="AM221" i="8" s="1"/>
  <c r="AL222" i="8"/>
  <c r="AM222" i="8" s="1"/>
  <c r="AL223" i="8"/>
  <c r="AM223" i="8" s="1"/>
  <c r="AL224" i="8"/>
  <c r="AM224" i="8" s="1"/>
  <c r="AL225" i="8"/>
  <c r="AM225" i="8" s="1"/>
  <c r="AL226" i="8"/>
  <c r="AM226" i="8" s="1"/>
  <c r="AL227" i="8"/>
  <c r="AM227" i="8" s="1"/>
  <c r="AL228" i="8"/>
  <c r="AM228" i="8" s="1"/>
  <c r="AL229" i="8"/>
  <c r="AM229" i="8" s="1"/>
  <c r="AL230" i="8"/>
  <c r="AM230" i="8" s="1"/>
  <c r="AL231" i="8"/>
  <c r="AM231" i="8" s="1"/>
  <c r="AL232" i="8"/>
  <c r="AM232" i="8" s="1"/>
  <c r="AL233" i="8"/>
  <c r="AM233" i="8" s="1"/>
  <c r="AL234" i="8"/>
  <c r="AM234" i="8" s="1"/>
  <c r="AL235" i="8"/>
  <c r="AM235" i="8" s="1"/>
  <c r="AL236" i="8"/>
  <c r="AM236" i="8" s="1"/>
  <c r="AL237" i="8"/>
  <c r="AM237" i="8" s="1"/>
  <c r="AL238" i="8"/>
  <c r="AM238" i="8" s="1"/>
  <c r="AL239" i="8"/>
  <c r="AM239" i="8" s="1"/>
  <c r="AL240" i="8"/>
  <c r="AM240" i="8" s="1"/>
  <c r="AL241" i="8"/>
  <c r="AM241" i="8" s="1"/>
  <c r="AL242" i="8"/>
  <c r="AM242" i="8" s="1"/>
  <c r="AL243" i="8"/>
  <c r="AM243" i="8" s="1"/>
  <c r="AL244" i="8"/>
  <c r="AM244" i="8" s="1"/>
  <c r="AL245" i="8"/>
  <c r="AM245" i="8" s="1"/>
  <c r="AL246" i="8"/>
  <c r="AM246" i="8" s="1"/>
  <c r="AL247" i="8"/>
  <c r="AM247" i="8" s="1"/>
  <c r="AL248" i="8"/>
  <c r="AM248" i="8" s="1"/>
  <c r="AL249" i="8"/>
  <c r="AM249" i="8" s="1"/>
  <c r="AL250" i="8"/>
  <c r="AM250" i="8" s="1"/>
  <c r="AL251" i="8"/>
  <c r="AM251" i="8" s="1"/>
  <c r="AL252" i="8"/>
  <c r="AM252" i="8" s="1"/>
  <c r="AL253" i="8"/>
  <c r="AM253" i="8" s="1"/>
  <c r="AL254" i="8"/>
  <c r="AM254" i="8" s="1"/>
  <c r="AL255" i="8"/>
  <c r="AM255" i="8" s="1"/>
  <c r="AL256" i="8"/>
  <c r="AM256" i="8" s="1"/>
  <c r="AL257" i="8"/>
  <c r="AM257" i="8" s="1"/>
  <c r="AL258" i="8"/>
  <c r="AM258" i="8" s="1"/>
  <c r="AL259" i="8"/>
  <c r="AM259" i="8" s="1"/>
  <c r="AL260" i="8"/>
  <c r="AM260" i="8" s="1"/>
  <c r="AL261" i="8"/>
  <c r="AM261" i="8" s="1"/>
  <c r="AL262" i="8"/>
  <c r="AM262" i="8" s="1"/>
  <c r="AL263" i="8"/>
  <c r="AM263" i="8" s="1"/>
  <c r="AL264" i="8"/>
  <c r="AM264" i="8" s="1"/>
  <c r="AL265" i="8"/>
  <c r="AM265" i="8" s="1"/>
  <c r="AR17" i="8" l="1"/>
  <c r="AP19" i="8"/>
  <c r="AR18" i="8"/>
  <c r="G16" i="8"/>
  <c r="I16" i="8" s="1"/>
  <c r="C116" i="8"/>
  <c r="C117" i="8"/>
  <c r="C118" i="8"/>
  <c r="D118" i="8" s="1"/>
  <c r="C119" i="8"/>
  <c r="D119" i="8" s="1"/>
  <c r="C120" i="8"/>
  <c r="D120" i="8" s="1"/>
  <c r="C121" i="8"/>
  <c r="C122" i="8"/>
  <c r="C123" i="8"/>
  <c r="D123" i="8" s="1"/>
  <c r="C124" i="8"/>
  <c r="C125" i="8"/>
  <c r="C126" i="8"/>
  <c r="C127" i="8"/>
  <c r="D127" i="8" s="1"/>
  <c r="C128" i="8"/>
  <c r="D128" i="8" s="1"/>
  <c r="C129" i="8"/>
  <c r="C130" i="8"/>
  <c r="C131" i="8"/>
  <c r="D131" i="8" s="1"/>
  <c r="C132" i="8"/>
  <c r="C133" i="8"/>
  <c r="C134" i="8"/>
  <c r="C135" i="8"/>
  <c r="D135" i="8" s="1"/>
  <c r="C136" i="8"/>
  <c r="D136" i="8" s="1"/>
  <c r="C137" i="8"/>
  <c r="C138" i="8"/>
  <c r="C139" i="8"/>
  <c r="D139" i="8" s="1"/>
  <c r="C140" i="8"/>
  <c r="C141" i="8"/>
  <c r="C142" i="8"/>
  <c r="C143" i="8"/>
  <c r="D143" i="8" s="1"/>
  <c r="C144" i="8"/>
  <c r="D144" i="8" s="1"/>
  <c r="C145" i="8"/>
  <c r="C146" i="8"/>
  <c r="C147" i="8"/>
  <c r="D147" i="8" s="1"/>
  <c r="C148" i="8"/>
  <c r="C149" i="8"/>
  <c r="C150" i="8"/>
  <c r="D150" i="8" s="1"/>
  <c r="C151" i="8"/>
  <c r="D151" i="8" s="1"/>
  <c r="C152" i="8"/>
  <c r="D152" i="8" s="1"/>
  <c r="C153" i="8"/>
  <c r="C154" i="8"/>
  <c r="C155" i="8"/>
  <c r="D155" i="8" s="1"/>
  <c r="C156" i="8"/>
  <c r="C157" i="8"/>
  <c r="C158" i="8"/>
  <c r="C159" i="8"/>
  <c r="D159" i="8" s="1"/>
  <c r="C160" i="8"/>
  <c r="D160" i="8" s="1"/>
  <c r="C161" i="8"/>
  <c r="C162" i="8"/>
  <c r="C163" i="8"/>
  <c r="D163" i="8" s="1"/>
  <c r="C164" i="8"/>
  <c r="C165" i="8"/>
  <c r="C166" i="8"/>
  <c r="C167" i="8"/>
  <c r="D167" i="8" s="1"/>
  <c r="C168" i="8"/>
  <c r="D168" i="8" s="1"/>
  <c r="C169" i="8"/>
  <c r="C170" i="8"/>
  <c r="C171" i="8"/>
  <c r="D171" i="8" s="1"/>
  <c r="C172" i="8"/>
  <c r="C173" i="8"/>
  <c r="C174" i="8"/>
  <c r="D174" i="8" s="1"/>
  <c r="C175" i="8"/>
  <c r="D175" i="8" s="1"/>
  <c r="C176" i="8"/>
  <c r="D176" i="8" s="1"/>
  <c r="C177" i="8"/>
  <c r="C178" i="8"/>
  <c r="C179" i="8"/>
  <c r="D179" i="8" s="1"/>
  <c r="C180" i="8"/>
  <c r="C181" i="8"/>
  <c r="C182" i="8"/>
  <c r="C183" i="8"/>
  <c r="D183" i="8" s="1"/>
  <c r="C184" i="8"/>
  <c r="D184" i="8" s="1"/>
  <c r="C185" i="8"/>
  <c r="C186" i="8"/>
  <c r="C187" i="8"/>
  <c r="D187" i="8" s="1"/>
  <c r="C188" i="8"/>
  <c r="C189" i="8"/>
  <c r="C190" i="8"/>
  <c r="D190" i="8" s="1"/>
  <c r="C191" i="8"/>
  <c r="D191" i="8" s="1"/>
  <c r="C192" i="8"/>
  <c r="D192" i="8" s="1"/>
  <c r="C193" i="8"/>
  <c r="C194" i="8"/>
  <c r="C195" i="8"/>
  <c r="D195" i="8" s="1"/>
  <c r="C196" i="8"/>
  <c r="C197" i="8"/>
  <c r="C198" i="8"/>
  <c r="D198" i="8" s="1"/>
  <c r="C199" i="8"/>
  <c r="D199" i="8" s="1"/>
  <c r="C200" i="8"/>
  <c r="D200" i="8" s="1"/>
  <c r="C201" i="8"/>
  <c r="C202" i="8"/>
  <c r="C203" i="8"/>
  <c r="D203" i="8" s="1"/>
  <c r="C204" i="8"/>
  <c r="C205" i="8"/>
  <c r="C206" i="8"/>
  <c r="C207" i="8"/>
  <c r="D207" i="8" s="1"/>
  <c r="C208" i="8"/>
  <c r="D208" i="8" s="1"/>
  <c r="C209" i="8"/>
  <c r="C210" i="8"/>
  <c r="C211" i="8"/>
  <c r="D211" i="8" s="1"/>
  <c r="C212" i="8"/>
  <c r="C213" i="8"/>
  <c r="C214" i="8"/>
  <c r="D214" i="8" s="1"/>
  <c r="C215" i="8"/>
  <c r="D215" i="8" s="1"/>
  <c r="C216" i="8"/>
  <c r="D216" i="8" s="1"/>
  <c r="C217" i="8"/>
  <c r="C218" i="8"/>
  <c r="C219" i="8"/>
  <c r="D219" i="8" s="1"/>
  <c r="C220" i="8"/>
  <c r="C221" i="8"/>
  <c r="C222" i="8"/>
  <c r="C223" i="8"/>
  <c r="D223" i="8" s="1"/>
  <c r="C224" i="8"/>
  <c r="D224" i="8" s="1"/>
  <c r="C225" i="8"/>
  <c r="C226" i="8"/>
  <c r="C227" i="8"/>
  <c r="D227" i="8" s="1"/>
  <c r="C228" i="8"/>
  <c r="C229" i="8"/>
  <c r="C230" i="8"/>
  <c r="D230" i="8" s="1"/>
  <c r="C231" i="8"/>
  <c r="D231" i="8" s="1"/>
  <c r="C232" i="8"/>
  <c r="D232" i="8" s="1"/>
  <c r="C233" i="8"/>
  <c r="C234" i="8"/>
  <c r="C235" i="8"/>
  <c r="D235" i="8" s="1"/>
  <c r="C236" i="8"/>
  <c r="C237" i="8"/>
  <c r="C238" i="8"/>
  <c r="D238" i="8" s="1"/>
  <c r="C239" i="8"/>
  <c r="D239" i="8" s="1"/>
  <c r="C240" i="8"/>
  <c r="D240" i="8" s="1"/>
  <c r="C241" i="8"/>
  <c r="C242" i="8"/>
  <c r="C243" i="8"/>
  <c r="D243" i="8" s="1"/>
  <c r="C244" i="8"/>
  <c r="C245" i="8"/>
  <c r="C246" i="8"/>
  <c r="D246" i="8" s="1"/>
  <c r="C247" i="8"/>
  <c r="D247" i="8" s="1"/>
  <c r="C248" i="8"/>
  <c r="D248" i="8" s="1"/>
  <c r="C249" i="8"/>
  <c r="C250" i="8"/>
  <c r="C251" i="8"/>
  <c r="D251" i="8" s="1"/>
  <c r="C252" i="8"/>
  <c r="C253" i="8"/>
  <c r="C254" i="8"/>
  <c r="C255" i="8"/>
  <c r="D255" i="8" s="1"/>
  <c r="C256" i="8"/>
  <c r="D256" i="8" s="1"/>
  <c r="C257" i="8"/>
  <c r="C258" i="8"/>
  <c r="C259" i="8"/>
  <c r="D259" i="8" s="1"/>
  <c r="C260" i="8"/>
  <c r="C261" i="8"/>
  <c r="C262" i="8"/>
  <c r="D262" i="8" s="1"/>
  <c r="C263" i="8"/>
  <c r="D263" i="8" s="1"/>
  <c r="C264" i="8"/>
  <c r="D264" i="8" s="1"/>
  <c r="C265" i="8"/>
  <c r="AP20" i="8" l="1"/>
  <c r="AR19" i="8"/>
  <c r="G17" i="8"/>
  <c r="I17" i="8" s="1"/>
  <c r="D254" i="8"/>
  <c r="D222" i="8"/>
  <c r="D206" i="8"/>
  <c r="D182" i="8"/>
  <c r="D166" i="8"/>
  <c r="D158" i="8"/>
  <c r="D142" i="8"/>
  <c r="D134" i="8"/>
  <c r="D126" i="8"/>
  <c r="D261" i="8"/>
  <c r="D253" i="8"/>
  <c r="D245" i="8"/>
  <c r="D237" i="8"/>
  <c r="D229" i="8"/>
  <c r="D221" i="8"/>
  <c r="D213" i="8"/>
  <c r="D205" i="8"/>
  <c r="D197" i="8"/>
  <c r="D189" i="8"/>
  <c r="D181" i="8"/>
  <c r="D173" i="8"/>
  <c r="D165" i="8"/>
  <c r="D157" i="8"/>
  <c r="D149" i="8"/>
  <c r="D141" i="8"/>
  <c r="D133" i="8"/>
  <c r="D125" i="8"/>
  <c r="D117" i="8"/>
  <c r="D260" i="8"/>
  <c r="D252" i="8"/>
  <c r="D244" i="8"/>
  <c r="D236" i="8"/>
  <c r="D228" i="8"/>
  <c r="D220" i="8"/>
  <c r="D212" i="8"/>
  <c r="D204" i="8"/>
  <c r="D196" i="8"/>
  <c r="D188" i="8"/>
  <c r="D180" i="8"/>
  <c r="D172" i="8"/>
  <c r="D164" i="8"/>
  <c r="D156" i="8"/>
  <c r="D148" i="8"/>
  <c r="D140" i="8"/>
  <c r="D132" i="8"/>
  <c r="D124" i="8"/>
  <c r="D116" i="8"/>
  <c r="D258" i="8"/>
  <c r="D250" i="8"/>
  <c r="D242" i="8"/>
  <c r="D234" i="8"/>
  <c r="D226" i="8"/>
  <c r="D218" i="8"/>
  <c r="D210" i="8"/>
  <c r="D202" i="8"/>
  <c r="D194" i="8"/>
  <c r="D186" i="8"/>
  <c r="D178" i="8"/>
  <c r="D170" i="8"/>
  <c r="D162" i="8"/>
  <c r="D154" i="8"/>
  <c r="D146" i="8"/>
  <c r="D138" i="8"/>
  <c r="D130" i="8"/>
  <c r="D122" i="8"/>
  <c r="D265" i="8"/>
  <c r="D257" i="8"/>
  <c r="D249" i="8"/>
  <c r="D241" i="8"/>
  <c r="D233" i="8"/>
  <c r="D225" i="8"/>
  <c r="D217" i="8"/>
  <c r="D209" i="8"/>
  <c r="D201" i="8"/>
  <c r="D193" i="8"/>
  <c r="D185" i="8"/>
  <c r="D177" i="8"/>
  <c r="D169" i="8"/>
  <c r="D161" i="8"/>
  <c r="D153" i="8"/>
  <c r="D145" i="8"/>
  <c r="D137" i="8"/>
  <c r="D129" i="8"/>
  <c r="D121" i="8"/>
  <c r="G18" i="8" l="1"/>
  <c r="I18" i="8" s="1"/>
  <c r="AP21" i="8"/>
  <c r="AR20" i="8"/>
  <c r="G19" i="8" l="1"/>
  <c r="G20" i="8" s="1"/>
  <c r="AP22" i="8"/>
  <c r="AR21" i="8"/>
  <c r="AL115" i="8"/>
  <c r="AM115" i="8" s="1"/>
  <c r="AL114" i="8"/>
  <c r="AM114" i="8" s="1"/>
  <c r="AL113" i="8"/>
  <c r="AM113" i="8" s="1"/>
  <c r="AL112" i="8"/>
  <c r="AM112" i="8" s="1"/>
  <c r="AL111" i="8"/>
  <c r="AM111" i="8" s="1"/>
  <c r="AL110" i="8"/>
  <c r="AM110" i="8" s="1"/>
  <c r="AL109" i="8"/>
  <c r="AM109" i="8" s="1"/>
  <c r="AL108" i="8"/>
  <c r="AM108" i="8" s="1"/>
  <c r="AL107" i="8"/>
  <c r="AM107" i="8" s="1"/>
  <c r="AL106" i="8"/>
  <c r="AM106" i="8" s="1"/>
  <c r="AL105" i="8"/>
  <c r="AM105" i="8" s="1"/>
  <c r="AL104" i="8"/>
  <c r="AM104" i="8" s="1"/>
  <c r="AL103" i="8"/>
  <c r="AM103" i="8" s="1"/>
  <c r="AL102" i="8"/>
  <c r="AM102" i="8" s="1"/>
  <c r="AL101" i="8"/>
  <c r="AM101" i="8" s="1"/>
  <c r="AL100" i="8"/>
  <c r="AM100" i="8" s="1"/>
  <c r="AL99" i="8"/>
  <c r="AM99" i="8" s="1"/>
  <c r="AL98" i="8"/>
  <c r="AM98" i="8" s="1"/>
  <c r="AL97" i="8"/>
  <c r="AM97" i="8" s="1"/>
  <c r="AL96" i="8"/>
  <c r="AM96" i="8" s="1"/>
  <c r="AL95" i="8"/>
  <c r="AM95" i="8" s="1"/>
  <c r="AL94" i="8"/>
  <c r="AM94" i="8" s="1"/>
  <c r="AL93" i="8"/>
  <c r="AM93" i="8" s="1"/>
  <c r="AL92" i="8"/>
  <c r="AM92" i="8" s="1"/>
  <c r="AL91" i="8"/>
  <c r="AM91" i="8" s="1"/>
  <c r="AL90" i="8"/>
  <c r="AM90" i="8" s="1"/>
  <c r="AL89" i="8"/>
  <c r="AM89" i="8" s="1"/>
  <c r="AL88" i="8"/>
  <c r="AM88" i="8" s="1"/>
  <c r="AL87" i="8"/>
  <c r="AM87" i="8" s="1"/>
  <c r="AL86" i="8"/>
  <c r="AM86" i="8" s="1"/>
  <c r="AL85" i="8"/>
  <c r="AM85" i="8" s="1"/>
  <c r="AL84" i="8"/>
  <c r="AM84" i="8" s="1"/>
  <c r="AL83" i="8"/>
  <c r="AM83" i="8" s="1"/>
  <c r="AL82" i="8"/>
  <c r="AM82" i="8" s="1"/>
  <c r="AL81" i="8"/>
  <c r="AM81" i="8" s="1"/>
  <c r="AL80" i="8"/>
  <c r="AM80" i="8" s="1"/>
  <c r="AL79" i="8"/>
  <c r="AM79" i="8" s="1"/>
  <c r="AL78" i="8"/>
  <c r="AM78" i="8" s="1"/>
  <c r="AL77" i="8"/>
  <c r="AM77" i="8" s="1"/>
  <c r="AL76" i="8"/>
  <c r="AM76" i="8" s="1"/>
  <c r="AL75" i="8"/>
  <c r="AM75" i="8" s="1"/>
  <c r="AL74" i="8"/>
  <c r="AM74" i="8" s="1"/>
  <c r="AL73" i="8"/>
  <c r="AM73" i="8" s="1"/>
  <c r="AL72" i="8"/>
  <c r="AM72" i="8" s="1"/>
  <c r="AL71" i="8"/>
  <c r="AM71" i="8" s="1"/>
  <c r="AL70" i="8"/>
  <c r="AM70" i="8" s="1"/>
  <c r="AL69" i="8"/>
  <c r="AM69" i="8" s="1"/>
  <c r="AL68" i="8"/>
  <c r="AM68" i="8" s="1"/>
  <c r="AL67" i="8"/>
  <c r="AM67" i="8" s="1"/>
  <c r="AL66" i="8"/>
  <c r="AM66" i="8" s="1"/>
  <c r="AL65" i="8"/>
  <c r="AM65" i="8" s="1"/>
  <c r="AL64" i="8"/>
  <c r="AM64" i="8" s="1"/>
  <c r="AL63" i="8"/>
  <c r="AM63" i="8" s="1"/>
  <c r="AL62" i="8"/>
  <c r="AM62" i="8" s="1"/>
  <c r="AL61" i="8"/>
  <c r="AM61" i="8" s="1"/>
  <c r="AL60" i="8"/>
  <c r="AM60" i="8" s="1"/>
  <c r="AL59" i="8"/>
  <c r="AM59" i="8" s="1"/>
  <c r="AL58" i="8"/>
  <c r="AM58" i="8" s="1"/>
  <c r="AL57" i="8"/>
  <c r="AM57" i="8" s="1"/>
  <c r="AL56" i="8"/>
  <c r="AM56" i="8" s="1"/>
  <c r="AL55" i="8"/>
  <c r="AM55" i="8" s="1"/>
  <c r="AL54" i="8"/>
  <c r="AM54" i="8" s="1"/>
  <c r="AL53" i="8"/>
  <c r="AM53" i="8" s="1"/>
  <c r="AL52" i="8"/>
  <c r="AM52" i="8" s="1"/>
  <c r="AL51" i="8"/>
  <c r="AM51" i="8" s="1"/>
  <c r="AL50" i="8"/>
  <c r="AM50" i="8" s="1"/>
  <c r="AL49" i="8"/>
  <c r="AM49" i="8" s="1"/>
  <c r="AL48" i="8"/>
  <c r="AM48" i="8" s="1"/>
  <c r="AL47" i="8"/>
  <c r="AM47" i="8" s="1"/>
  <c r="AL46" i="8"/>
  <c r="AM46" i="8" s="1"/>
  <c r="AL45" i="8"/>
  <c r="AM45" i="8" s="1"/>
  <c r="AL44" i="8"/>
  <c r="AM44" i="8" s="1"/>
  <c r="AL43" i="8"/>
  <c r="AM43" i="8" s="1"/>
  <c r="AL42" i="8"/>
  <c r="AM42" i="8" s="1"/>
  <c r="AL41" i="8"/>
  <c r="AM41" i="8" s="1"/>
  <c r="AL40" i="8"/>
  <c r="AM40" i="8" s="1"/>
  <c r="AL39" i="8"/>
  <c r="AM39" i="8" s="1"/>
  <c r="AL38" i="8"/>
  <c r="AM38" i="8" s="1"/>
  <c r="AL37" i="8"/>
  <c r="AM37" i="8" s="1"/>
  <c r="AL36" i="8"/>
  <c r="AM36" i="8" s="1"/>
  <c r="AL35" i="8"/>
  <c r="AM35" i="8" s="1"/>
  <c r="AL34" i="8"/>
  <c r="AM34" i="8" s="1"/>
  <c r="AL33" i="8"/>
  <c r="AM33" i="8" s="1"/>
  <c r="AL32" i="8"/>
  <c r="AM32" i="8" s="1"/>
  <c r="AL31" i="8"/>
  <c r="AM31" i="8" s="1"/>
  <c r="AL30" i="8"/>
  <c r="AM30" i="8" s="1"/>
  <c r="AL29" i="8"/>
  <c r="AM29" i="8" s="1"/>
  <c r="AL28" i="8"/>
  <c r="AM28" i="8" s="1"/>
  <c r="AL27" i="8"/>
  <c r="AM27" i="8" s="1"/>
  <c r="AL26" i="8"/>
  <c r="AM26" i="8" s="1"/>
  <c r="AL25" i="8"/>
  <c r="AM25" i="8" s="1"/>
  <c r="AL24" i="8"/>
  <c r="AM24" i="8" s="1"/>
  <c r="AL23" i="8"/>
  <c r="AM23" i="8" s="1"/>
  <c r="AL22" i="8"/>
  <c r="AM22" i="8" s="1"/>
  <c r="AL21" i="8"/>
  <c r="AM21" i="8" s="1"/>
  <c r="AL20" i="8"/>
  <c r="AM20" i="8" s="1"/>
  <c r="AL19" i="8"/>
  <c r="AM19" i="8" s="1"/>
  <c r="AL18" i="8"/>
  <c r="AM18" i="8" s="1"/>
  <c r="AL17" i="8"/>
  <c r="AM17" i="8" s="1"/>
  <c r="AL16" i="8"/>
  <c r="AM16" i="8" s="1"/>
  <c r="I19" i="8" l="1"/>
  <c r="AP23" i="8"/>
  <c r="AR22" i="8"/>
  <c r="AR50" i="8"/>
  <c r="AR49" i="8"/>
  <c r="G21" i="8"/>
  <c r="I20" i="8"/>
  <c r="AR55" i="8"/>
  <c r="AR54" i="8"/>
  <c r="AP24" i="8" l="1"/>
  <c r="AR23" i="8"/>
  <c r="G22" i="8"/>
  <c r="I21" i="8"/>
  <c r="AR51" i="8"/>
  <c r="AP25" i="8" l="1"/>
  <c r="AR24" i="8"/>
  <c r="G23" i="8"/>
  <c r="I22" i="8"/>
  <c r="AR52" i="8"/>
  <c r="AR53" i="8"/>
  <c r="AP26" i="8" l="1"/>
  <c r="AR25" i="8"/>
  <c r="G24" i="8"/>
  <c r="I23" i="8"/>
  <c r="AP27" i="8" l="1"/>
  <c r="AR26" i="8"/>
  <c r="G25" i="8"/>
  <c r="I24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AP28" i="8" l="1"/>
  <c r="AR27" i="8"/>
  <c r="G26" i="8"/>
  <c r="I25" i="8"/>
  <c r="D17" i="8"/>
  <c r="D19" i="8"/>
  <c r="D21" i="8"/>
  <c r="D23" i="8"/>
  <c r="D25" i="8"/>
  <c r="D27" i="8"/>
  <c r="D29" i="8"/>
  <c r="D31" i="8"/>
  <c r="D33" i="8"/>
  <c r="D35" i="8"/>
  <c r="D37" i="8"/>
  <c r="D39" i="8"/>
  <c r="D41" i="8"/>
  <c r="D43" i="8"/>
  <c r="D45" i="8"/>
  <c r="D47" i="8"/>
  <c r="D49" i="8"/>
  <c r="D51" i="8"/>
  <c r="D53" i="8"/>
  <c r="D55" i="8"/>
  <c r="D57" i="8"/>
  <c r="D59" i="8"/>
  <c r="D61" i="8"/>
  <c r="D63" i="8"/>
  <c r="D65" i="8"/>
  <c r="D67" i="8"/>
  <c r="D69" i="8"/>
  <c r="D71" i="8"/>
  <c r="D73" i="8"/>
  <c r="D75" i="8"/>
  <c r="D77" i="8"/>
  <c r="D79" i="8"/>
  <c r="D81" i="8"/>
  <c r="D83" i="8"/>
  <c r="D85" i="8"/>
  <c r="D87" i="8"/>
  <c r="D89" i="8"/>
  <c r="D91" i="8"/>
  <c r="D93" i="8"/>
  <c r="D95" i="8"/>
  <c r="D97" i="8"/>
  <c r="D99" i="8"/>
  <c r="D101" i="8"/>
  <c r="D103" i="8"/>
  <c r="D105" i="8"/>
  <c r="D107" i="8"/>
  <c r="D109" i="8"/>
  <c r="D111" i="8"/>
  <c r="D113" i="8"/>
  <c r="D115" i="8"/>
  <c r="D18" i="8"/>
  <c r="D20" i="8"/>
  <c r="D22" i="8"/>
  <c r="D24" i="8"/>
  <c r="D26" i="8"/>
  <c r="D28" i="8"/>
  <c r="D30" i="8"/>
  <c r="D32" i="8"/>
  <c r="D34" i="8"/>
  <c r="D36" i="8"/>
  <c r="D38" i="8"/>
  <c r="D40" i="8"/>
  <c r="D42" i="8"/>
  <c r="D44" i="8"/>
  <c r="D46" i="8"/>
  <c r="D48" i="8"/>
  <c r="D50" i="8"/>
  <c r="D52" i="8"/>
  <c r="D54" i="8"/>
  <c r="D56" i="8"/>
  <c r="D58" i="8"/>
  <c r="D60" i="8"/>
  <c r="D62" i="8"/>
  <c r="D64" i="8"/>
  <c r="D66" i="8"/>
  <c r="D68" i="8"/>
  <c r="D70" i="8"/>
  <c r="D72" i="8"/>
  <c r="D74" i="8"/>
  <c r="D76" i="8"/>
  <c r="D78" i="8"/>
  <c r="D80" i="8"/>
  <c r="D82" i="8"/>
  <c r="D84" i="8"/>
  <c r="D86" i="8"/>
  <c r="D88" i="8"/>
  <c r="D90" i="8"/>
  <c r="D92" i="8"/>
  <c r="D94" i="8"/>
  <c r="D96" i="8"/>
  <c r="D98" i="8"/>
  <c r="D100" i="8"/>
  <c r="D102" i="8"/>
  <c r="D104" i="8"/>
  <c r="D106" i="8"/>
  <c r="D108" i="8"/>
  <c r="D110" i="8"/>
  <c r="D112" i="8"/>
  <c r="D114" i="8"/>
  <c r="D16" i="8"/>
  <c r="AP29" i="8" l="1"/>
  <c r="AR28" i="8"/>
  <c r="J45" i="8"/>
  <c r="J46" i="8" s="1"/>
  <c r="J44" i="8"/>
  <c r="G27" i="8"/>
  <c r="I26" i="8"/>
  <c r="AP30" i="8" l="1"/>
  <c r="AR29" i="8"/>
  <c r="J47" i="8"/>
  <c r="G28" i="8"/>
  <c r="I27" i="8"/>
  <c r="J48" i="8"/>
  <c r="AP31" i="8" l="1"/>
  <c r="AR30" i="8"/>
  <c r="G29" i="8"/>
  <c r="I28" i="8"/>
  <c r="AP32" i="8" l="1"/>
  <c r="AR31" i="8"/>
  <c r="G30" i="8"/>
  <c r="I29" i="8"/>
  <c r="AP33" i="8" l="1"/>
  <c r="AR32" i="8"/>
  <c r="G31" i="8"/>
  <c r="I30" i="8"/>
  <c r="AP34" i="8" l="1"/>
  <c r="AR33" i="8"/>
  <c r="G32" i="8"/>
  <c r="I31" i="8"/>
  <c r="AP35" i="8" l="1"/>
  <c r="AR34" i="8"/>
  <c r="G33" i="8"/>
  <c r="I32" i="8"/>
  <c r="AP36" i="8" l="1"/>
  <c r="AR35" i="8"/>
  <c r="G34" i="8"/>
  <c r="I33" i="8"/>
  <c r="AR36" i="8" l="1"/>
  <c r="AP37" i="8"/>
  <c r="G35" i="8"/>
  <c r="I34" i="8"/>
  <c r="AP38" i="8" l="1"/>
  <c r="AR37" i="8"/>
  <c r="G36" i="8"/>
  <c r="I35" i="8"/>
  <c r="AP39" i="8" l="1"/>
  <c r="AR38" i="8"/>
  <c r="G37" i="8"/>
  <c r="I36" i="8"/>
  <c r="AP40" i="8" l="1"/>
  <c r="AR39" i="8"/>
  <c r="G38" i="8"/>
  <c r="I37" i="8"/>
  <c r="AP41" i="8" l="1"/>
  <c r="AR40" i="8"/>
  <c r="G39" i="8"/>
  <c r="I38" i="8"/>
  <c r="AP42" i="8" l="1"/>
  <c r="AR41" i="8"/>
  <c r="G40" i="8"/>
  <c r="I39" i="8"/>
  <c r="AR42" i="8" l="1"/>
  <c r="AP43" i="8"/>
  <c r="G41" i="8"/>
  <c r="I40" i="8"/>
  <c r="AP44" i="8" l="1"/>
  <c r="AR43" i="8"/>
  <c r="G42" i="8"/>
  <c r="H16" i="8" s="1" a="1"/>
  <c r="I41" i="8"/>
  <c r="H34" i="8" l="1"/>
  <c r="H27" i="8"/>
  <c r="H40" i="8"/>
  <c r="H33" i="8"/>
  <c r="H28" i="8"/>
  <c r="H31" i="8"/>
  <c r="H38" i="8"/>
  <c r="H37" i="8"/>
  <c r="H19" i="8"/>
  <c r="H41" i="8"/>
  <c r="H20" i="8"/>
  <c r="H17" i="8"/>
  <c r="H23" i="8"/>
  <c r="H32" i="8"/>
  <c r="H36" i="8"/>
  <c r="H26" i="8"/>
  <c r="H39" i="8"/>
  <c r="H42" i="8"/>
  <c r="H18" i="8"/>
  <c r="H30" i="8"/>
  <c r="H21" i="8"/>
  <c r="H25" i="8"/>
  <c r="H24" i="8"/>
  <c r="H16" i="8"/>
  <c r="H35" i="8"/>
  <c r="H22" i="8"/>
  <c r="H29" i="8"/>
  <c r="AP45" i="8"/>
  <c r="AR44" i="8"/>
  <c r="I42" i="8"/>
  <c r="AP46" i="8" l="1"/>
  <c r="AR45" i="8"/>
  <c r="AP47" i="8" l="1"/>
  <c r="AR46" i="8"/>
  <c r="AR47" i="8" l="1"/>
  <c r="AQ16" i="8" a="1"/>
  <c r="AQ32" i="8" l="1"/>
  <c r="AQ34" i="8"/>
  <c r="AQ36" i="8"/>
  <c r="AQ38" i="8"/>
  <c r="AQ40" i="8"/>
  <c r="AQ27" i="8"/>
  <c r="AQ33" i="8"/>
  <c r="AQ35" i="8"/>
  <c r="AQ47" i="8"/>
  <c r="AQ41" i="8"/>
  <c r="AQ43" i="8"/>
  <c r="AQ18" i="8"/>
  <c r="AQ24" i="8"/>
  <c r="AQ30" i="8"/>
  <c r="AQ42" i="8"/>
  <c r="AQ44" i="8"/>
  <c r="AQ46" i="8"/>
  <c r="AQ28" i="8"/>
  <c r="AQ23" i="8"/>
  <c r="AQ17" i="8"/>
  <c r="AQ19" i="8"/>
  <c r="AQ21" i="8"/>
  <c r="AQ31" i="8"/>
  <c r="AQ25" i="8"/>
  <c r="AQ29" i="8"/>
  <c r="AQ37" i="8"/>
  <c r="AQ45" i="8"/>
  <c r="AQ20" i="8"/>
  <c r="AQ26" i="8"/>
  <c r="AQ22" i="8"/>
  <c r="AQ39" i="8"/>
  <c r="AQ16" i="8"/>
</calcChain>
</file>

<file path=xl/sharedStrings.xml><?xml version="1.0" encoding="utf-8"?>
<sst xmlns="http://schemas.openxmlformats.org/spreadsheetml/2006/main" count="46" uniqueCount="29">
  <si>
    <t>a [%]</t>
  </si>
  <si>
    <t>c [%]</t>
  </si>
  <si>
    <t>b [%]</t>
  </si>
  <si>
    <t>a</t>
  </si>
  <si>
    <t>Minimum</t>
  </si>
  <si>
    <t>Maksimum</t>
  </si>
  <si>
    <t>f(x)</t>
  </si>
  <si>
    <t>p</t>
  </si>
  <si>
    <t>RAND()</t>
  </si>
  <si>
    <t>Frequency</t>
  </si>
  <si>
    <t>Average</t>
  </si>
  <si>
    <t>Std dev</t>
  </si>
  <si>
    <t>Confidence</t>
  </si>
  <si>
    <t>Lower limit</t>
  </si>
  <si>
    <t>Upper limit</t>
  </si>
  <si>
    <t>Normal</t>
  </si>
  <si>
    <t>attendees</t>
  </si>
  <si>
    <t>Mean</t>
  </si>
  <si>
    <t>Std dev.</t>
  </si>
  <si>
    <t>NORMAL()</t>
  </si>
  <si>
    <t>Triangular unsymmetrical</t>
  </si>
  <si>
    <t>Rates of return</t>
  </si>
  <si>
    <t>Triangular</t>
  </si>
  <si>
    <t>Exponential</t>
  </si>
  <si>
    <t>average</t>
  </si>
  <si>
    <t>Density function f(x)</t>
  </si>
  <si>
    <t>p=(c-a)/(b-a)</t>
  </si>
  <si>
    <t>x=a+(c-a)*SQRT(Rand2)</t>
  </si>
  <si>
    <t>x=b-(b-c)*SQRT(Rand2)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</si>
</sst>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zcionka tekstu podstawowego"/>
      <family val="2"/>
    </font>
    <font>
      <sz val="11"/>
      <color theme="0"/>
      <name val="Czcionka tekstu podstawowego"/>
      <family val="2"/>
    </font>
    <font>
      <sz val="24"/>
      <color theme="0"/>
      <name val="Czcionka tekstu podstawowego"/>
      <family val="2"/>
    </font>
    <font>
      <b/>
      <sz val="12"/>
      <color theme="1"/>
      <name val="Czcionka tekstu podstawowego"/>
    </font>
    <font>
      <b/>
      <sz val="11"/>
      <color theme="1"/>
      <name val="Czcionka tekstu podstawowego"/>
    </font>
    <font>
      <b/>
      <sz val="20"/>
      <color rgb="FF000000"/>
      <name val="Arial"/>
      <family val="2"/>
      <charset val="238"/>
    </font>
    <font>
      <sz val="12"/>
      <color theme="1"/>
      <name val="Czcionka tekstu podstawowego"/>
      <family val="2"/>
    </font>
    <font>
      <b/>
      <sz val="14"/>
      <color theme="1"/>
      <name val="Czcionka tekstu podstawowego"/>
    </font>
    <font>
      <b/>
      <sz val="11"/>
      <color theme="1"/>
      <name val="Czcionka tekstu podstawowego"/>
      <charset val="238"/>
    </font>
    <font>
      <b/>
      <sz val="10"/>
      <color theme="1"/>
      <name val="Czcionka tekstu podstawowego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5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164" fontId="6" fillId="0" borderId="0" xfId="0" applyNumberFormat="1" applyFont="1"/>
    <xf numFmtId="0" fontId="3" fillId="3" borderId="3" xfId="0" applyFont="1" applyFill="1" applyBorder="1"/>
    <xf numFmtId="0" fontId="7" fillId="3" borderId="4" xfId="0" applyFont="1" applyFill="1" applyBorder="1"/>
    <xf numFmtId="164" fontId="7" fillId="3" borderId="1" xfId="0" applyNumberFormat="1" applyFont="1" applyFill="1" applyBorder="1"/>
    <xf numFmtId="0" fontId="3" fillId="3" borderId="2" xfId="0" applyFont="1" applyFill="1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numRef>
              <c:f>'Solved examples'!$G$16:$G$42</c:f>
              <c:numCache>
                <c:formatCode>General</c:formatCode>
                <c:ptCount val="27"/>
                <c:pt idx="0">
                  <c:v>3800</c:v>
                </c:pt>
                <c:pt idx="1">
                  <c:v>3900</c:v>
                </c:pt>
                <c:pt idx="2">
                  <c:v>4000</c:v>
                </c:pt>
                <c:pt idx="3">
                  <c:v>4100</c:v>
                </c:pt>
                <c:pt idx="4">
                  <c:v>4200</c:v>
                </c:pt>
                <c:pt idx="5">
                  <c:v>4300</c:v>
                </c:pt>
                <c:pt idx="6">
                  <c:v>4400</c:v>
                </c:pt>
                <c:pt idx="7">
                  <c:v>4500</c:v>
                </c:pt>
                <c:pt idx="8">
                  <c:v>4600</c:v>
                </c:pt>
                <c:pt idx="9">
                  <c:v>4700</c:v>
                </c:pt>
                <c:pt idx="10">
                  <c:v>4800</c:v>
                </c:pt>
                <c:pt idx="11">
                  <c:v>4900</c:v>
                </c:pt>
                <c:pt idx="12">
                  <c:v>5000</c:v>
                </c:pt>
                <c:pt idx="13">
                  <c:v>5100</c:v>
                </c:pt>
                <c:pt idx="14">
                  <c:v>5200</c:v>
                </c:pt>
                <c:pt idx="15">
                  <c:v>5300</c:v>
                </c:pt>
                <c:pt idx="16">
                  <c:v>5400</c:v>
                </c:pt>
                <c:pt idx="17">
                  <c:v>5500</c:v>
                </c:pt>
                <c:pt idx="18">
                  <c:v>5600</c:v>
                </c:pt>
                <c:pt idx="19">
                  <c:v>5700</c:v>
                </c:pt>
                <c:pt idx="20">
                  <c:v>5800</c:v>
                </c:pt>
                <c:pt idx="21">
                  <c:v>5900</c:v>
                </c:pt>
                <c:pt idx="22">
                  <c:v>6000</c:v>
                </c:pt>
                <c:pt idx="23">
                  <c:v>6100</c:v>
                </c:pt>
                <c:pt idx="24">
                  <c:v>6200</c:v>
                </c:pt>
                <c:pt idx="25">
                  <c:v>6300</c:v>
                </c:pt>
                <c:pt idx="26">
                  <c:v>6400</c:v>
                </c:pt>
              </c:numCache>
            </c:numRef>
          </c:cat>
          <c:val>
            <c:numRef>
              <c:f>'Solved examples'!$H$16:$H$42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8</c:v>
                </c:pt>
                <c:pt idx="15">
                  <c:v>15</c:v>
                </c:pt>
                <c:pt idx="16">
                  <c:v>40</c:v>
                </c:pt>
                <c:pt idx="17">
                  <c:v>60</c:v>
                </c:pt>
                <c:pt idx="18">
                  <c:v>53</c:v>
                </c:pt>
                <c:pt idx="19">
                  <c:v>33</c:v>
                </c:pt>
                <c:pt idx="20">
                  <c:v>20</c:v>
                </c:pt>
                <c:pt idx="21">
                  <c:v>11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4-4562-97D9-65104E23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4917168"/>
        <c:axId val="484915208"/>
      </c:barChart>
      <c:lineChart>
        <c:grouping val="standard"/>
        <c:varyColors val="0"/>
        <c:ser>
          <c:idx val="0"/>
          <c:order val="1"/>
          <c:marker>
            <c:symbol val="none"/>
          </c:marker>
          <c:cat>
            <c:numRef>
              <c:f>'Solved examples'!$G$16:$G$42</c:f>
              <c:numCache>
                <c:formatCode>General</c:formatCode>
                <c:ptCount val="27"/>
                <c:pt idx="0">
                  <c:v>3800</c:v>
                </c:pt>
                <c:pt idx="1">
                  <c:v>3900</c:v>
                </c:pt>
                <c:pt idx="2">
                  <c:v>4000</c:v>
                </c:pt>
                <c:pt idx="3">
                  <c:v>4100</c:v>
                </c:pt>
                <c:pt idx="4">
                  <c:v>4200</c:v>
                </c:pt>
                <c:pt idx="5">
                  <c:v>4300</c:v>
                </c:pt>
                <c:pt idx="6">
                  <c:v>4400</c:v>
                </c:pt>
                <c:pt idx="7">
                  <c:v>4500</c:v>
                </c:pt>
                <c:pt idx="8">
                  <c:v>4600</c:v>
                </c:pt>
                <c:pt idx="9">
                  <c:v>4700</c:v>
                </c:pt>
                <c:pt idx="10">
                  <c:v>4800</c:v>
                </c:pt>
                <c:pt idx="11">
                  <c:v>4900</c:v>
                </c:pt>
                <c:pt idx="12">
                  <c:v>5000</c:v>
                </c:pt>
                <c:pt idx="13">
                  <c:v>5100</c:v>
                </c:pt>
                <c:pt idx="14">
                  <c:v>5200</c:v>
                </c:pt>
                <c:pt idx="15">
                  <c:v>5300</c:v>
                </c:pt>
                <c:pt idx="16">
                  <c:v>5400</c:v>
                </c:pt>
                <c:pt idx="17">
                  <c:v>5500</c:v>
                </c:pt>
                <c:pt idx="18">
                  <c:v>5600</c:v>
                </c:pt>
                <c:pt idx="19">
                  <c:v>5700</c:v>
                </c:pt>
                <c:pt idx="20">
                  <c:v>5800</c:v>
                </c:pt>
                <c:pt idx="21">
                  <c:v>5900</c:v>
                </c:pt>
                <c:pt idx="22">
                  <c:v>6000</c:v>
                </c:pt>
                <c:pt idx="23">
                  <c:v>6100</c:v>
                </c:pt>
                <c:pt idx="24">
                  <c:v>6200</c:v>
                </c:pt>
                <c:pt idx="25">
                  <c:v>6300</c:v>
                </c:pt>
                <c:pt idx="26">
                  <c:v>6400</c:v>
                </c:pt>
              </c:numCache>
            </c:numRef>
          </c:cat>
          <c:val>
            <c:numRef>
              <c:f>'Solved examples'!$I$16:$I$42</c:f>
              <c:numCache>
                <c:formatCode>General</c:formatCode>
                <c:ptCount val="27"/>
                <c:pt idx="0">
                  <c:v>4.0831178158347752E-19</c:v>
                </c:pt>
                <c:pt idx="1">
                  <c:v>2.5261355417684463E-17</c:v>
                </c:pt>
                <c:pt idx="2">
                  <c:v>1.2171602665145049E-15</c:v>
                </c:pt>
                <c:pt idx="3">
                  <c:v>4.5673602041822973E-14</c:v>
                </c:pt>
                <c:pt idx="4">
                  <c:v>1.3347783073814259E-12</c:v>
                </c:pt>
                <c:pt idx="5">
                  <c:v>3.0379414249116428E-11</c:v>
                </c:pt>
                <c:pt idx="6">
                  <c:v>5.3848800212716386E-10</c:v>
                </c:pt>
                <c:pt idx="7">
                  <c:v>7.4335975736714885E-9</c:v>
                </c:pt>
                <c:pt idx="8">
                  <c:v>7.9918705534527372E-8</c:v>
                </c:pt>
                <c:pt idx="9">
                  <c:v>6.6915112882442685E-7</c:v>
                </c:pt>
                <c:pt idx="10">
                  <c:v>4.3634134752288008E-6</c:v>
                </c:pt>
                <c:pt idx="11">
                  <c:v>2.2159242059690037E-5</c:v>
                </c:pt>
                <c:pt idx="12">
                  <c:v>8.7641502467842707E-5</c:v>
                </c:pt>
                <c:pt idx="13">
                  <c:v>2.6995483256594027E-4</c:v>
                </c:pt>
                <c:pt idx="14">
                  <c:v>6.4758797832945871E-4</c:v>
                </c:pt>
                <c:pt idx="15">
                  <c:v>1.2098536225957168E-3</c:v>
                </c:pt>
                <c:pt idx="16">
                  <c:v>1.7603266338214974E-3</c:v>
                </c:pt>
                <c:pt idx="17">
                  <c:v>1.9947114020071634E-3</c:v>
                </c:pt>
                <c:pt idx="18">
                  <c:v>1.7603266338214974E-3</c:v>
                </c:pt>
                <c:pt idx="19">
                  <c:v>1.2098536225957168E-3</c:v>
                </c:pt>
                <c:pt idx="20">
                  <c:v>6.4758797832945871E-4</c:v>
                </c:pt>
                <c:pt idx="21">
                  <c:v>2.6995483256594027E-4</c:v>
                </c:pt>
                <c:pt idx="22">
                  <c:v>8.7641502467842707E-5</c:v>
                </c:pt>
                <c:pt idx="23">
                  <c:v>2.2159242059690037E-5</c:v>
                </c:pt>
                <c:pt idx="24">
                  <c:v>4.3634134752288008E-6</c:v>
                </c:pt>
                <c:pt idx="25">
                  <c:v>6.6915112882442685E-7</c:v>
                </c:pt>
                <c:pt idx="26">
                  <c:v>7.9918705534527372E-8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1-43FE-A0FF-031BA8359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382751"/>
        <c:axId val="1547664431"/>
      </c:lineChart>
      <c:catAx>
        <c:axId val="484917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Value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4915208"/>
        <c:crosses val="autoZero"/>
        <c:auto val="1"/>
        <c:lblAlgn val="ctr"/>
        <c:lblOffset val="100"/>
        <c:noMultiLvlLbl val="0"/>
      </c:catAx>
      <c:valAx>
        <c:axId val="484915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Frequency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4917168"/>
        <c:crosses val="autoZero"/>
        <c:crossBetween val="between"/>
      </c:valAx>
      <c:valAx>
        <c:axId val="1547664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29382751"/>
        <c:crosses val="max"/>
        <c:crossBetween val="between"/>
      </c:valAx>
      <c:catAx>
        <c:axId val="1429382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7664431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Triangular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'Solved examples'!$Y$15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'Solved examples'!$X$16:$X$36</c:f>
              <c:numCache>
                <c:formatCode>General</c:formatCode>
                <c:ptCount val="2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</c:numCache>
            </c:numRef>
          </c:cat>
          <c:val>
            <c:numRef>
              <c:f>'Solved examples'!$Y$16:$Y$36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12</c:v>
                </c:pt>
                <c:pt idx="4">
                  <c:v>18</c:v>
                </c:pt>
                <c:pt idx="5">
                  <c:v>20</c:v>
                </c:pt>
                <c:pt idx="6">
                  <c:v>19</c:v>
                </c:pt>
                <c:pt idx="7">
                  <c:v>29</c:v>
                </c:pt>
                <c:pt idx="8">
                  <c:v>28</c:v>
                </c:pt>
                <c:pt idx="9">
                  <c:v>24</c:v>
                </c:pt>
                <c:pt idx="10">
                  <c:v>17</c:v>
                </c:pt>
                <c:pt idx="11">
                  <c:v>18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4</c:v>
                </c:pt>
                <c:pt idx="17">
                  <c:v>3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B-4171-A044-DE403E95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5403624"/>
        <c:axId val="485403232"/>
      </c:barChart>
      <c:lineChart>
        <c:grouping val="standard"/>
        <c:varyColors val="0"/>
        <c:ser>
          <c:idx val="1"/>
          <c:order val="1"/>
          <c:tx>
            <c:strRef>
              <c:f>'Solved examples'!$Z$15</c:f>
              <c:strCache>
                <c:ptCount val="1"/>
                <c:pt idx="0">
                  <c:v>Density function f(x)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'Solved examples'!$X$16:$X$36</c:f>
              <c:numCache>
                <c:formatCode>General</c:formatCode>
                <c:ptCount val="2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</c:numCache>
            </c:numRef>
          </c:cat>
          <c:val>
            <c:numRef>
              <c:f>'Solved examples'!$Z$16:$Z$36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0.1875</c:v>
                </c:pt>
                <c:pt idx="6">
                  <c:v>0.17499999999999999</c:v>
                </c:pt>
                <c:pt idx="7">
                  <c:v>0.16250000000000001</c:v>
                </c:pt>
                <c:pt idx="8">
                  <c:v>0.15</c:v>
                </c:pt>
                <c:pt idx="9">
                  <c:v>0.13750000000000001</c:v>
                </c:pt>
                <c:pt idx="10">
                  <c:v>0.125</c:v>
                </c:pt>
                <c:pt idx="11">
                  <c:v>0.1125</c:v>
                </c:pt>
                <c:pt idx="12">
                  <c:v>0.1</c:v>
                </c:pt>
                <c:pt idx="13">
                  <c:v>8.7499999999999994E-2</c:v>
                </c:pt>
                <c:pt idx="14">
                  <c:v>7.4999999999999997E-2</c:v>
                </c:pt>
                <c:pt idx="15">
                  <c:v>6.25E-2</c:v>
                </c:pt>
                <c:pt idx="16">
                  <c:v>0.05</c:v>
                </c:pt>
                <c:pt idx="17">
                  <c:v>3.7499999999999999E-2</c:v>
                </c:pt>
                <c:pt idx="18">
                  <c:v>2.5000000000000001E-2</c:v>
                </c:pt>
                <c:pt idx="19">
                  <c:v>1.2500000000000001E-2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7-4653-87F8-9A911B5D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174255"/>
        <c:axId val="1346310063"/>
      </c:lineChart>
      <c:catAx>
        <c:axId val="485403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Wartość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403232"/>
        <c:crosses val="autoZero"/>
        <c:auto val="1"/>
        <c:lblAlgn val="ctr"/>
        <c:lblOffset val="100"/>
        <c:noMultiLvlLbl val="0"/>
      </c:catAx>
      <c:valAx>
        <c:axId val="485403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Frequency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403624"/>
        <c:crosses val="autoZero"/>
        <c:crossBetween val="between"/>
      </c:valAx>
      <c:valAx>
        <c:axId val="13463100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93174255"/>
        <c:crosses val="max"/>
        <c:crossBetween val="between"/>
      </c:valAx>
      <c:catAx>
        <c:axId val="1693174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631006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Exponential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'Solved examples'!$AQ$15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'Solved examples'!$AP$16:$AP$47</c:f>
              <c:numCache>
                <c:formatCode>General</c:formatCode>
                <c:ptCount val="32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</c:numCache>
            </c:numRef>
          </c:cat>
          <c:val>
            <c:numRef>
              <c:f>'Solved examples'!$AQ$16:$AQ$47</c:f>
              <c:numCache>
                <c:formatCode>General</c:formatCode>
                <c:ptCount val="32"/>
                <c:pt idx="0">
                  <c:v>0</c:v>
                </c:pt>
                <c:pt idx="1">
                  <c:v>26</c:v>
                </c:pt>
                <c:pt idx="2">
                  <c:v>30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22</c:v>
                </c:pt>
                <c:pt idx="7">
                  <c:v>7</c:v>
                </c:pt>
                <c:pt idx="8">
                  <c:v>11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7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7</c:v>
                </c:pt>
                <c:pt idx="18">
                  <c:v>9</c:v>
                </c:pt>
                <c:pt idx="19">
                  <c:v>4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4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4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0-457C-A66F-36397551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5403624"/>
        <c:axId val="485403232"/>
      </c:barChart>
      <c:lineChart>
        <c:grouping val="standard"/>
        <c:varyColors val="0"/>
        <c:ser>
          <c:idx val="1"/>
          <c:order val="1"/>
          <c:tx>
            <c:strRef>
              <c:f>'Solved examples'!$AR$15</c:f>
              <c:strCache>
                <c:ptCount val="1"/>
                <c:pt idx="0">
                  <c:v>f(x)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'Solved examples'!$AP$16:$AP$47</c:f>
              <c:numCache>
                <c:formatCode>General</c:formatCode>
                <c:ptCount val="32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</c:numCache>
            </c:numRef>
          </c:cat>
          <c:val>
            <c:numRef>
              <c:f>'Solved examples'!$AR$16:$AR$47</c:f>
              <c:numCache>
                <c:formatCode>General</c:formatCode>
                <c:ptCount val="32"/>
                <c:pt idx="0">
                  <c:v>1.8181818181818181E-4</c:v>
                </c:pt>
                <c:pt idx="1">
                  <c:v>1.6601831205132042E-4</c:v>
                </c:pt>
                <c:pt idx="2">
                  <c:v>1.5159143965003282E-4</c:v>
                </c:pt>
                <c:pt idx="3">
                  <c:v>1.384182521267043E-4</c:v>
                </c:pt>
                <c:pt idx="4">
                  <c:v>1.2638980516343248E-4</c:v>
                </c:pt>
                <c:pt idx="5">
                  <c:v>1.1540662162550579E-4</c:v>
                </c:pt>
                <c:pt idx="6">
                  <c:v>1.0537786886996536E-4</c:v>
                </c:pt>
                <c:pt idx="7">
                  <c:v>9.6220607545463682E-5</c:v>
                </c:pt>
                <c:pt idx="8">
                  <c:v>8.7859105670877363E-5</c:v>
                </c:pt>
                <c:pt idx="9">
                  <c:v>8.0224212319997084E-5</c:v>
                </c:pt>
                <c:pt idx="10">
                  <c:v>7.3252785732569634E-5</c:v>
                </c:pt>
                <c:pt idx="11">
                  <c:v>6.6887171122080426E-5</c:v>
                </c:pt>
                <c:pt idx="12">
                  <c:v>6.1074723861665885E-5</c:v>
                </c:pt>
                <c:pt idx="13">
                  <c:v>5.5767374104828506E-5</c:v>
                </c:pt>
                <c:pt idx="14">
                  <c:v>5.0921229240299794E-5</c:v>
                </c:pt>
                <c:pt idx="15">
                  <c:v>4.649621089329102E-5</c:v>
                </c:pt>
                <c:pt idx="16">
                  <c:v>4.2455723471075168E-5</c:v>
                </c:pt>
                <c:pt idx="17">
                  <c:v>3.8766351511720387E-5</c:v>
                </c:pt>
                <c:pt idx="18">
                  <c:v>3.539758333300185E-5</c:v>
                </c:pt>
                <c:pt idx="19">
                  <c:v>3.2321558696025063E-5</c:v>
                </c:pt>
                <c:pt idx="20">
                  <c:v>2.9512838396699668E-5</c:v>
                </c:pt>
                <c:pt idx="21">
                  <c:v>2.6948193879549124E-5</c:v>
                </c:pt>
                <c:pt idx="22">
                  <c:v>2.4606415133929587E-5</c:v>
                </c:pt>
                <c:pt idx="23">
                  <c:v>2.2468135283929799E-5</c:v>
                </c:pt>
                <c:pt idx="24">
                  <c:v>2.0515670421283073E-5</c:v>
                </c:pt>
                <c:pt idx="25">
                  <c:v>1.8732873356684399E-5</c:v>
                </c:pt>
                <c:pt idx="26">
                  <c:v>1.7105000080013436E-5</c:v>
                </c:pt>
                <c:pt idx="27">
                  <c:v>1.5618587825068415E-5</c:v>
                </c:pt>
                <c:pt idx="28">
                  <c:v>1.4261343730387392E-5</c:v>
                </c:pt>
                <c:pt idx="29">
                  <c:v>1.3022043175364281E-5</c:v>
                </c:pt>
                <c:pt idx="30">
                  <c:v>1.1890436950883673E-5</c:v>
                </c:pt>
                <c:pt idx="31">
                  <c:v>1.0857166496760961E-5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0-4E8F-936E-01CA4B482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924735"/>
        <c:axId val="1344067327"/>
      </c:lineChart>
      <c:catAx>
        <c:axId val="485403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Wartość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403232"/>
        <c:crosses val="autoZero"/>
        <c:auto val="1"/>
        <c:lblAlgn val="ctr"/>
        <c:lblOffset val="100"/>
        <c:noMultiLvlLbl val="0"/>
      </c:catAx>
      <c:valAx>
        <c:axId val="485403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Frequency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403624"/>
        <c:crosses val="autoZero"/>
        <c:crossBetween val="between"/>
      </c:valAx>
      <c:valAx>
        <c:axId val="1344067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41924735"/>
        <c:crosses val="max"/>
        <c:crossBetween val="between"/>
      </c:valAx>
      <c:catAx>
        <c:axId val="1341924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4067327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419100</xdr:colOff>
      <xdr:row>5</xdr:row>
      <xdr:rowOff>164101</xdr:rowOff>
    </xdr:to>
    <xdr:sp macro="" textlink="">
      <xdr:nvSpPr>
        <xdr:cNvPr id="5" name="pole tekstow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673708" y="556517"/>
          <a:ext cx="6783370" cy="69921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square" rtlCol="0">
          <a:noAutofit/>
        </a:bodyPr>
        <a:lstStyle>
          <a:defPPr>
            <a:defRPr lang="pl-PL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rtl="0" eaLnBrk="1" fontAlgn="base" latinLnBrk="0" hangingPunct="1"/>
          <a:r>
            <a:rPr lang="pl-PL" sz="1100" u="sng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Example 1</a:t>
          </a:r>
          <a:r>
            <a:rPr lang="pl-PL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: The Society of Cardiologists must reserve hotel rooms for attendees at the annual congress. SC believes that the number of physicians attending the congress will have a normal distribution with a mean (</a:t>
          </a:r>
          <a:r>
            <a:rPr lang="el-GR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μ) </a:t>
          </a:r>
          <a:r>
            <a:rPr lang="pl-PL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of 5500 and a standard deviation (</a:t>
          </a:r>
          <a:r>
            <a:rPr lang="el-GR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σ) </a:t>
          </a:r>
          <a:r>
            <a:rPr lang="pl-PL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of 200.</a:t>
          </a:r>
          <a:endParaRPr lang="en-US" sz="1400">
            <a:effectLst/>
          </a:endParaRPr>
        </a:p>
      </xdr:txBody>
    </xdr:sp>
    <xdr:clientData/>
  </xdr:twoCellAnchor>
  <xdr:twoCellAnchor>
    <xdr:from>
      <xdr:col>9</xdr:col>
      <xdr:colOff>171449</xdr:colOff>
      <xdr:row>13</xdr:row>
      <xdr:rowOff>57150</xdr:rowOff>
    </xdr:from>
    <xdr:to>
      <xdr:col>17</xdr:col>
      <xdr:colOff>592190</xdr:colOff>
      <xdr:row>29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419100</xdr:colOff>
      <xdr:row>7</xdr:row>
      <xdr:rowOff>66675</xdr:rowOff>
    </xdr:to>
    <xdr:sp macro="" textlink="">
      <xdr:nvSpPr>
        <xdr:cNvPr id="3074" name="pole tekstowe 3073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 txBox="1"/>
      </xdr:nvSpPr>
      <xdr:spPr>
        <a:xfrm>
          <a:off x="21745575" y="561975"/>
          <a:ext cx="5924550" cy="971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square" rtlCol="0">
          <a:noAutofit/>
        </a:bodyPr>
        <a:lstStyle>
          <a:defPPr>
            <a:defRPr lang="pl-PL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rtl="0" eaLnBrk="1" fontAlgn="base" latinLnBrk="0" hangingPunct="1"/>
          <a:r>
            <a:rPr lang="pl-PL" sz="1100" u="sng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Example 2</a:t>
          </a:r>
          <a:r>
            <a:rPr lang="pl-PL" sz="11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: We invest on the stock market. The stock we have chosen is currently valued at 100 PLN. We expect that the next year's rate of return will be at least 10% (a), we are counting most on 12% (c), we also anticipate the possibility of obtaining 20% (b).</a:t>
          </a:r>
          <a:endParaRPr lang="en-US" sz="1400">
            <a:effectLst/>
          </a:endParaRPr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pl-PL" sz="1400" kern="1200">
              <a:solidFill>
                <a:schemeClr val="tx1"/>
              </a:solidFill>
              <a:latin typeface="Arial" charset="0"/>
              <a:ea typeface="+mn-ea"/>
              <a:cs typeface="+mn-cs"/>
            </a:rPr>
            <a:t>% (b). </a:t>
          </a:r>
          <a:endParaRPr lang="pl-PL" sz="1400" b="1" kern="1200">
            <a:solidFill>
              <a:schemeClr val="tx1"/>
            </a:solidFill>
            <a:latin typeface="Arial" charset="0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409290</xdr:colOff>
      <xdr:row>14</xdr:row>
      <xdr:rowOff>157180</xdr:rowOff>
    </xdr:from>
    <xdr:to>
      <xdr:col>34</xdr:col>
      <xdr:colOff>202950</xdr:colOff>
      <xdr:row>29</xdr:row>
      <xdr:rowOff>42880</xdr:rowOff>
    </xdr:to>
    <xdr:graphicFrame macro="">
      <xdr:nvGraphicFramePr>
        <xdr:cNvPr id="3076" name="Wykres 3075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2</xdr:row>
      <xdr:rowOff>0</xdr:rowOff>
    </xdr:from>
    <xdr:to>
      <xdr:col>44</xdr:col>
      <xdr:colOff>419100</xdr:colOff>
      <xdr:row>7</xdr:row>
      <xdr:rowOff>66675</xdr:rowOff>
    </xdr:to>
    <xdr:sp macro="" textlink="">
      <xdr:nvSpPr>
        <xdr:cNvPr id="3082" name="pole tekstowe 3081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 txBox="1"/>
      </xdr:nvSpPr>
      <xdr:spPr>
        <a:xfrm>
          <a:off x="32784435" y="553065"/>
          <a:ext cx="5662971" cy="93723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square" rtlCol="0">
          <a:noAutofit/>
        </a:bodyPr>
        <a:lstStyle>
          <a:defPPr>
            <a:defRPr lang="pl-PL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rtl="0" eaLnBrk="1" fontAlgn="base" latinLnBrk="0" hangingPunct="1"/>
          <a:r>
            <a:rPr lang="pl-PL" sz="1400" u="sng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Example 3</a:t>
          </a:r>
          <a:r>
            <a:rPr lang="pl-PL" sz="1400" kern="1200">
              <a:solidFill>
                <a:schemeClr val="tx1"/>
              </a:solidFill>
              <a:effectLst/>
              <a:latin typeface="Arial" charset="0"/>
              <a:ea typeface="+mn-ea"/>
              <a:cs typeface="+mn-cs"/>
            </a:rPr>
            <a:t>: The average time between arriving trucks is 5500 minutes</a:t>
          </a:r>
          <a:endParaRPr lang="en-US" sz="1400">
            <a:effectLst/>
          </a:endParaRPr>
        </a:p>
      </xdr:txBody>
    </xdr:sp>
    <xdr:clientData/>
  </xdr:twoCellAnchor>
  <xdr:twoCellAnchor>
    <xdr:from>
      <xdr:col>44</xdr:col>
      <xdr:colOff>180975</xdr:colOff>
      <xdr:row>14</xdr:row>
      <xdr:rowOff>171450</xdr:rowOff>
    </xdr:from>
    <xdr:to>
      <xdr:col>50</xdr:col>
      <xdr:colOff>638175</xdr:colOff>
      <xdr:row>29</xdr:row>
      <xdr:rowOff>57150</xdr:rowOff>
    </xdr:to>
    <xdr:graphicFrame macro="">
      <xdr:nvGraphicFramePr>
        <xdr:cNvPr id="3084" name="Wykres 3083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265"/>
  <sheetViews>
    <sheetView tabSelected="1" zoomScale="68" zoomScaleNormal="68" workbookViewId="0">
      <selection activeCell="K8" sqref="K8"/>
    </sheetView>
  </sheetViews>
  <sheetFormatPr defaultRowHeight="13.8"/>
  <cols>
    <col min="2" max="2" width="10.296875" customWidth="1"/>
    <col min="4" max="4" width="9.69921875" bestFit="1" customWidth="1"/>
    <col min="5" max="5" width="12.3984375" bestFit="1" customWidth="1"/>
    <col min="6" max="6" width="12.3984375" customWidth="1"/>
    <col min="9" max="9" width="12.3984375" bestFit="1" customWidth="1"/>
    <col min="10" max="10" width="12.69921875" customWidth="1"/>
    <col min="11" max="11" width="9.3984375" bestFit="1" customWidth="1"/>
    <col min="20" max="20" width="10.296875" bestFit="1" customWidth="1"/>
    <col min="26" max="26" width="10.3984375" customWidth="1"/>
    <col min="39" max="39" width="12.8984375" customWidth="1"/>
    <col min="44" max="44" width="10" customWidth="1"/>
  </cols>
  <sheetData>
    <row r="1" spans="2:44" ht="30">
      <c r="B1" s="1" t="s">
        <v>15</v>
      </c>
      <c r="C1" s="2"/>
      <c r="D1" s="2"/>
      <c r="E1" s="3"/>
      <c r="F1" s="3"/>
      <c r="S1" s="17" t="s">
        <v>20</v>
      </c>
      <c r="T1" s="17"/>
      <c r="U1" s="17"/>
      <c r="V1" s="17"/>
      <c r="W1" s="17"/>
      <c r="X1" s="17"/>
      <c r="Y1" s="17"/>
      <c r="Z1" s="17"/>
      <c r="AK1" s="17" t="s">
        <v>23</v>
      </c>
      <c r="AL1" s="17"/>
      <c r="AM1" s="17"/>
      <c r="AN1" s="17"/>
      <c r="AO1" s="17"/>
      <c r="AP1" s="17"/>
      <c r="AQ1" s="17"/>
      <c r="AR1" s="17"/>
    </row>
    <row r="9" spans="2:44" ht="16.5" customHeight="1">
      <c r="D9" s="4"/>
      <c r="S9" s="5" t="s">
        <v>21</v>
      </c>
      <c r="U9" s="4"/>
      <c r="AC9" s="16" t="s">
        <v>27</v>
      </c>
      <c r="AK9" s="5" t="s">
        <v>24</v>
      </c>
      <c r="AM9" s="4"/>
    </row>
    <row r="10" spans="2:44">
      <c r="S10" t="s">
        <v>0</v>
      </c>
      <c r="T10">
        <v>10</v>
      </c>
      <c r="AC10" s="16" t="s">
        <v>28</v>
      </c>
      <c r="AK10" t="s">
        <v>3</v>
      </c>
      <c r="AL10">
        <v>5500</v>
      </c>
    </row>
    <row r="11" spans="2:44" ht="15.6">
      <c r="B11" s="5" t="s">
        <v>16</v>
      </c>
      <c r="S11" s="6" t="s">
        <v>1</v>
      </c>
      <c r="T11" s="6">
        <v>12</v>
      </c>
      <c r="AK11" s="6"/>
      <c r="AL11" s="6"/>
    </row>
    <row r="12" spans="2:44" ht="15">
      <c r="B12" s="6" t="s">
        <v>17</v>
      </c>
      <c r="C12" s="6">
        <v>5500</v>
      </c>
      <c r="S12" s="6" t="s">
        <v>2</v>
      </c>
      <c r="T12" s="6">
        <v>20</v>
      </c>
      <c r="AK12" s="6"/>
      <c r="AL12" s="6"/>
    </row>
    <row r="13" spans="2:44" ht="15">
      <c r="B13" s="6" t="s">
        <v>18</v>
      </c>
      <c r="C13" s="6">
        <v>200</v>
      </c>
      <c r="S13" t="s">
        <v>7</v>
      </c>
      <c r="T13">
        <f>(T11-T10)/(T12-T10)</f>
        <v>0.2</v>
      </c>
      <c r="V13" s="16" t="s">
        <v>26</v>
      </c>
    </row>
    <row r="15" spans="2:44" ht="39.6">
      <c r="C15" s="7" t="s">
        <v>8</v>
      </c>
      <c r="D15" s="7" t="s">
        <v>19</v>
      </c>
      <c r="E15" s="13"/>
      <c r="F15" s="13"/>
      <c r="H15" s="14" t="s">
        <v>9</v>
      </c>
      <c r="I15" s="15" t="s">
        <v>25</v>
      </c>
      <c r="T15" s="7" t="s">
        <v>8</v>
      </c>
      <c r="U15" s="7" t="s">
        <v>8</v>
      </c>
      <c r="V15" s="7" t="s">
        <v>22</v>
      </c>
      <c r="Y15" s="14" t="s">
        <v>9</v>
      </c>
      <c r="Z15" s="15" t="s">
        <v>25</v>
      </c>
      <c r="AL15" s="7" t="s">
        <v>8</v>
      </c>
      <c r="AM15" s="7" t="s">
        <v>23</v>
      </c>
      <c r="AQ15" s="7" t="s">
        <v>9</v>
      </c>
      <c r="AR15" t="s">
        <v>6</v>
      </c>
    </row>
    <row r="16" spans="2:44" ht="15">
      <c r="B16" s="6">
        <v>1</v>
      </c>
      <c r="C16" s="6">
        <f ca="1">RAND()</f>
        <v>0.41292452726606421</v>
      </c>
      <c r="D16" s="8">
        <f ca="1">_xlfn.NORM.INV(C16,$C$12,$C$13)</f>
        <v>5455.9943245949917</v>
      </c>
      <c r="G16">
        <f>C12-3*C13-C12/5</f>
        <v>3800</v>
      </c>
      <c r="H16">
        <f t="array" aca="1" ref="H16:H42" ca="1">FREQUENCY(D16:D265,G16:G42)</f>
        <v>0</v>
      </c>
      <c r="I16">
        <f>_xlfn.NORM.DIST(G16,$C$12,$C$13,FALSE)</f>
        <v>4.0831178158347752E-19</v>
      </c>
      <c r="S16" s="6">
        <v>1</v>
      </c>
      <c r="T16" s="6">
        <f ca="1">RAND()</f>
        <v>0.81315301815172381</v>
      </c>
      <c r="U16">
        <f ca="1">RAND()</f>
        <v>0.7872069359508086</v>
      </c>
      <c r="V16" s="8">
        <f ca="1">IF(T16&lt;$T$13,$T$10+($T$11-$T$10)*SQRT(U16),$T$12-($T$12-$T$11)*SQRT(U16))</f>
        <v>12.902025366285693</v>
      </c>
      <c r="X16">
        <v>10</v>
      </c>
      <c r="Y16">
        <f t="array" aca="1" ref="Y16:Y36" ca="1">FREQUENCY(V16:V265,X16:X36)</f>
        <v>0</v>
      </c>
      <c r="Z16">
        <f>2*(X16-$T$10)/(($T$12-$T$10)*($T$11-$T$10))</f>
        <v>0</v>
      </c>
      <c r="AK16" s="6">
        <v>1</v>
      </c>
      <c r="AL16" s="6">
        <f ca="1">RAND()</f>
        <v>0.65846079484368403</v>
      </c>
      <c r="AM16" s="8">
        <f ca="1">-$AL$10*LN(AL16)</f>
        <v>2298.1766314908746</v>
      </c>
      <c r="AP16">
        <v>0</v>
      </c>
      <c r="AQ16">
        <f t="array" aca="1" ref="AQ16:AQ47" ca="1">FREQUENCY(AM16:AM265,AP16:AP47)</f>
        <v>0</v>
      </c>
      <c r="AR16">
        <f>(1/$AL$10)*EXP(-1/$AL$10*AP16)</f>
        <v>1.8181818181818181E-4</v>
      </c>
    </row>
    <row r="17" spans="2:44" ht="15">
      <c r="B17" s="6">
        <v>2</v>
      </c>
      <c r="C17" s="6">
        <f t="shared" ref="C17:C80" ca="1" si="0">RAND()</f>
        <v>0.60447004591622866</v>
      </c>
      <c r="D17" s="8">
        <f t="shared" ref="D17:D80" ca="1" si="1">_xlfn.NORM.INV(C17,$C$12,$C$13)</f>
        <v>5552.9869032027946</v>
      </c>
      <c r="G17">
        <f>G16+100</f>
        <v>3900</v>
      </c>
      <c r="H17">
        <f ca="1"/>
        <v>0</v>
      </c>
      <c r="I17">
        <f t="shared" ref="I17:I42" si="2">_xlfn.NORM.DIST(G17,$C$12,$C$13,FALSE)</f>
        <v>2.5261355417684463E-17</v>
      </c>
      <c r="S17" s="6">
        <v>2</v>
      </c>
      <c r="T17" s="6">
        <f t="shared" ref="T17:U80" ca="1" si="3">RAND()</f>
        <v>0.55252267810009503</v>
      </c>
      <c r="U17">
        <f t="shared" ca="1" si="3"/>
        <v>0.59359608618291049</v>
      </c>
      <c r="V17" s="8">
        <f t="shared" ref="V17:V80" ca="1" si="4">IF(T17&lt;$T$13,$T$10+($T$11-$T$10)*SQRT(U17),$T$12-($T$12-$T$11)*SQRT(U17))</f>
        <v>13.836385028596752</v>
      </c>
      <c r="X17">
        <v>10.5</v>
      </c>
      <c r="Y17">
        <f ca="1"/>
        <v>1</v>
      </c>
      <c r="Z17">
        <f t="shared" ref="Z17:Z20" si="5">2*(X17-$T$10)/(($T$12-$T$10)*($T$11-$T$10))</f>
        <v>0.05</v>
      </c>
      <c r="AK17" s="6">
        <v>2</v>
      </c>
      <c r="AL17" s="6">
        <f t="shared" ref="AL17:AL80" ca="1" si="6">RAND()</f>
        <v>0.63888684507493665</v>
      </c>
      <c r="AM17" s="8">
        <f t="shared" ref="AM17:AM80" ca="1" si="7">-$AL$10*LN(AL17)</f>
        <v>2464.1535684987089</v>
      </c>
      <c r="AP17">
        <f>AP16+500</f>
        <v>500</v>
      </c>
      <c r="AQ17">
        <f ca="1"/>
        <v>26</v>
      </c>
      <c r="AR17">
        <f t="shared" ref="AR17:AR47" si="8">(1/$AL$10)*EXP(-1/$AL$10*AP17)</f>
        <v>1.6601831205132042E-4</v>
      </c>
    </row>
    <row r="18" spans="2:44" ht="15">
      <c r="B18" s="6">
        <v>3</v>
      </c>
      <c r="C18" s="6">
        <f t="shared" ca="1" si="0"/>
        <v>7.7879757796589066E-2</v>
      </c>
      <c r="D18" s="8">
        <f t="shared" ca="1" si="1"/>
        <v>5216.1042690610102</v>
      </c>
      <c r="G18">
        <f t="shared" ref="G18:G42" si="9">G17+100</f>
        <v>4000</v>
      </c>
      <c r="H18">
        <f ca="1"/>
        <v>0</v>
      </c>
      <c r="I18">
        <f t="shared" si="2"/>
        <v>1.2171602665145049E-15</v>
      </c>
      <c r="S18" s="6">
        <v>3</v>
      </c>
      <c r="T18" s="6">
        <f t="shared" ca="1" si="3"/>
        <v>0.25798268596651086</v>
      </c>
      <c r="U18">
        <f t="shared" ca="1" si="3"/>
        <v>0.94181626110725913</v>
      </c>
      <c r="V18" s="8">
        <f t="shared" ca="1" si="4"/>
        <v>12.236222523097112</v>
      </c>
      <c r="X18">
        <v>11</v>
      </c>
      <c r="Y18">
        <f ca="1"/>
        <v>7</v>
      </c>
      <c r="Z18">
        <f t="shared" si="5"/>
        <v>0.1</v>
      </c>
      <c r="AK18" s="6">
        <v>3</v>
      </c>
      <c r="AL18" s="6">
        <f t="shared" ca="1" si="6"/>
        <v>0.63687717004284117</v>
      </c>
      <c r="AM18" s="8">
        <f t="shared" ca="1" si="7"/>
        <v>2481.4815722491485</v>
      </c>
      <c r="AP18">
        <f t="shared" ref="AP18:AP47" si="10">AP17+500</f>
        <v>1000</v>
      </c>
      <c r="AQ18">
        <f ca="1"/>
        <v>30</v>
      </c>
      <c r="AR18">
        <f t="shared" si="8"/>
        <v>1.5159143965003282E-4</v>
      </c>
    </row>
    <row r="19" spans="2:44" ht="15">
      <c r="B19" s="6">
        <v>4</v>
      </c>
      <c r="C19" s="6">
        <f t="shared" ca="1" si="0"/>
        <v>0.13773129065411349</v>
      </c>
      <c r="D19" s="8">
        <f t="shared" ca="1" si="1"/>
        <v>5281.8862022228495</v>
      </c>
      <c r="G19">
        <f t="shared" si="9"/>
        <v>4100</v>
      </c>
      <c r="H19">
        <f ca="1"/>
        <v>0</v>
      </c>
      <c r="I19">
        <f t="shared" si="2"/>
        <v>4.5673602041822973E-14</v>
      </c>
      <c r="S19" s="6">
        <v>4</v>
      </c>
      <c r="T19" s="6">
        <f t="shared" ca="1" si="3"/>
        <v>0.24395332846928586</v>
      </c>
      <c r="U19">
        <f t="shared" ca="1" si="3"/>
        <v>0.90777203579363486</v>
      </c>
      <c r="V19" s="8">
        <f t="shared" ca="1" si="4"/>
        <v>12.377834278186242</v>
      </c>
      <c r="X19">
        <v>11.5</v>
      </c>
      <c r="Y19">
        <f ca="1"/>
        <v>12</v>
      </c>
      <c r="Z19">
        <f t="shared" si="5"/>
        <v>0.15</v>
      </c>
      <c r="AK19" s="6">
        <v>4</v>
      </c>
      <c r="AL19" s="6">
        <f t="shared" ca="1" si="6"/>
        <v>0.93046597665629416</v>
      </c>
      <c r="AM19" s="8">
        <f t="shared" ca="1" si="7"/>
        <v>396.38372482774258</v>
      </c>
      <c r="AP19">
        <f t="shared" si="10"/>
        <v>1500</v>
      </c>
      <c r="AQ19">
        <f ca="1"/>
        <v>14</v>
      </c>
      <c r="AR19">
        <f t="shared" si="8"/>
        <v>1.384182521267043E-4</v>
      </c>
    </row>
    <row r="20" spans="2:44" ht="15">
      <c r="B20" s="6">
        <v>5</v>
      </c>
      <c r="C20" s="6">
        <f t="shared" ca="1" si="0"/>
        <v>0.44480551053469763</v>
      </c>
      <c r="D20" s="8">
        <f t="shared" ca="1" si="1"/>
        <v>5472.2407155038245</v>
      </c>
      <c r="G20">
        <f t="shared" si="9"/>
        <v>4200</v>
      </c>
      <c r="H20">
        <f ca="1"/>
        <v>0</v>
      </c>
      <c r="I20">
        <f t="shared" si="2"/>
        <v>1.3347783073814259E-12</v>
      </c>
      <c r="S20" s="6">
        <v>5</v>
      </c>
      <c r="T20" s="6">
        <f t="shared" ca="1" si="3"/>
        <v>0.83379484741595788</v>
      </c>
      <c r="U20">
        <f t="shared" ca="1" si="3"/>
        <v>0.86157736493773651</v>
      </c>
      <c r="V20" s="8">
        <f t="shared" ca="1" si="4"/>
        <v>12.574304655049795</v>
      </c>
      <c r="X20">
        <v>12</v>
      </c>
      <c r="Y20">
        <f ca="1"/>
        <v>18</v>
      </c>
      <c r="Z20">
        <f t="shared" si="5"/>
        <v>0.2</v>
      </c>
      <c r="AK20" s="6">
        <v>5</v>
      </c>
      <c r="AL20" s="6">
        <f t="shared" ca="1" si="6"/>
        <v>9.8349050617413059E-2</v>
      </c>
      <c r="AM20" s="8">
        <f t="shared" ca="1" si="7"/>
        <v>12755.778130126426</v>
      </c>
      <c r="AP20">
        <f t="shared" si="10"/>
        <v>2000</v>
      </c>
      <c r="AQ20">
        <f ca="1"/>
        <v>11</v>
      </c>
      <c r="AR20">
        <f t="shared" si="8"/>
        <v>1.2638980516343248E-4</v>
      </c>
    </row>
    <row r="21" spans="2:44" ht="15">
      <c r="B21" s="6">
        <v>6</v>
      </c>
      <c r="C21" s="6">
        <f t="shared" ca="1" si="0"/>
        <v>0.32907102355772888</v>
      </c>
      <c r="D21" s="8">
        <f t="shared" ca="1" si="1"/>
        <v>5411.50404072744</v>
      </c>
      <c r="G21">
        <f t="shared" si="9"/>
        <v>4300</v>
      </c>
      <c r="H21">
        <f ca="1"/>
        <v>0</v>
      </c>
      <c r="I21">
        <f t="shared" si="2"/>
        <v>3.0379414249116428E-11</v>
      </c>
      <c r="S21" s="6">
        <v>6</v>
      </c>
      <c r="T21" s="6">
        <f t="shared" ca="1" si="3"/>
        <v>0.64592508359849965</v>
      </c>
      <c r="U21">
        <f t="shared" ca="1" si="3"/>
        <v>0.58000623760776882</v>
      </c>
      <c r="V21" s="8">
        <f t="shared" ca="1" si="4"/>
        <v>13.90734875387593</v>
      </c>
      <c r="X21">
        <v>12.5</v>
      </c>
      <c r="Y21">
        <f ca="1"/>
        <v>20</v>
      </c>
      <c r="Z21">
        <f>2*($T$12-X21)/(($T$12-$T$10)*($T$12-$T$11))</f>
        <v>0.1875</v>
      </c>
      <c r="AK21" s="6">
        <v>6</v>
      </c>
      <c r="AL21" s="6">
        <f t="shared" ca="1" si="6"/>
        <v>0.87634268925434688</v>
      </c>
      <c r="AM21" s="8">
        <f t="shared" ca="1" si="7"/>
        <v>725.98936720591621</v>
      </c>
      <c r="AP21">
        <f t="shared" si="10"/>
        <v>2500</v>
      </c>
      <c r="AQ21">
        <f ca="1"/>
        <v>14</v>
      </c>
      <c r="AR21">
        <f t="shared" si="8"/>
        <v>1.1540662162550579E-4</v>
      </c>
    </row>
    <row r="22" spans="2:44" ht="15">
      <c r="B22" s="6">
        <v>7</v>
      </c>
      <c r="C22" s="6">
        <f t="shared" ca="1" si="0"/>
        <v>0.42641362171632136</v>
      </c>
      <c r="D22" s="8">
        <f t="shared" ca="1" si="1"/>
        <v>5462.8975424812024</v>
      </c>
      <c r="G22">
        <f t="shared" si="9"/>
        <v>4400</v>
      </c>
      <c r="H22">
        <f ca="1"/>
        <v>0</v>
      </c>
      <c r="I22">
        <f t="shared" si="2"/>
        <v>5.3848800212716386E-10</v>
      </c>
      <c r="S22" s="6">
        <v>7</v>
      </c>
      <c r="T22" s="6">
        <f t="shared" ca="1" si="3"/>
        <v>0.2713014470561913</v>
      </c>
      <c r="U22">
        <f t="shared" ca="1" si="3"/>
        <v>0.64555499444751752</v>
      </c>
      <c r="V22" s="8">
        <f t="shared" ca="1" si="4"/>
        <v>13.572285037072575</v>
      </c>
      <c r="X22">
        <v>13</v>
      </c>
      <c r="Y22">
        <f ca="1"/>
        <v>19</v>
      </c>
      <c r="Z22">
        <f t="shared" ref="Z22:Z36" si="11">2*($T$12-X22)/(($T$12-$T$10)*($T$12-$T$11))</f>
        <v>0.17499999999999999</v>
      </c>
      <c r="AK22" s="6">
        <v>7</v>
      </c>
      <c r="AL22" s="6">
        <f t="shared" ca="1" si="6"/>
        <v>0.21927797602841292</v>
      </c>
      <c r="AM22" s="8">
        <f t="shared" ca="1" si="7"/>
        <v>8345.7828140972106</v>
      </c>
      <c r="AP22">
        <f t="shared" si="10"/>
        <v>3000</v>
      </c>
      <c r="AQ22">
        <f ca="1"/>
        <v>22</v>
      </c>
      <c r="AR22">
        <f t="shared" si="8"/>
        <v>1.0537786886996536E-4</v>
      </c>
    </row>
    <row r="23" spans="2:44" ht="15">
      <c r="B23" s="6">
        <v>8</v>
      </c>
      <c r="C23" s="6">
        <f t="shared" ca="1" si="0"/>
        <v>0.97533724049100878</v>
      </c>
      <c r="D23" s="8">
        <f t="shared" ca="1" si="1"/>
        <v>5893.1534213973646</v>
      </c>
      <c r="G23">
        <f t="shared" si="9"/>
        <v>4500</v>
      </c>
      <c r="H23">
        <f ca="1"/>
        <v>0</v>
      </c>
      <c r="I23">
        <f t="shared" si="2"/>
        <v>7.4335975736714885E-9</v>
      </c>
      <c r="S23" s="6">
        <v>8</v>
      </c>
      <c r="T23" s="6">
        <f t="shared" ca="1" si="3"/>
        <v>0.77293624471133848</v>
      </c>
      <c r="U23">
        <f t="shared" ca="1" si="3"/>
        <v>0.27672928370687622</v>
      </c>
      <c r="V23" s="8">
        <f t="shared" ca="1" si="4"/>
        <v>15.791594820215135</v>
      </c>
      <c r="X23">
        <v>13.5</v>
      </c>
      <c r="Y23">
        <f ca="1"/>
        <v>29</v>
      </c>
      <c r="Z23">
        <f t="shared" si="11"/>
        <v>0.16250000000000001</v>
      </c>
      <c r="AK23" s="6">
        <v>8</v>
      </c>
      <c r="AL23" s="6">
        <f t="shared" ca="1" si="6"/>
        <v>0.50316279133795638</v>
      </c>
      <c r="AM23" s="8">
        <f t="shared" ca="1" si="7"/>
        <v>3777.6283622652709</v>
      </c>
      <c r="AP23">
        <f t="shared" si="10"/>
        <v>3500</v>
      </c>
      <c r="AQ23">
        <f ca="1"/>
        <v>7</v>
      </c>
      <c r="AR23">
        <f t="shared" si="8"/>
        <v>9.6220607545463682E-5</v>
      </c>
    </row>
    <row r="24" spans="2:44" ht="15">
      <c r="B24" s="6">
        <v>9</v>
      </c>
      <c r="C24" s="6">
        <f t="shared" ca="1" si="0"/>
        <v>0.44753328461619002</v>
      </c>
      <c r="D24" s="8">
        <f t="shared" ca="1" si="1"/>
        <v>5473.6208042242961</v>
      </c>
      <c r="G24">
        <f t="shared" si="9"/>
        <v>4600</v>
      </c>
      <c r="H24">
        <f ca="1"/>
        <v>0</v>
      </c>
      <c r="I24">
        <f t="shared" si="2"/>
        <v>7.9918705534527372E-8</v>
      </c>
      <c r="S24" s="6">
        <v>9</v>
      </c>
      <c r="T24" s="6">
        <f t="shared" ca="1" si="3"/>
        <v>6.6383978381569064E-2</v>
      </c>
      <c r="U24">
        <f t="shared" ca="1" si="3"/>
        <v>0.88743184938616859</v>
      </c>
      <c r="V24" s="8">
        <f t="shared" ca="1" si="4"/>
        <v>11.884072025572451</v>
      </c>
      <c r="X24">
        <v>14</v>
      </c>
      <c r="Y24">
        <f ca="1"/>
        <v>28</v>
      </c>
      <c r="Z24">
        <f t="shared" si="11"/>
        <v>0.15</v>
      </c>
      <c r="AK24" s="6">
        <v>9</v>
      </c>
      <c r="AL24" s="6">
        <f t="shared" ca="1" si="6"/>
        <v>0.99867962609437788</v>
      </c>
      <c r="AM24" s="8">
        <f t="shared" ca="1" si="7"/>
        <v>7.266855020236755</v>
      </c>
      <c r="AP24">
        <f t="shared" si="10"/>
        <v>4000</v>
      </c>
      <c r="AQ24">
        <f ca="1"/>
        <v>11</v>
      </c>
      <c r="AR24">
        <f t="shared" si="8"/>
        <v>8.7859105670877363E-5</v>
      </c>
    </row>
    <row r="25" spans="2:44" ht="15">
      <c r="B25" s="6">
        <v>10</v>
      </c>
      <c r="C25" s="6">
        <f t="shared" ca="1" si="0"/>
        <v>0.92644369313457786</v>
      </c>
      <c r="D25" s="8">
        <f t="shared" ca="1" si="1"/>
        <v>5789.9612087170426</v>
      </c>
      <c r="G25">
        <f t="shared" si="9"/>
        <v>4700</v>
      </c>
      <c r="H25">
        <f ca="1"/>
        <v>0</v>
      </c>
      <c r="I25">
        <f t="shared" si="2"/>
        <v>6.6915112882442685E-7</v>
      </c>
      <c r="S25" s="6">
        <v>10</v>
      </c>
      <c r="T25" s="6">
        <f t="shared" ca="1" si="3"/>
        <v>3.94028031904472E-2</v>
      </c>
      <c r="U25">
        <f t="shared" ca="1" si="3"/>
        <v>0.16540545529094486</v>
      </c>
      <c r="V25" s="8">
        <f t="shared" ca="1" si="4"/>
        <v>10.813401389944582</v>
      </c>
      <c r="X25">
        <v>14.5</v>
      </c>
      <c r="Y25">
        <f ca="1"/>
        <v>24</v>
      </c>
      <c r="Z25">
        <f t="shared" si="11"/>
        <v>0.13750000000000001</v>
      </c>
      <c r="AK25" s="6">
        <v>10</v>
      </c>
      <c r="AL25" s="6">
        <f t="shared" ca="1" si="6"/>
        <v>0.65946688024470712</v>
      </c>
      <c r="AM25" s="8">
        <f t="shared" ca="1" si="7"/>
        <v>2289.7794016806074</v>
      </c>
      <c r="AP25">
        <f t="shared" si="10"/>
        <v>4500</v>
      </c>
      <c r="AQ25">
        <f ca="1"/>
        <v>5</v>
      </c>
      <c r="AR25">
        <f t="shared" si="8"/>
        <v>8.0224212319997084E-5</v>
      </c>
    </row>
    <row r="26" spans="2:44" ht="15">
      <c r="B26" s="6">
        <v>11</v>
      </c>
      <c r="C26" s="6">
        <f t="shared" ca="1" si="0"/>
        <v>0.44112883419891991</v>
      </c>
      <c r="D26" s="8">
        <f t="shared" ca="1" si="1"/>
        <v>5470.3784335551245</v>
      </c>
      <c r="G26">
        <f t="shared" si="9"/>
        <v>4800</v>
      </c>
      <c r="H26">
        <f ca="1"/>
        <v>0</v>
      </c>
      <c r="I26">
        <f t="shared" si="2"/>
        <v>4.3634134752288008E-6</v>
      </c>
      <c r="S26" s="6">
        <v>11</v>
      </c>
      <c r="T26" s="6">
        <f t="shared" ca="1" si="3"/>
        <v>0.87175515566821293</v>
      </c>
      <c r="U26">
        <f t="shared" ca="1" si="3"/>
        <v>2.8315928262325762E-2</v>
      </c>
      <c r="V26" s="8">
        <f t="shared" ca="1" si="4"/>
        <v>18.653813011209493</v>
      </c>
      <c r="X26">
        <v>15</v>
      </c>
      <c r="Y26">
        <f ca="1"/>
        <v>17</v>
      </c>
      <c r="Z26">
        <f t="shared" si="11"/>
        <v>0.125</v>
      </c>
      <c r="AK26" s="6">
        <v>11</v>
      </c>
      <c r="AL26" s="6">
        <f t="shared" ca="1" si="6"/>
        <v>0.6883850016732147</v>
      </c>
      <c r="AM26" s="8">
        <f t="shared" ca="1" si="7"/>
        <v>2053.7385115977886</v>
      </c>
      <c r="AP26">
        <f t="shared" si="10"/>
        <v>5000</v>
      </c>
      <c r="AQ26">
        <f ca="1"/>
        <v>7</v>
      </c>
      <c r="AR26">
        <f t="shared" si="8"/>
        <v>7.3252785732569634E-5</v>
      </c>
    </row>
    <row r="27" spans="2:44" ht="15">
      <c r="B27" s="6">
        <v>12</v>
      </c>
      <c r="C27" s="6">
        <f t="shared" ca="1" si="0"/>
        <v>0.27841065477671678</v>
      </c>
      <c r="D27" s="8">
        <f t="shared" ca="1" si="1"/>
        <v>5382.4861063761409</v>
      </c>
      <c r="G27">
        <f t="shared" si="9"/>
        <v>4900</v>
      </c>
      <c r="H27">
        <f ca="1"/>
        <v>0</v>
      </c>
      <c r="I27">
        <f t="shared" si="2"/>
        <v>2.2159242059690037E-5</v>
      </c>
      <c r="S27" s="6">
        <v>12</v>
      </c>
      <c r="T27" s="6">
        <f t="shared" ca="1" si="3"/>
        <v>0.62961332492073352</v>
      </c>
      <c r="U27">
        <f t="shared" ca="1" si="3"/>
        <v>0.78989204377236089</v>
      </c>
      <c r="V27" s="8">
        <f t="shared" ca="1" si="4"/>
        <v>12.889930323728811</v>
      </c>
      <c r="X27">
        <v>15.5</v>
      </c>
      <c r="Y27">
        <f ca="1"/>
        <v>18</v>
      </c>
      <c r="Z27">
        <f t="shared" si="11"/>
        <v>0.1125</v>
      </c>
      <c r="AK27" s="6">
        <v>12</v>
      </c>
      <c r="AL27" s="6">
        <f t="shared" ca="1" si="6"/>
        <v>0.58378473972765088</v>
      </c>
      <c r="AM27" s="8">
        <f t="shared" ca="1" si="7"/>
        <v>2960.2262825245375</v>
      </c>
      <c r="AP27">
        <f t="shared" si="10"/>
        <v>5500</v>
      </c>
      <c r="AQ27">
        <f ca="1"/>
        <v>5</v>
      </c>
      <c r="AR27">
        <f t="shared" si="8"/>
        <v>6.6887171122080426E-5</v>
      </c>
    </row>
    <row r="28" spans="2:44" ht="15">
      <c r="B28" s="6">
        <v>13</v>
      </c>
      <c r="C28" s="6">
        <f t="shared" ca="1" si="0"/>
        <v>0.58517751023953901</v>
      </c>
      <c r="D28" s="8">
        <f t="shared" ca="1" si="1"/>
        <v>5543.0313833974333</v>
      </c>
      <c r="G28">
        <f t="shared" si="9"/>
        <v>5000</v>
      </c>
      <c r="H28">
        <f ca="1"/>
        <v>0</v>
      </c>
      <c r="I28">
        <f t="shared" si="2"/>
        <v>8.7641502467842707E-5</v>
      </c>
      <c r="S28" s="6">
        <v>13</v>
      </c>
      <c r="T28" s="6">
        <f t="shared" ca="1" si="3"/>
        <v>0.39776892589727386</v>
      </c>
      <c r="U28">
        <f t="shared" ca="1" si="3"/>
        <v>0.78614668747146876</v>
      </c>
      <c r="V28" s="8">
        <f t="shared" ca="1" si="4"/>
        <v>12.906806925074292</v>
      </c>
      <c r="X28">
        <v>16</v>
      </c>
      <c r="Y28">
        <f ca="1"/>
        <v>10</v>
      </c>
      <c r="Z28">
        <f t="shared" si="11"/>
        <v>0.1</v>
      </c>
      <c r="AK28" s="6">
        <v>13</v>
      </c>
      <c r="AL28" s="6">
        <f t="shared" ca="1" si="6"/>
        <v>6.1925097531253859E-2</v>
      </c>
      <c r="AM28" s="8">
        <f t="shared" ca="1" si="7"/>
        <v>15300.063507398916</v>
      </c>
      <c r="AP28">
        <f t="shared" si="10"/>
        <v>6000</v>
      </c>
      <c r="AQ28">
        <f ca="1"/>
        <v>4</v>
      </c>
      <c r="AR28">
        <f t="shared" si="8"/>
        <v>6.1074723861665885E-5</v>
      </c>
    </row>
    <row r="29" spans="2:44" ht="15">
      <c r="B29" s="6">
        <v>14</v>
      </c>
      <c r="C29" s="6">
        <f t="shared" ca="1" si="0"/>
        <v>0.222207579461975</v>
      </c>
      <c r="D29" s="8">
        <f t="shared" ca="1" si="1"/>
        <v>5347.0482311431279</v>
      </c>
      <c r="G29">
        <f t="shared" si="9"/>
        <v>5100</v>
      </c>
      <c r="H29">
        <f ca="1"/>
        <v>7</v>
      </c>
      <c r="I29">
        <f t="shared" si="2"/>
        <v>2.6995483256594027E-4</v>
      </c>
      <c r="S29" s="6">
        <v>14</v>
      </c>
      <c r="T29" s="6">
        <f t="shared" ca="1" si="3"/>
        <v>0.23885472192911172</v>
      </c>
      <c r="U29">
        <f t="shared" ca="1" si="3"/>
        <v>0.14973148725279484</v>
      </c>
      <c r="V29" s="8">
        <f t="shared" ca="1" si="4"/>
        <v>16.904387752934991</v>
      </c>
      <c r="X29">
        <v>16.5</v>
      </c>
      <c r="Y29">
        <f ca="1"/>
        <v>10</v>
      </c>
      <c r="Z29">
        <f t="shared" si="11"/>
        <v>8.7499999999999994E-2</v>
      </c>
      <c r="AK29" s="6">
        <v>14</v>
      </c>
      <c r="AL29" s="6">
        <f t="shared" ca="1" si="6"/>
        <v>0.77995830999884941</v>
      </c>
      <c r="AM29" s="8">
        <f t="shared" ca="1" si="7"/>
        <v>1366.8314519549645</v>
      </c>
      <c r="AP29">
        <f t="shared" si="10"/>
        <v>6500</v>
      </c>
      <c r="AQ29">
        <f ca="1"/>
        <v>7</v>
      </c>
      <c r="AR29">
        <f t="shared" si="8"/>
        <v>5.5767374104828506E-5</v>
      </c>
    </row>
    <row r="30" spans="2:44" ht="15">
      <c r="B30" s="6">
        <v>15</v>
      </c>
      <c r="C30" s="6">
        <f t="shared" ca="1" si="0"/>
        <v>0.10115770174049521</v>
      </c>
      <c r="D30" s="8">
        <f t="shared" ca="1" si="1"/>
        <v>5245.0034815355448</v>
      </c>
      <c r="G30">
        <f t="shared" si="9"/>
        <v>5200</v>
      </c>
      <c r="H30">
        <f ca="1"/>
        <v>8</v>
      </c>
      <c r="I30">
        <f t="shared" si="2"/>
        <v>6.4758797832945871E-4</v>
      </c>
      <c r="S30" s="6">
        <v>15</v>
      </c>
      <c r="T30" s="6">
        <f t="shared" ca="1" si="3"/>
        <v>0.77202695888789596</v>
      </c>
      <c r="U30">
        <f t="shared" ca="1" si="3"/>
        <v>0.98236852626432358</v>
      </c>
      <c r="V30" s="8">
        <f t="shared" ca="1" si="4"/>
        <v>12.070839534924476</v>
      </c>
      <c r="X30">
        <v>17</v>
      </c>
      <c r="Y30">
        <f ca="1"/>
        <v>10</v>
      </c>
      <c r="Z30">
        <f t="shared" si="11"/>
        <v>7.4999999999999997E-2</v>
      </c>
      <c r="AK30" s="6">
        <v>15</v>
      </c>
      <c r="AL30" s="6">
        <f t="shared" ca="1" si="6"/>
        <v>0.28280921968594563</v>
      </c>
      <c r="AM30" s="8">
        <f t="shared" ca="1" si="7"/>
        <v>6946.4050923062587</v>
      </c>
      <c r="AP30">
        <f t="shared" si="10"/>
        <v>7000</v>
      </c>
      <c r="AQ30">
        <f ca="1"/>
        <v>6</v>
      </c>
      <c r="AR30">
        <f t="shared" si="8"/>
        <v>5.0921229240299794E-5</v>
      </c>
    </row>
    <row r="31" spans="2:44" ht="15">
      <c r="B31" s="6">
        <v>16</v>
      </c>
      <c r="C31" s="6">
        <f t="shared" ca="1" si="0"/>
        <v>0.74137529557259074</v>
      </c>
      <c r="D31" s="8">
        <f t="shared" ca="1" si="1"/>
        <v>5629.5182343175875</v>
      </c>
      <c r="G31">
        <f t="shared" si="9"/>
        <v>5300</v>
      </c>
      <c r="H31">
        <f ca="1"/>
        <v>15</v>
      </c>
      <c r="I31">
        <f t="shared" si="2"/>
        <v>1.2098536225957168E-3</v>
      </c>
      <c r="S31" s="6">
        <v>16</v>
      </c>
      <c r="T31" s="6">
        <f t="shared" ca="1" si="3"/>
        <v>0.95978380826901122</v>
      </c>
      <c r="U31">
        <f t="shared" ca="1" si="3"/>
        <v>0.55631788806541072</v>
      </c>
      <c r="V31" s="8">
        <f t="shared" ca="1" si="4"/>
        <v>14.033062356938336</v>
      </c>
      <c r="X31">
        <v>17.5</v>
      </c>
      <c r="Y31">
        <f ca="1"/>
        <v>13</v>
      </c>
      <c r="Z31">
        <f t="shared" si="11"/>
        <v>6.25E-2</v>
      </c>
      <c r="AK31" s="6">
        <v>16</v>
      </c>
      <c r="AL31" s="6">
        <f t="shared" ca="1" si="6"/>
        <v>0.59561773482237379</v>
      </c>
      <c r="AM31" s="8">
        <f t="shared" ca="1" si="7"/>
        <v>2849.8591121992918</v>
      </c>
      <c r="AP31">
        <f t="shared" si="10"/>
        <v>7500</v>
      </c>
      <c r="AQ31">
        <f ca="1"/>
        <v>4</v>
      </c>
      <c r="AR31">
        <f t="shared" si="8"/>
        <v>4.649621089329102E-5</v>
      </c>
    </row>
    <row r="32" spans="2:44" ht="15">
      <c r="B32" s="6">
        <v>17</v>
      </c>
      <c r="C32" s="6">
        <f t="shared" ca="1" si="0"/>
        <v>0.325478445683832</v>
      </c>
      <c r="D32" s="8">
        <f t="shared" ca="1" si="1"/>
        <v>5409.5133481442736</v>
      </c>
      <c r="G32">
        <f t="shared" si="9"/>
        <v>5400</v>
      </c>
      <c r="H32">
        <f ca="1"/>
        <v>40</v>
      </c>
      <c r="I32">
        <f t="shared" si="2"/>
        <v>1.7603266338214974E-3</v>
      </c>
      <c r="S32" s="6">
        <v>17</v>
      </c>
      <c r="T32" s="6">
        <f t="shared" ca="1" si="3"/>
        <v>0.92697774067071237</v>
      </c>
      <c r="U32">
        <f t="shared" ca="1" si="3"/>
        <v>0.78397662771191223</v>
      </c>
      <c r="V32" s="8">
        <f t="shared" ca="1" si="4"/>
        <v>12.91660362724474</v>
      </c>
      <c r="X32">
        <v>18</v>
      </c>
      <c r="Y32">
        <f ca="1"/>
        <v>4</v>
      </c>
      <c r="Z32">
        <f t="shared" si="11"/>
        <v>0.05</v>
      </c>
      <c r="AK32" s="6">
        <v>17</v>
      </c>
      <c r="AL32" s="6">
        <f t="shared" ca="1" si="6"/>
        <v>0.62595635597068233</v>
      </c>
      <c r="AM32" s="8">
        <f t="shared" ca="1" si="7"/>
        <v>2576.6104606505305</v>
      </c>
      <c r="AP32">
        <f t="shared" si="10"/>
        <v>8000</v>
      </c>
      <c r="AQ32">
        <f ca="1"/>
        <v>5</v>
      </c>
      <c r="AR32">
        <f t="shared" si="8"/>
        <v>4.2455723471075168E-5</v>
      </c>
    </row>
    <row r="33" spans="2:44" ht="17.399999999999999">
      <c r="B33" s="6">
        <v>18</v>
      </c>
      <c r="C33" s="6">
        <f t="shared" ca="1" si="0"/>
        <v>0.57734734333359716</v>
      </c>
      <c r="D33" s="8">
        <f t="shared" ca="1" si="1"/>
        <v>5539.0223885395189</v>
      </c>
      <c r="G33">
        <f t="shared" si="9"/>
        <v>5500</v>
      </c>
      <c r="H33">
        <f ca="1"/>
        <v>60</v>
      </c>
      <c r="I33">
        <f t="shared" si="2"/>
        <v>1.9947114020071634E-3</v>
      </c>
      <c r="S33" s="6">
        <v>18</v>
      </c>
      <c r="T33" s="6">
        <f t="shared" ca="1" si="3"/>
        <v>0.49081576161846363</v>
      </c>
      <c r="U33">
        <f t="shared" ca="1" si="3"/>
        <v>0.25298657641627753</v>
      </c>
      <c r="V33" s="8">
        <f t="shared" ca="1" si="4"/>
        <v>15.976178322708403</v>
      </c>
      <c r="X33">
        <v>18.5</v>
      </c>
      <c r="Y33">
        <f ca="1"/>
        <v>3</v>
      </c>
      <c r="Z33">
        <f t="shared" si="11"/>
        <v>3.7499999999999999E-2</v>
      </c>
      <c r="AB33" s="9" t="s">
        <v>10</v>
      </c>
      <c r="AC33" s="10"/>
      <c r="AD33" s="11">
        <f ca="1">AVERAGE(V16:V265)</f>
        <v>14.099526032419492</v>
      </c>
      <c r="AK33" s="6">
        <v>18</v>
      </c>
      <c r="AL33" s="6">
        <f t="shared" ca="1" si="6"/>
        <v>0.28196863092685653</v>
      </c>
      <c r="AM33" s="8">
        <f t="shared" ca="1" si="7"/>
        <v>6962.7769864369102</v>
      </c>
      <c r="AP33">
        <f t="shared" si="10"/>
        <v>8500</v>
      </c>
      <c r="AQ33">
        <f ca="1"/>
        <v>7</v>
      </c>
      <c r="AR33">
        <f t="shared" si="8"/>
        <v>3.8766351511720387E-5</v>
      </c>
    </row>
    <row r="34" spans="2:44" ht="17.399999999999999">
      <c r="B34" s="6">
        <v>19</v>
      </c>
      <c r="C34" s="6">
        <f t="shared" ca="1" si="0"/>
        <v>0.73807259465425079</v>
      </c>
      <c r="D34" s="8">
        <f t="shared" ca="1" si="1"/>
        <v>5627.4829231146068</v>
      </c>
      <c r="G34">
        <f t="shared" si="9"/>
        <v>5600</v>
      </c>
      <c r="H34">
        <f ca="1"/>
        <v>53</v>
      </c>
      <c r="I34">
        <f t="shared" si="2"/>
        <v>1.7603266338214974E-3</v>
      </c>
      <c r="S34" s="6">
        <v>19</v>
      </c>
      <c r="T34" s="6">
        <f t="shared" ca="1" si="3"/>
        <v>0.16918674404343959</v>
      </c>
      <c r="U34">
        <f t="shared" ca="1" si="3"/>
        <v>0.95987554839040157</v>
      </c>
      <c r="V34" s="8">
        <f t="shared" ca="1" si="4"/>
        <v>11.959464772217558</v>
      </c>
      <c r="X34">
        <v>19</v>
      </c>
      <c r="Y34">
        <f ca="1"/>
        <v>7</v>
      </c>
      <c r="Z34">
        <f t="shared" si="11"/>
        <v>2.5000000000000001E-2</v>
      </c>
      <c r="AB34" s="9" t="s">
        <v>11</v>
      </c>
      <c r="AC34" s="10"/>
      <c r="AD34" s="11">
        <f ca="1">_xlfn.STDEV.S(V16:V265)</f>
        <v>1.9892344229027958</v>
      </c>
      <c r="AK34" s="6">
        <v>19</v>
      </c>
      <c r="AL34" s="6">
        <f t="shared" ca="1" si="6"/>
        <v>0.10974229316737949</v>
      </c>
      <c r="AM34" s="8">
        <f t="shared" ca="1" si="7"/>
        <v>12152.912481611231</v>
      </c>
      <c r="AP34">
        <f t="shared" si="10"/>
        <v>9000</v>
      </c>
      <c r="AQ34">
        <f ca="1"/>
        <v>9</v>
      </c>
      <c r="AR34">
        <f t="shared" si="8"/>
        <v>3.539758333300185E-5</v>
      </c>
    </row>
    <row r="35" spans="2:44" ht="17.399999999999999">
      <c r="B35" s="6">
        <v>20</v>
      </c>
      <c r="C35" s="6">
        <f t="shared" ca="1" si="0"/>
        <v>0.854445832505628</v>
      </c>
      <c r="D35" s="8">
        <f t="shared" ca="1" si="1"/>
        <v>5711.1386705813457</v>
      </c>
      <c r="G35">
        <f t="shared" si="9"/>
        <v>5700</v>
      </c>
      <c r="H35">
        <f ca="1"/>
        <v>33</v>
      </c>
      <c r="I35">
        <f t="shared" si="2"/>
        <v>1.2098536225957168E-3</v>
      </c>
      <c r="S35" s="6">
        <v>20</v>
      </c>
      <c r="T35" s="6">
        <f t="shared" ca="1" si="3"/>
        <v>0.1533051718622197</v>
      </c>
      <c r="U35">
        <f t="shared" ca="1" si="3"/>
        <v>0.72760876027477406</v>
      </c>
      <c r="V35" s="8">
        <f t="shared" ca="1" si="4"/>
        <v>11.705999718962197</v>
      </c>
      <c r="X35">
        <v>19.5</v>
      </c>
      <c r="Y35">
        <f ca="1"/>
        <v>0</v>
      </c>
      <c r="Z35">
        <f t="shared" si="11"/>
        <v>1.2500000000000001E-2</v>
      </c>
      <c r="AB35" s="9" t="s">
        <v>12</v>
      </c>
      <c r="AC35" s="10"/>
      <c r="AD35" s="11">
        <f ca="1">_xlfn.CONFIDENCE.T(0.05,AD34,250)</f>
        <v>0.24778788932011231</v>
      </c>
      <c r="AK35" s="6">
        <v>20</v>
      </c>
      <c r="AL35" s="6">
        <f t="shared" ca="1" si="6"/>
        <v>0.19872748170769805</v>
      </c>
      <c r="AM35" s="8">
        <f t="shared" ca="1" si="7"/>
        <v>8887.0145729776814</v>
      </c>
      <c r="AP35">
        <f t="shared" si="10"/>
        <v>9500</v>
      </c>
      <c r="AQ35">
        <f ca="1"/>
        <v>4</v>
      </c>
      <c r="AR35">
        <f t="shared" si="8"/>
        <v>3.2321558696025063E-5</v>
      </c>
    </row>
    <row r="36" spans="2:44" ht="17.399999999999999">
      <c r="B36" s="6">
        <v>21</v>
      </c>
      <c r="C36" s="6">
        <f t="shared" ca="1" si="0"/>
        <v>0.24962413961805274</v>
      </c>
      <c r="D36" s="8">
        <f t="shared" ca="1" si="1"/>
        <v>5364.8653991138144</v>
      </c>
      <c r="G36">
        <f t="shared" si="9"/>
        <v>5800</v>
      </c>
      <c r="H36">
        <f ca="1"/>
        <v>20</v>
      </c>
      <c r="I36">
        <f t="shared" si="2"/>
        <v>6.4758797832945871E-4</v>
      </c>
      <c r="S36" s="6">
        <v>21</v>
      </c>
      <c r="T36" s="6">
        <f t="shared" ca="1" si="3"/>
        <v>0.9366697234555903</v>
      </c>
      <c r="U36">
        <f t="shared" ca="1" si="3"/>
        <v>0.4947731905307271</v>
      </c>
      <c r="V36" s="8">
        <f t="shared" ca="1" si="4"/>
        <v>14.372790727725995</v>
      </c>
      <c r="X36">
        <v>20</v>
      </c>
      <c r="Y36">
        <f ca="1"/>
        <v>0</v>
      </c>
      <c r="Z36">
        <f t="shared" si="11"/>
        <v>0</v>
      </c>
      <c r="AB36" s="9" t="s">
        <v>13</v>
      </c>
      <c r="AC36" s="10"/>
      <c r="AD36" s="11">
        <f ca="1">AD33-AD35</f>
        <v>13.85173814309938</v>
      </c>
      <c r="AK36" s="6">
        <v>21</v>
      </c>
      <c r="AL36" s="6">
        <f t="shared" ca="1" si="6"/>
        <v>0.65082123296359917</v>
      </c>
      <c r="AM36" s="8">
        <f t="shared" ca="1" si="7"/>
        <v>2362.3615302464677</v>
      </c>
      <c r="AP36">
        <f t="shared" si="10"/>
        <v>10000</v>
      </c>
      <c r="AQ36">
        <f ca="1"/>
        <v>4</v>
      </c>
      <c r="AR36">
        <f t="shared" si="8"/>
        <v>2.9512838396699668E-5</v>
      </c>
    </row>
    <row r="37" spans="2:44" ht="17.399999999999999">
      <c r="B37" s="6">
        <v>22</v>
      </c>
      <c r="C37" s="6">
        <f t="shared" ca="1" si="0"/>
        <v>0.75703221332736237</v>
      </c>
      <c r="D37" s="8">
        <f t="shared" ca="1" si="1"/>
        <v>5639.3575692158247</v>
      </c>
      <c r="G37">
        <f t="shared" si="9"/>
        <v>5900</v>
      </c>
      <c r="H37">
        <f ca="1"/>
        <v>11</v>
      </c>
      <c r="I37">
        <f t="shared" si="2"/>
        <v>2.6995483256594027E-4</v>
      </c>
      <c r="S37" s="6">
        <v>22</v>
      </c>
      <c r="T37" s="6">
        <f t="shared" ca="1" si="3"/>
        <v>0.26989819358312261</v>
      </c>
      <c r="U37">
        <f t="shared" ca="1" si="3"/>
        <v>0.42165495578952672</v>
      </c>
      <c r="V37" s="8">
        <f t="shared" ca="1" si="4"/>
        <v>14.805202874940186</v>
      </c>
      <c r="AB37" s="9" t="s">
        <v>14</v>
      </c>
      <c r="AC37" s="10"/>
      <c r="AD37" s="11">
        <f ca="1">AD33+AD35</f>
        <v>14.347313921739604</v>
      </c>
      <c r="AK37" s="6">
        <v>22</v>
      </c>
      <c r="AL37" s="6">
        <f t="shared" ca="1" si="6"/>
        <v>0.59459748687335023</v>
      </c>
      <c r="AM37" s="8">
        <f t="shared" ca="1" si="7"/>
        <v>2859.2882725590757</v>
      </c>
      <c r="AP37">
        <f t="shared" si="10"/>
        <v>10500</v>
      </c>
      <c r="AQ37">
        <f ca="1"/>
        <v>7</v>
      </c>
      <c r="AR37">
        <f t="shared" si="8"/>
        <v>2.6948193879549124E-5</v>
      </c>
    </row>
    <row r="38" spans="2:44" ht="15">
      <c r="B38" s="6">
        <v>23</v>
      </c>
      <c r="C38" s="6">
        <f t="shared" ca="1" si="0"/>
        <v>0.1444310586555555</v>
      </c>
      <c r="D38" s="8">
        <f t="shared" ca="1" si="1"/>
        <v>5287.8757746102901</v>
      </c>
      <c r="G38">
        <f t="shared" si="9"/>
        <v>6000</v>
      </c>
      <c r="H38">
        <f ca="1"/>
        <v>2</v>
      </c>
      <c r="I38">
        <f t="shared" si="2"/>
        <v>8.7641502467842707E-5</v>
      </c>
      <c r="S38" s="6">
        <v>23</v>
      </c>
      <c r="T38" s="6">
        <f t="shared" ca="1" si="3"/>
        <v>0.70657665135273651</v>
      </c>
      <c r="U38">
        <f t="shared" ca="1" si="3"/>
        <v>0.916599635016484</v>
      </c>
      <c r="V38" s="8">
        <f t="shared" ca="1" si="4"/>
        <v>12.340863192170087</v>
      </c>
      <c r="AK38" s="6">
        <v>23</v>
      </c>
      <c r="AL38" s="6">
        <f t="shared" ca="1" si="6"/>
        <v>0.99162874811423463</v>
      </c>
      <c r="AM38" s="8">
        <f t="shared" ca="1" si="7"/>
        <v>46.235681785186316</v>
      </c>
      <c r="AP38">
        <f t="shared" si="10"/>
        <v>11000</v>
      </c>
      <c r="AQ38">
        <f ca="1"/>
        <v>7</v>
      </c>
      <c r="AR38">
        <f t="shared" si="8"/>
        <v>2.4606415133929587E-5</v>
      </c>
    </row>
    <row r="39" spans="2:44" ht="15">
      <c r="B39" s="6">
        <v>24</v>
      </c>
      <c r="C39" s="6">
        <f t="shared" ca="1" si="0"/>
        <v>0.58549512852245811</v>
      </c>
      <c r="D39" s="8">
        <f t="shared" ca="1" si="1"/>
        <v>5543.1943564613575</v>
      </c>
      <c r="G39">
        <f t="shared" si="9"/>
        <v>6100</v>
      </c>
      <c r="H39">
        <f ca="1"/>
        <v>1</v>
      </c>
      <c r="I39">
        <f t="shared" si="2"/>
        <v>2.2159242059690037E-5</v>
      </c>
      <c r="S39" s="6">
        <v>24</v>
      </c>
      <c r="T39" s="6">
        <f t="shared" ca="1" si="3"/>
        <v>0.78327669179615655</v>
      </c>
      <c r="U39">
        <f t="shared" ca="1" si="3"/>
        <v>0.98916618636676379</v>
      </c>
      <c r="V39" s="8">
        <f t="shared" ca="1" si="4"/>
        <v>12.043453266179299</v>
      </c>
      <c r="AK39" s="6">
        <v>24</v>
      </c>
      <c r="AL39" s="6">
        <f t="shared" ca="1" si="6"/>
        <v>0.38256524758719745</v>
      </c>
      <c r="AM39" s="8">
        <f t="shared" ca="1" si="7"/>
        <v>5284.7083208462154</v>
      </c>
      <c r="AP39">
        <f t="shared" si="10"/>
        <v>11500</v>
      </c>
      <c r="AQ39">
        <f ca="1"/>
        <v>1</v>
      </c>
      <c r="AR39">
        <f t="shared" si="8"/>
        <v>2.2468135283929799E-5</v>
      </c>
    </row>
    <row r="40" spans="2:44" ht="15">
      <c r="B40" s="6">
        <v>25</v>
      </c>
      <c r="C40" s="6">
        <f t="shared" ca="1" si="0"/>
        <v>0.58998529746975636</v>
      </c>
      <c r="D40" s="8">
        <f t="shared" ca="1" si="1"/>
        <v>5545.5014312969915</v>
      </c>
      <c r="G40">
        <f t="shared" si="9"/>
        <v>6200</v>
      </c>
      <c r="H40">
        <f ca="1"/>
        <v>0</v>
      </c>
      <c r="I40">
        <f t="shared" si="2"/>
        <v>4.3634134752288008E-6</v>
      </c>
      <c r="S40" s="6">
        <v>25</v>
      </c>
      <c r="T40" s="6">
        <f t="shared" ca="1" si="3"/>
        <v>0.67226979629786721</v>
      </c>
      <c r="U40">
        <f t="shared" ca="1" si="3"/>
        <v>0.24312512263842412</v>
      </c>
      <c r="V40" s="8">
        <f t="shared" ca="1" si="4"/>
        <v>16.055382420454531</v>
      </c>
      <c r="AK40" s="6">
        <v>25</v>
      </c>
      <c r="AL40" s="6">
        <f t="shared" ca="1" si="6"/>
        <v>0.89203091357122388</v>
      </c>
      <c r="AM40" s="8">
        <f t="shared" ca="1" si="7"/>
        <v>628.39969792967031</v>
      </c>
      <c r="AP40">
        <f t="shared" si="10"/>
        <v>12000</v>
      </c>
      <c r="AQ40">
        <f ca="1"/>
        <v>2</v>
      </c>
      <c r="AR40">
        <f t="shared" si="8"/>
        <v>2.0515670421283073E-5</v>
      </c>
    </row>
    <row r="41" spans="2:44" ht="15">
      <c r="B41" s="6">
        <v>26</v>
      </c>
      <c r="C41" s="6">
        <f t="shared" ca="1" si="0"/>
        <v>0.8267273459937986</v>
      </c>
      <c r="D41" s="8">
        <f t="shared" ca="1" si="1"/>
        <v>5688.2622778073728</v>
      </c>
      <c r="G41">
        <f t="shared" si="9"/>
        <v>6300</v>
      </c>
      <c r="H41">
        <f ca="1"/>
        <v>0</v>
      </c>
      <c r="I41">
        <f t="shared" si="2"/>
        <v>6.6915112882442685E-7</v>
      </c>
      <c r="S41" s="6">
        <v>26</v>
      </c>
      <c r="T41" s="6">
        <f t="shared" ca="1" si="3"/>
        <v>0.34496816474844438</v>
      </c>
      <c r="U41">
        <f t="shared" ca="1" si="3"/>
        <v>0.6085760899908832</v>
      </c>
      <c r="V41" s="8">
        <f t="shared" ca="1" si="4"/>
        <v>13.759097039737236</v>
      </c>
      <c r="AK41" s="6">
        <v>26</v>
      </c>
      <c r="AL41" s="6">
        <f t="shared" ca="1" si="6"/>
        <v>0.96579877958893467</v>
      </c>
      <c r="AM41" s="8">
        <f t="shared" ca="1" si="7"/>
        <v>191.39873043833569</v>
      </c>
      <c r="AP41">
        <f t="shared" si="10"/>
        <v>12500</v>
      </c>
      <c r="AQ41">
        <f ca="1"/>
        <v>1</v>
      </c>
      <c r="AR41">
        <f t="shared" si="8"/>
        <v>1.8732873356684399E-5</v>
      </c>
    </row>
    <row r="42" spans="2:44" ht="15">
      <c r="B42" s="6">
        <v>27</v>
      </c>
      <c r="C42" s="6">
        <f t="shared" ca="1" si="0"/>
        <v>0.46425478842154366</v>
      </c>
      <c r="D42" s="8">
        <f t="shared" ca="1" si="1"/>
        <v>5482.0559633832509</v>
      </c>
      <c r="G42">
        <f t="shared" si="9"/>
        <v>6400</v>
      </c>
      <c r="H42">
        <f ca="1"/>
        <v>0</v>
      </c>
      <c r="I42">
        <f t="shared" si="2"/>
        <v>7.9918705534527372E-8</v>
      </c>
      <c r="S42" s="6">
        <v>27</v>
      </c>
      <c r="T42" s="6">
        <f t="shared" ca="1" si="3"/>
        <v>0.43736133552874867</v>
      </c>
      <c r="U42">
        <f t="shared" ca="1" si="3"/>
        <v>0.88228801874222951</v>
      </c>
      <c r="V42" s="8">
        <f t="shared" ca="1" si="4"/>
        <v>12.48558497290024</v>
      </c>
      <c r="AK42" s="6">
        <v>27</v>
      </c>
      <c r="AL42" s="6">
        <f t="shared" ca="1" si="6"/>
        <v>0.22855446463360241</v>
      </c>
      <c r="AM42" s="8">
        <f t="shared" ca="1" si="7"/>
        <v>8117.8940688549101</v>
      </c>
      <c r="AP42">
        <f t="shared" si="10"/>
        <v>13000</v>
      </c>
      <c r="AQ42">
        <f ca="1"/>
        <v>4</v>
      </c>
      <c r="AR42">
        <f t="shared" si="8"/>
        <v>1.7105000080013436E-5</v>
      </c>
    </row>
    <row r="43" spans="2:44" ht="15">
      <c r="B43" s="6">
        <v>28</v>
      </c>
      <c r="C43" s="6">
        <f t="shared" ca="1" si="0"/>
        <v>0.61586498110879873</v>
      </c>
      <c r="D43" s="8">
        <f t="shared" ca="1" si="1"/>
        <v>5558.927702750846</v>
      </c>
      <c r="S43" s="6">
        <v>28</v>
      </c>
      <c r="T43" s="6">
        <f t="shared" ca="1" si="3"/>
        <v>0.66180612835385333</v>
      </c>
      <c r="U43">
        <f t="shared" ca="1" si="3"/>
        <v>0.78306165843706166</v>
      </c>
      <c r="V43" s="8">
        <f t="shared" ca="1" si="4"/>
        <v>12.920738305446537</v>
      </c>
      <c r="AK43" s="6">
        <v>28</v>
      </c>
      <c r="AL43" s="6">
        <f t="shared" ca="1" si="6"/>
        <v>0.48567518969577028</v>
      </c>
      <c r="AM43" s="8">
        <f t="shared" ca="1" si="7"/>
        <v>3972.1836686161437</v>
      </c>
      <c r="AP43">
        <f t="shared" si="10"/>
        <v>13500</v>
      </c>
      <c r="AQ43">
        <f ca="1"/>
        <v>1</v>
      </c>
      <c r="AR43">
        <f t="shared" si="8"/>
        <v>1.5618587825068415E-5</v>
      </c>
    </row>
    <row r="44" spans="2:44" ht="17.399999999999999">
      <c r="B44" s="6">
        <v>29</v>
      </c>
      <c r="C44" s="6">
        <f t="shared" ca="1" si="0"/>
        <v>0.5214552443579743</v>
      </c>
      <c r="D44" s="8">
        <f t="shared" ca="1" si="1"/>
        <v>5510.761254686955</v>
      </c>
      <c r="H44" s="9" t="s">
        <v>10</v>
      </c>
      <c r="I44" s="10"/>
      <c r="J44" s="11">
        <f ca="1">AVERAGE(D16:D265)</f>
        <v>5498.3811095624769</v>
      </c>
      <c r="S44" s="6">
        <v>29</v>
      </c>
      <c r="T44" s="6">
        <f t="shared" ca="1" si="3"/>
        <v>4.20749383692407E-2</v>
      </c>
      <c r="U44">
        <f t="shared" ca="1" si="3"/>
        <v>0.49350650458564849</v>
      </c>
      <c r="V44" s="8">
        <f t="shared" ca="1" si="4"/>
        <v>11.405000362399452</v>
      </c>
      <c r="AK44" s="6">
        <v>29</v>
      </c>
      <c r="AL44" s="6">
        <f t="shared" ca="1" si="6"/>
        <v>0.61990272064570806</v>
      </c>
      <c r="AM44" s="8">
        <f t="shared" ca="1" si="7"/>
        <v>2630.0599349077738</v>
      </c>
      <c r="AP44">
        <f t="shared" si="10"/>
        <v>14000</v>
      </c>
      <c r="AQ44">
        <f ca="1"/>
        <v>3</v>
      </c>
      <c r="AR44">
        <f t="shared" si="8"/>
        <v>1.4261343730387392E-5</v>
      </c>
    </row>
    <row r="45" spans="2:44" ht="17.399999999999999">
      <c r="B45" s="6">
        <v>30</v>
      </c>
      <c r="C45" s="6">
        <f t="shared" ca="1" si="0"/>
        <v>0.81382938331786125</v>
      </c>
      <c r="D45" s="8">
        <f t="shared" ca="1" si="1"/>
        <v>5678.4192915560907</v>
      </c>
      <c r="H45" s="9" t="s">
        <v>11</v>
      </c>
      <c r="I45" s="10"/>
      <c r="J45" s="11">
        <f ca="1">_xlfn.STDEV.S(D16:D265)</f>
        <v>185.66095946020764</v>
      </c>
      <c r="S45" s="6">
        <v>30</v>
      </c>
      <c r="T45" s="6">
        <f t="shared" ca="1" si="3"/>
        <v>0.30362565368372074</v>
      </c>
      <c r="U45">
        <f t="shared" ca="1" si="3"/>
        <v>0.64014315618024975</v>
      </c>
      <c r="V45" s="8">
        <f t="shared" ca="1" si="4"/>
        <v>13.599284259121017</v>
      </c>
      <c r="AK45" s="6">
        <v>30</v>
      </c>
      <c r="AL45" s="6">
        <f t="shared" ca="1" si="6"/>
        <v>0.14251864826235705</v>
      </c>
      <c r="AM45" s="8">
        <f t="shared" ca="1" si="7"/>
        <v>10715.553325600817</v>
      </c>
      <c r="AP45">
        <f t="shared" si="10"/>
        <v>14500</v>
      </c>
      <c r="AQ45">
        <f ca="1"/>
        <v>1</v>
      </c>
      <c r="AR45">
        <f t="shared" si="8"/>
        <v>1.3022043175364281E-5</v>
      </c>
    </row>
    <row r="46" spans="2:44" ht="17.399999999999999">
      <c r="B46" s="6">
        <v>31</v>
      </c>
      <c r="C46" s="6">
        <f t="shared" ca="1" si="0"/>
        <v>0.48533658022909032</v>
      </c>
      <c r="D46" s="8">
        <f t="shared" ca="1" si="1"/>
        <v>5492.6471954820163</v>
      </c>
      <c r="H46" s="9" t="s">
        <v>12</v>
      </c>
      <c r="I46" s="10"/>
      <c r="J46" s="11">
        <f ca="1">_xlfn.CONFIDENCE.T(0.05,J45,250)</f>
        <v>23.126755069248976</v>
      </c>
      <c r="S46" s="6">
        <v>31</v>
      </c>
      <c r="T46" s="6">
        <f t="shared" ca="1" si="3"/>
        <v>0.97038970904162658</v>
      </c>
      <c r="U46">
        <f t="shared" ca="1" si="3"/>
        <v>0.22125752705463342</v>
      </c>
      <c r="V46" s="8">
        <f t="shared" ca="1" si="4"/>
        <v>16.236958446748623</v>
      </c>
      <c r="AK46" s="6">
        <v>31</v>
      </c>
      <c r="AL46" s="6">
        <f t="shared" ca="1" si="6"/>
        <v>0.14532072796266093</v>
      </c>
      <c r="AM46" s="8">
        <f t="shared" ca="1" si="7"/>
        <v>10608.466342455933</v>
      </c>
      <c r="AP46">
        <f t="shared" si="10"/>
        <v>15000</v>
      </c>
      <c r="AQ46">
        <f ca="1"/>
        <v>4</v>
      </c>
      <c r="AR46">
        <f t="shared" si="8"/>
        <v>1.1890436950883673E-5</v>
      </c>
    </row>
    <row r="47" spans="2:44" ht="17.399999999999999">
      <c r="B47" s="6">
        <v>32</v>
      </c>
      <c r="C47" s="6">
        <f t="shared" ca="1" si="0"/>
        <v>0.25859759819683026</v>
      </c>
      <c r="D47" s="8">
        <f t="shared" ca="1" si="1"/>
        <v>5370.4650059600353</v>
      </c>
      <c r="H47" s="9" t="s">
        <v>13</v>
      </c>
      <c r="I47" s="10"/>
      <c r="J47" s="11">
        <f ca="1">J44-J46</f>
        <v>5475.2543544932278</v>
      </c>
      <c r="S47" s="6">
        <v>32</v>
      </c>
      <c r="T47" s="6">
        <f t="shared" ca="1" si="3"/>
        <v>3.4420654882469925E-2</v>
      </c>
      <c r="U47">
        <f t="shared" ca="1" si="3"/>
        <v>0.8640727242798828</v>
      </c>
      <c r="V47" s="8">
        <f t="shared" ca="1" si="4"/>
        <v>11.85911024340127</v>
      </c>
      <c r="AK47" s="6">
        <v>32</v>
      </c>
      <c r="AL47" s="6">
        <f t="shared" ca="1" si="6"/>
        <v>0.65128823905703825</v>
      </c>
      <c r="AM47" s="8">
        <f t="shared" ca="1" si="7"/>
        <v>2358.4163417976638</v>
      </c>
      <c r="AP47">
        <f t="shared" si="10"/>
        <v>15500</v>
      </c>
      <c r="AQ47">
        <f ca="1"/>
        <v>2</v>
      </c>
      <c r="AR47">
        <f t="shared" si="8"/>
        <v>1.0857166496760961E-5</v>
      </c>
    </row>
    <row r="48" spans="2:44" ht="17.399999999999999">
      <c r="B48" s="6">
        <v>33</v>
      </c>
      <c r="C48" s="6">
        <f t="shared" ca="1" si="0"/>
        <v>0.49418924289518884</v>
      </c>
      <c r="D48" s="8">
        <f t="shared" ca="1" si="1"/>
        <v>5497.0868153789143</v>
      </c>
      <c r="H48" s="9" t="s">
        <v>14</v>
      </c>
      <c r="I48" s="10"/>
      <c r="J48" s="11">
        <f ca="1">J44+J46</f>
        <v>5521.5078646317261</v>
      </c>
      <c r="S48" s="6">
        <v>33</v>
      </c>
      <c r="T48" s="6">
        <f t="shared" ca="1" si="3"/>
        <v>0.58804858423057182</v>
      </c>
      <c r="U48">
        <f t="shared" ca="1" si="3"/>
        <v>0.91619252325559331</v>
      </c>
      <c r="V48" s="8">
        <f t="shared" ca="1" si="4"/>
        <v>12.342564300736312</v>
      </c>
      <c r="AK48" s="6">
        <v>33</v>
      </c>
      <c r="AL48" s="6">
        <f t="shared" ca="1" si="6"/>
        <v>0.85534332781030253</v>
      </c>
      <c r="AM48" s="8">
        <f t="shared" ca="1" si="7"/>
        <v>859.38785708434091</v>
      </c>
    </row>
    <row r="49" spans="2:44" ht="17.399999999999999">
      <c r="B49" s="6">
        <v>34</v>
      </c>
      <c r="C49" s="6">
        <f t="shared" ca="1" si="0"/>
        <v>0.2872269871880484</v>
      </c>
      <c r="D49" s="8">
        <f t="shared" ca="1" si="1"/>
        <v>5387.6991912349649</v>
      </c>
      <c r="S49" s="6">
        <v>34</v>
      </c>
      <c r="T49" s="6">
        <f t="shared" ca="1" si="3"/>
        <v>0.36074780196953016</v>
      </c>
      <c r="U49">
        <f t="shared" ca="1" si="3"/>
        <v>0.61201960195586014</v>
      </c>
      <c r="V49" s="8">
        <f t="shared" ca="1" si="4"/>
        <v>13.741465465048943</v>
      </c>
      <c r="AK49" s="6">
        <v>34</v>
      </c>
      <c r="AL49" s="6">
        <f t="shared" ca="1" si="6"/>
        <v>0.9381171141045247</v>
      </c>
      <c r="AM49" s="8">
        <f t="shared" ca="1" si="7"/>
        <v>351.34265456163422</v>
      </c>
      <c r="AP49" s="9" t="s">
        <v>10</v>
      </c>
      <c r="AQ49" s="10"/>
      <c r="AR49" s="11">
        <f ca="1">AVERAGE(AM16:AM265)</f>
        <v>5710.0711722137303</v>
      </c>
    </row>
    <row r="50" spans="2:44" ht="17.399999999999999">
      <c r="B50" s="6">
        <v>35</v>
      </c>
      <c r="C50" s="6">
        <f t="shared" ca="1" si="0"/>
        <v>0.37323493677761321</v>
      </c>
      <c r="D50" s="8">
        <f t="shared" ca="1" si="1"/>
        <v>5435.3404805651417</v>
      </c>
      <c r="S50" s="6">
        <v>35</v>
      </c>
      <c r="T50" s="6">
        <f t="shared" ca="1" si="3"/>
        <v>0.66489059671176198</v>
      </c>
      <c r="U50">
        <f t="shared" ca="1" si="3"/>
        <v>1.7669558669110685E-2</v>
      </c>
      <c r="V50" s="8">
        <f t="shared" ca="1" si="4"/>
        <v>18.936584862425271</v>
      </c>
      <c r="AK50" s="6">
        <v>35</v>
      </c>
      <c r="AL50" s="6">
        <f t="shared" ca="1" si="6"/>
        <v>0.51138890503983825</v>
      </c>
      <c r="AM50" s="8">
        <f t="shared" ca="1" si="7"/>
        <v>3688.4370139573271</v>
      </c>
      <c r="AP50" s="9" t="s">
        <v>11</v>
      </c>
      <c r="AQ50" s="10"/>
      <c r="AR50" s="11">
        <f ca="1">_xlfn.STDEV.S(AM16:AM265)</f>
        <v>5946.5537058533973</v>
      </c>
    </row>
    <row r="51" spans="2:44" ht="17.399999999999999">
      <c r="B51" s="6">
        <v>36</v>
      </c>
      <c r="C51" s="6">
        <f t="shared" ca="1" si="0"/>
        <v>0.67279342222361338</v>
      </c>
      <c r="D51" s="8">
        <f t="shared" ca="1" si="1"/>
        <v>5589.5279652601967</v>
      </c>
      <c r="S51" s="6">
        <v>36</v>
      </c>
      <c r="T51" s="6">
        <f t="shared" ca="1" si="3"/>
        <v>0.31737962922126473</v>
      </c>
      <c r="U51">
        <f t="shared" ca="1" si="3"/>
        <v>0.27070966132638186</v>
      </c>
      <c r="V51" s="8">
        <f t="shared" ca="1" si="4"/>
        <v>15.83761867137471</v>
      </c>
      <c r="AK51" s="6">
        <v>36</v>
      </c>
      <c r="AL51" s="6">
        <f t="shared" ca="1" si="6"/>
        <v>0.86742331283173424</v>
      </c>
      <c r="AM51" s="8">
        <f t="shared" ca="1" si="7"/>
        <v>782.25494194439091</v>
      </c>
      <c r="AP51" s="9" t="s">
        <v>12</v>
      </c>
      <c r="AQ51" s="10"/>
      <c r="AR51" s="11">
        <f ca="1">_xlfn.CONFIDENCE.T(0.05,AR50,500)</f>
        <v>522.49613869254506</v>
      </c>
    </row>
    <row r="52" spans="2:44" ht="17.399999999999999">
      <c r="B52" s="6">
        <v>37</v>
      </c>
      <c r="C52" s="6">
        <f t="shared" ca="1" si="0"/>
        <v>0.45389771719549543</v>
      </c>
      <c r="D52" s="8">
        <f t="shared" ca="1" si="1"/>
        <v>5476.8360592800227</v>
      </c>
      <c r="S52" s="6">
        <v>37</v>
      </c>
      <c r="T52" s="6">
        <f t="shared" ca="1" si="3"/>
        <v>0.27981908406548472</v>
      </c>
      <c r="U52">
        <f t="shared" ca="1" si="3"/>
        <v>0.35526469873875355</v>
      </c>
      <c r="V52" s="8">
        <f t="shared" ca="1" si="4"/>
        <v>15.231673174028417</v>
      </c>
      <c r="AK52" s="6">
        <v>37</v>
      </c>
      <c r="AL52" s="6">
        <f t="shared" ca="1" si="6"/>
        <v>0.83397685289577483</v>
      </c>
      <c r="AM52" s="8">
        <f t="shared" ca="1" si="7"/>
        <v>998.52297231588841</v>
      </c>
      <c r="AP52" s="9" t="s">
        <v>13</v>
      </c>
      <c r="AQ52" s="10"/>
      <c r="AR52" s="11">
        <f ca="1">AR49-AR51</f>
        <v>5187.5750335211851</v>
      </c>
    </row>
    <row r="53" spans="2:44" ht="17.399999999999999">
      <c r="B53" s="6">
        <v>38</v>
      </c>
      <c r="C53" s="6">
        <f t="shared" ca="1" si="0"/>
        <v>0.81000514028408865</v>
      </c>
      <c r="D53" s="8">
        <f t="shared" ca="1" si="1"/>
        <v>5675.5830475029479</v>
      </c>
      <c r="S53" s="6">
        <v>38</v>
      </c>
      <c r="T53" s="6">
        <f t="shared" ca="1" si="3"/>
        <v>0.52256118412577912</v>
      </c>
      <c r="U53">
        <f t="shared" ca="1" si="3"/>
        <v>0.52281993381585568</v>
      </c>
      <c r="V53" s="8">
        <f t="shared" ca="1" si="4"/>
        <v>14.21549693022687</v>
      </c>
      <c r="AK53" s="6">
        <v>38</v>
      </c>
      <c r="AL53" s="6">
        <f t="shared" ca="1" si="6"/>
        <v>0.48007248067771957</v>
      </c>
      <c r="AM53" s="8">
        <f t="shared" ca="1" si="7"/>
        <v>4036.0000178731771</v>
      </c>
      <c r="AP53" s="9" t="s">
        <v>14</v>
      </c>
      <c r="AQ53" s="10"/>
      <c r="AR53" s="11">
        <f ca="1">AR49+AR51</f>
        <v>6232.5673109062755</v>
      </c>
    </row>
    <row r="54" spans="2:44" ht="17.399999999999999">
      <c r="B54" s="6">
        <v>39</v>
      </c>
      <c r="C54" s="6">
        <f t="shared" ca="1" si="0"/>
        <v>0.74396573057702065</v>
      </c>
      <c r="D54" s="8">
        <f t="shared" ca="1" si="1"/>
        <v>5631.124035741137</v>
      </c>
      <c r="S54" s="6">
        <v>39</v>
      </c>
      <c r="T54" s="6">
        <f t="shared" ca="1" si="3"/>
        <v>2.9946356557241982E-2</v>
      </c>
      <c r="U54">
        <f t="shared" ca="1" si="3"/>
        <v>9.2179327748942552E-2</v>
      </c>
      <c r="V54" s="8">
        <f t="shared" ca="1" si="4"/>
        <v>10.60722097377789</v>
      </c>
      <c r="AK54" s="6">
        <v>39</v>
      </c>
      <c r="AL54" s="6">
        <f t="shared" ca="1" si="6"/>
        <v>0.28202052366314712</v>
      </c>
      <c r="AM54" s="8">
        <f t="shared" ca="1" si="7"/>
        <v>6961.7648745972374</v>
      </c>
      <c r="AP54" s="12" t="s">
        <v>4</v>
      </c>
      <c r="AQ54" s="10"/>
      <c r="AR54" s="11">
        <f ca="1">MIN(AM16:AM115)</f>
        <v>3.4792396281000375</v>
      </c>
    </row>
    <row r="55" spans="2:44" ht="17.399999999999999">
      <c r="B55" s="6">
        <v>40</v>
      </c>
      <c r="C55" s="6">
        <f t="shared" ca="1" si="0"/>
        <v>0.24859962304696148</v>
      </c>
      <c r="D55" s="8">
        <f t="shared" ca="1" si="1"/>
        <v>5364.2193751754112</v>
      </c>
      <c r="S55" s="6">
        <v>40</v>
      </c>
      <c r="T55" s="6">
        <f t="shared" ca="1" si="3"/>
        <v>0.84082915257527546</v>
      </c>
      <c r="U55">
        <f t="shared" ca="1" si="3"/>
        <v>0.67125449792442726</v>
      </c>
      <c r="V55" s="8">
        <f t="shared" ca="1" si="4"/>
        <v>13.445590196885508</v>
      </c>
      <c r="AK55" s="6">
        <v>40</v>
      </c>
      <c r="AL55" s="6">
        <f t="shared" ca="1" si="6"/>
        <v>0.17000701615739799</v>
      </c>
      <c r="AM55" s="8">
        <f t="shared" ca="1" si="7"/>
        <v>9745.5356419817817</v>
      </c>
      <c r="AP55" s="12" t="s">
        <v>5</v>
      </c>
      <c r="AQ55" s="10"/>
      <c r="AR55" s="11">
        <f ca="1">MAX(AM16:AM115)</f>
        <v>17086.652055769602</v>
      </c>
    </row>
    <row r="56" spans="2:44" ht="15">
      <c r="B56" s="6">
        <v>41</v>
      </c>
      <c r="C56" s="6">
        <f t="shared" ca="1" si="0"/>
        <v>0.75535212095494042</v>
      </c>
      <c r="D56" s="8">
        <f t="shared" ca="1" si="1"/>
        <v>5638.285872194876</v>
      </c>
      <c r="S56" s="6">
        <v>41</v>
      </c>
      <c r="T56" s="6">
        <f t="shared" ca="1" si="3"/>
        <v>0.96139963008036022</v>
      </c>
      <c r="U56">
        <f t="shared" ca="1" si="3"/>
        <v>0.81535928647397349</v>
      </c>
      <c r="V56" s="8">
        <f t="shared" ca="1" si="4"/>
        <v>12.776220218311309</v>
      </c>
      <c r="AK56" s="6">
        <v>41</v>
      </c>
      <c r="AL56" s="6">
        <f t="shared" ca="1" si="6"/>
        <v>0.61278508243220509</v>
      </c>
      <c r="AM56" s="8">
        <f t="shared" ca="1" si="7"/>
        <v>2693.5755227784744</v>
      </c>
    </row>
    <row r="57" spans="2:44" ht="15">
      <c r="B57" s="6">
        <v>42</v>
      </c>
      <c r="C57" s="6">
        <f t="shared" ca="1" si="0"/>
        <v>0.58789029215244182</v>
      </c>
      <c r="D57" s="8">
        <f t="shared" ca="1" si="1"/>
        <v>5544.4242706114974</v>
      </c>
      <c r="S57" s="6">
        <v>42</v>
      </c>
      <c r="T57" s="6">
        <f t="shared" ca="1" si="3"/>
        <v>0.31626534242972204</v>
      </c>
      <c r="U57">
        <f t="shared" ca="1" si="3"/>
        <v>0.34882264919595485</v>
      </c>
      <c r="V57" s="8">
        <f t="shared" ca="1" si="4"/>
        <v>15.275103223504125</v>
      </c>
      <c r="AK57" s="6">
        <v>42</v>
      </c>
      <c r="AL57" s="6">
        <f t="shared" ca="1" si="6"/>
        <v>0.25832329200369042</v>
      </c>
      <c r="AM57" s="8">
        <f t="shared" ca="1" si="7"/>
        <v>7444.4887479351319</v>
      </c>
    </row>
    <row r="58" spans="2:44" ht="15">
      <c r="B58" s="6">
        <v>43</v>
      </c>
      <c r="C58" s="6">
        <f t="shared" ca="1" si="0"/>
        <v>0.62677729134248994</v>
      </c>
      <c r="D58" s="8">
        <f t="shared" ca="1" si="1"/>
        <v>5564.6659786301079</v>
      </c>
      <c r="S58" s="6">
        <v>43</v>
      </c>
      <c r="T58" s="6">
        <f t="shared" ca="1" si="3"/>
        <v>0.40432749820697045</v>
      </c>
      <c r="U58">
        <f t="shared" ca="1" si="3"/>
        <v>0.44347923925985377</v>
      </c>
      <c r="V58" s="8">
        <f t="shared" ca="1" si="4"/>
        <v>14.67246104541406</v>
      </c>
      <c r="AK58" s="6">
        <v>43</v>
      </c>
      <c r="AL58" s="6">
        <f t="shared" ca="1" si="6"/>
        <v>0.15315571904850245</v>
      </c>
      <c r="AM58" s="8">
        <f t="shared" ca="1" si="7"/>
        <v>10319.650569850492</v>
      </c>
    </row>
    <row r="59" spans="2:44" ht="15">
      <c r="B59" s="6">
        <v>44</v>
      </c>
      <c r="C59" s="6">
        <f t="shared" ca="1" si="0"/>
        <v>0.22850119004816394</v>
      </c>
      <c r="D59" s="8">
        <f t="shared" ca="1" si="1"/>
        <v>5351.2416196170398</v>
      </c>
      <c r="S59" s="6">
        <v>44</v>
      </c>
      <c r="T59" s="6">
        <f t="shared" ca="1" si="3"/>
        <v>0.68091224212511359</v>
      </c>
      <c r="U59">
        <f t="shared" ca="1" si="3"/>
        <v>0.28805084667995939</v>
      </c>
      <c r="V59" s="8">
        <f t="shared" ca="1" si="4"/>
        <v>15.706370511150572</v>
      </c>
      <c r="AK59" s="6">
        <v>44</v>
      </c>
      <c r="AL59" s="6">
        <f t="shared" ca="1" si="6"/>
        <v>0.91792775244412739</v>
      </c>
      <c r="AM59" s="8">
        <f t="shared" ca="1" si="7"/>
        <v>471.00125874995382</v>
      </c>
    </row>
    <row r="60" spans="2:44" ht="15">
      <c r="B60" s="6">
        <v>45</v>
      </c>
      <c r="C60" s="6">
        <f t="shared" ca="1" si="0"/>
        <v>0.15502010465776284</v>
      </c>
      <c r="D60" s="8">
        <f t="shared" ca="1" si="1"/>
        <v>5296.9724669048155</v>
      </c>
      <c r="S60" s="6">
        <v>45</v>
      </c>
      <c r="T60" s="6">
        <f t="shared" ca="1" si="3"/>
        <v>0.14918480446048532</v>
      </c>
      <c r="U60">
        <f t="shared" ca="1" si="3"/>
        <v>0.81148405182639205</v>
      </c>
      <c r="V60" s="8">
        <f t="shared" ca="1" si="4"/>
        <v>11.801648191880304</v>
      </c>
      <c r="AK60" s="6">
        <v>45</v>
      </c>
      <c r="AL60" s="6">
        <f t="shared" ca="1" si="6"/>
        <v>0.35613301037549272</v>
      </c>
      <c r="AM60" s="8">
        <f t="shared" ca="1" si="7"/>
        <v>5678.4804629308546</v>
      </c>
    </row>
    <row r="61" spans="2:44" ht="15">
      <c r="B61" s="6">
        <v>46</v>
      </c>
      <c r="C61" s="6">
        <f t="shared" ca="1" si="0"/>
        <v>0.57649204846418578</v>
      </c>
      <c r="D61" s="8">
        <f t="shared" ca="1" si="1"/>
        <v>5538.5854603283833</v>
      </c>
      <c r="S61" s="6">
        <v>46</v>
      </c>
      <c r="T61" s="6">
        <f t="shared" ca="1" si="3"/>
        <v>0.82045966697255368</v>
      </c>
      <c r="U61">
        <f t="shared" ca="1" si="3"/>
        <v>0.33723450386927123</v>
      </c>
      <c r="V61" s="8">
        <f t="shared" ca="1" si="4"/>
        <v>15.354248365696531</v>
      </c>
      <c r="AK61" s="6">
        <v>46</v>
      </c>
      <c r="AL61" s="6">
        <f t="shared" ca="1" si="6"/>
        <v>0.95298049524909656</v>
      </c>
      <c r="AM61" s="8">
        <f t="shared" ca="1" si="7"/>
        <v>264.88463222366033</v>
      </c>
    </row>
    <row r="62" spans="2:44" ht="15">
      <c r="B62" s="6">
        <v>47</v>
      </c>
      <c r="C62" s="6">
        <f t="shared" ca="1" si="0"/>
        <v>0.91758999859382862</v>
      </c>
      <c r="D62" s="8">
        <f t="shared" ca="1" si="1"/>
        <v>5777.8083842714568</v>
      </c>
      <c r="S62" s="6">
        <v>47</v>
      </c>
      <c r="T62" s="6">
        <f t="shared" ca="1" si="3"/>
        <v>0.99416004427934435</v>
      </c>
      <c r="U62">
        <f t="shared" ca="1" si="3"/>
        <v>0.44690463160002758</v>
      </c>
      <c r="V62" s="8">
        <f t="shared" ca="1" si="4"/>
        <v>14.651925914649109</v>
      </c>
      <c r="AK62" s="6">
        <v>47</v>
      </c>
      <c r="AL62" s="6">
        <f t="shared" ca="1" si="6"/>
        <v>0.72567307306260487</v>
      </c>
      <c r="AM62" s="8">
        <f t="shared" ca="1" si="7"/>
        <v>1763.6062299044522</v>
      </c>
    </row>
    <row r="63" spans="2:44" ht="15">
      <c r="B63" s="6">
        <v>48</v>
      </c>
      <c r="C63" s="6">
        <f t="shared" ca="1" si="0"/>
        <v>0.35296400900748282</v>
      </c>
      <c r="D63" s="8">
        <f t="shared" ca="1" si="1"/>
        <v>5424.5339024881341</v>
      </c>
      <c r="S63" s="6">
        <v>48</v>
      </c>
      <c r="T63" s="6">
        <f t="shared" ca="1" si="3"/>
        <v>0.44323639153922578</v>
      </c>
      <c r="U63">
        <f t="shared" ca="1" si="3"/>
        <v>0.23536050143227671</v>
      </c>
      <c r="V63" s="8">
        <f t="shared" ca="1" si="4"/>
        <v>16.118882623307339</v>
      </c>
      <c r="AK63" s="6">
        <v>48</v>
      </c>
      <c r="AL63" s="6">
        <f t="shared" ca="1" si="6"/>
        <v>0.17858487744704477</v>
      </c>
      <c r="AM63" s="8">
        <f t="shared" ca="1" si="7"/>
        <v>9474.8020778047321</v>
      </c>
    </row>
    <row r="64" spans="2:44" ht="15">
      <c r="B64" s="6">
        <v>49</v>
      </c>
      <c r="C64" s="6">
        <f t="shared" ca="1" si="0"/>
        <v>0.21706545469434535</v>
      </c>
      <c r="D64" s="8">
        <f t="shared" ca="1" si="1"/>
        <v>5343.5715262588301</v>
      </c>
      <c r="S64" s="6">
        <v>49</v>
      </c>
      <c r="T64" s="6">
        <f t="shared" ca="1" si="3"/>
        <v>0.70583219206212156</v>
      </c>
      <c r="U64">
        <f t="shared" ca="1" si="3"/>
        <v>0.91453633165126857</v>
      </c>
      <c r="V64" s="8">
        <f t="shared" ca="1" si="4"/>
        <v>12.349488564436939</v>
      </c>
      <c r="AK64" s="6">
        <v>49</v>
      </c>
      <c r="AL64" s="6">
        <f t="shared" ca="1" si="6"/>
        <v>0.61472968778690096</v>
      </c>
      <c r="AM64" s="8">
        <f t="shared" ca="1" si="7"/>
        <v>2676.1495191858098</v>
      </c>
    </row>
    <row r="65" spans="2:39" ht="15">
      <c r="B65" s="6">
        <v>50</v>
      </c>
      <c r="C65" s="6">
        <f t="shared" ca="1" si="0"/>
        <v>0.3040133838586786</v>
      </c>
      <c r="D65" s="8">
        <f t="shared" ca="1" si="1"/>
        <v>5397.4215708103766</v>
      </c>
      <c r="S65" s="6">
        <v>50</v>
      </c>
      <c r="T65" s="6">
        <f t="shared" ca="1" si="3"/>
        <v>0.92928140404232862</v>
      </c>
      <c r="U65">
        <f t="shared" ca="1" si="3"/>
        <v>0.73906365514809402</v>
      </c>
      <c r="V65" s="8">
        <f t="shared" ca="1" si="4"/>
        <v>13.122495079647123</v>
      </c>
      <c r="AK65" s="6">
        <v>50</v>
      </c>
      <c r="AL65" s="6">
        <f t="shared" ca="1" si="6"/>
        <v>0.61963150908842612</v>
      </c>
      <c r="AM65" s="8">
        <f t="shared" ca="1" si="7"/>
        <v>2632.4667479720242</v>
      </c>
    </row>
    <row r="66" spans="2:39" ht="15">
      <c r="B66" s="6">
        <v>51</v>
      </c>
      <c r="C66" s="6">
        <f t="shared" ca="1" si="0"/>
        <v>0.68061729290884154</v>
      </c>
      <c r="D66" s="8">
        <f t="shared" ca="1" si="1"/>
        <v>5593.8851309743186</v>
      </c>
      <c r="S66" s="6">
        <v>51</v>
      </c>
      <c r="T66" s="6">
        <f t="shared" ca="1" si="3"/>
        <v>0.22719449925373214</v>
      </c>
      <c r="U66">
        <f t="shared" ca="1" si="3"/>
        <v>0.56905921544097049</v>
      </c>
      <c r="V66" s="8">
        <f t="shared" ca="1" si="4"/>
        <v>13.965118908526687</v>
      </c>
      <c r="AK66" s="6">
        <v>51</v>
      </c>
      <c r="AL66" s="6">
        <f t="shared" ca="1" si="6"/>
        <v>0.76775966238182525</v>
      </c>
      <c r="AM66" s="8">
        <f t="shared" ca="1" si="7"/>
        <v>1453.53193929504</v>
      </c>
    </row>
    <row r="67" spans="2:39" ht="15">
      <c r="B67" s="6">
        <v>52</v>
      </c>
      <c r="C67" s="6">
        <f t="shared" ca="1" si="0"/>
        <v>0.28697360619499857</v>
      </c>
      <c r="D67" s="8">
        <f t="shared" ca="1" si="1"/>
        <v>5387.5504441921721</v>
      </c>
      <c r="S67" s="6">
        <v>52</v>
      </c>
      <c r="T67" s="6">
        <f t="shared" ca="1" si="3"/>
        <v>0.79823394278811244</v>
      </c>
      <c r="U67">
        <f t="shared" ca="1" si="3"/>
        <v>0.20866566947831533</v>
      </c>
      <c r="V67" s="8">
        <f t="shared" ca="1" si="4"/>
        <v>16.345604995815016</v>
      </c>
      <c r="AK67" s="6">
        <v>52</v>
      </c>
      <c r="AL67" s="6">
        <f t="shared" ca="1" si="6"/>
        <v>0.20234942360228214</v>
      </c>
      <c r="AM67" s="8">
        <f t="shared" ca="1" si="7"/>
        <v>8787.6759090054911</v>
      </c>
    </row>
    <row r="68" spans="2:39" ht="15">
      <c r="B68" s="6">
        <v>53</v>
      </c>
      <c r="C68" s="6">
        <f t="shared" ca="1" si="0"/>
        <v>0.9570266497766623</v>
      </c>
      <c r="D68" s="8">
        <f t="shared" ca="1" si="1"/>
        <v>5843.4355490923253</v>
      </c>
      <c r="S68" s="6">
        <v>53</v>
      </c>
      <c r="T68" s="6">
        <f t="shared" ca="1" si="3"/>
        <v>0.2764515493410683</v>
      </c>
      <c r="U68">
        <f t="shared" ca="1" si="3"/>
        <v>0.45432780324110389</v>
      </c>
      <c r="V68" s="8">
        <f t="shared" ca="1" si="4"/>
        <v>14.607692571131478</v>
      </c>
      <c r="AK68" s="6">
        <v>53</v>
      </c>
      <c r="AL68" s="6">
        <f t="shared" ca="1" si="6"/>
        <v>0.90627316034885397</v>
      </c>
      <c r="AM68" s="8">
        <f t="shared" ca="1" si="7"/>
        <v>541.27984291038115</v>
      </c>
    </row>
    <row r="69" spans="2:39" ht="15">
      <c r="B69" s="6">
        <v>54</v>
      </c>
      <c r="C69" s="6">
        <f t="shared" ca="1" si="0"/>
        <v>0.88229182072430401</v>
      </c>
      <c r="D69" s="8">
        <f t="shared" ca="1" si="1"/>
        <v>5737.3043291069171</v>
      </c>
      <c r="S69" s="6">
        <v>54</v>
      </c>
      <c r="T69" s="6">
        <f t="shared" ca="1" si="3"/>
        <v>0.10647002935076666</v>
      </c>
      <c r="U69">
        <f t="shared" ca="1" si="3"/>
        <v>0.33514690359223021</v>
      </c>
      <c r="V69" s="8">
        <f t="shared" ca="1" si="4"/>
        <v>11.157837473209829</v>
      </c>
      <c r="AK69" s="6">
        <v>54</v>
      </c>
      <c r="AL69" s="6">
        <f t="shared" ca="1" si="6"/>
        <v>0.64446308383155371</v>
      </c>
      <c r="AM69" s="8">
        <f t="shared" ca="1" si="7"/>
        <v>2416.3575535837062</v>
      </c>
    </row>
    <row r="70" spans="2:39" ht="15">
      <c r="B70" s="6">
        <v>55</v>
      </c>
      <c r="C70" s="6">
        <f t="shared" ca="1" si="0"/>
        <v>0.98859949233200728</v>
      </c>
      <c r="D70" s="8">
        <f t="shared" ca="1" si="1"/>
        <v>5955.3504804206123</v>
      </c>
      <c r="S70" s="6">
        <v>55</v>
      </c>
      <c r="T70" s="6">
        <f t="shared" ca="1" si="3"/>
        <v>0.68034357707811721</v>
      </c>
      <c r="U70">
        <f t="shared" ca="1" si="3"/>
        <v>0.22629354463114448</v>
      </c>
      <c r="V70" s="8">
        <f t="shared" ca="1" si="4"/>
        <v>16.194374314729146</v>
      </c>
      <c r="AK70" s="6">
        <v>55</v>
      </c>
      <c r="AL70" s="6">
        <f t="shared" ca="1" si="6"/>
        <v>0.71113551775727024</v>
      </c>
      <c r="AM70" s="8">
        <f t="shared" ca="1" si="7"/>
        <v>1874.9074614237716</v>
      </c>
    </row>
    <row r="71" spans="2:39" ht="15">
      <c r="B71" s="6">
        <v>56</v>
      </c>
      <c r="C71" s="6">
        <f t="shared" ca="1" si="0"/>
        <v>0.77931379879434692</v>
      </c>
      <c r="D71" s="8">
        <f t="shared" ca="1" si="1"/>
        <v>5653.9755537436922</v>
      </c>
      <c r="S71" s="6">
        <v>56</v>
      </c>
      <c r="T71" s="6">
        <f t="shared" ca="1" si="3"/>
        <v>0.77458987374554433</v>
      </c>
      <c r="U71">
        <f t="shared" ca="1" si="3"/>
        <v>0.12219726067779046</v>
      </c>
      <c r="V71" s="8">
        <f t="shared" ca="1" si="4"/>
        <v>17.20346201824853</v>
      </c>
      <c r="AK71" s="6">
        <v>56</v>
      </c>
      <c r="AL71" s="6">
        <f t="shared" ca="1" si="6"/>
        <v>0.27399744596681264</v>
      </c>
      <c r="AM71" s="8">
        <f t="shared" ca="1" si="7"/>
        <v>7120.5007165958341</v>
      </c>
    </row>
    <row r="72" spans="2:39" ht="15">
      <c r="B72" s="6">
        <v>57</v>
      </c>
      <c r="C72" s="6">
        <f t="shared" ca="1" si="0"/>
        <v>0.33068550886103509</v>
      </c>
      <c r="D72" s="8">
        <f t="shared" ca="1" si="1"/>
        <v>5412.3957882047525</v>
      </c>
      <c r="S72" s="6">
        <v>57</v>
      </c>
      <c r="T72" s="6">
        <f t="shared" ca="1" si="3"/>
        <v>0.41563723532480257</v>
      </c>
      <c r="U72">
        <f t="shared" ca="1" si="3"/>
        <v>0.72518274269356386</v>
      </c>
      <c r="V72" s="8">
        <f t="shared" ca="1" si="4"/>
        <v>13.18738702608257</v>
      </c>
      <c r="AK72" s="6">
        <v>57</v>
      </c>
      <c r="AL72" s="6">
        <f t="shared" ca="1" si="6"/>
        <v>0.71198336652107796</v>
      </c>
      <c r="AM72" s="8">
        <f t="shared" ca="1" si="7"/>
        <v>1868.3540120891132</v>
      </c>
    </row>
    <row r="73" spans="2:39" ht="15">
      <c r="B73" s="6">
        <v>58</v>
      </c>
      <c r="C73" s="6">
        <f t="shared" ca="1" si="0"/>
        <v>0.65421869952080336</v>
      </c>
      <c r="D73" s="8">
        <f t="shared" ca="1" si="1"/>
        <v>5579.3470777170578</v>
      </c>
      <c r="S73" s="6">
        <v>58</v>
      </c>
      <c r="T73" s="6">
        <f t="shared" ca="1" si="3"/>
        <v>0.79952208516124323</v>
      </c>
      <c r="U73">
        <f t="shared" ca="1" si="3"/>
        <v>0.68111008130724648</v>
      </c>
      <c r="V73" s="8">
        <f t="shared" ca="1" si="4"/>
        <v>13.39764850953361</v>
      </c>
      <c r="AK73" s="6">
        <v>58</v>
      </c>
      <c r="AL73" s="6">
        <f t="shared" ca="1" si="6"/>
        <v>0.15384541445455824</v>
      </c>
      <c r="AM73" s="8">
        <f t="shared" ca="1" si="7"/>
        <v>10294.938406271816</v>
      </c>
    </row>
    <row r="74" spans="2:39" ht="15">
      <c r="B74" s="6">
        <v>59</v>
      </c>
      <c r="C74" s="6">
        <f t="shared" ca="1" si="0"/>
        <v>0.85955696215051991</v>
      </c>
      <c r="D74" s="8">
        <f t="shared" ca="1" si="1"/>
        <v>5715.6661962998514</v>
      </c>
      <c r="S74" s="6">
        <v>59</v>
      </c>
      <c r="T74" s="6">
        <f t="shared" ca="1" si="3"/>
        <v>0.80823502822506899</v>
      </c>
      <c r="U74">
        <f t="shared" ca="1" si="3"/>
        <v>0.60066362052449673</v>
      </c>
      <c r="V74" s="8">
        <f t="shared" ca="1" si="4"/>
        <v>13.799800671464844</v>
      </c>
      <c r="AK74" s="6">
        <v>59</v>
      </c>
      <c r="AL74" s="6">
        <f t="shared" ca="1" si="6"/>
        <v>4.4749992129430871E-2</v>
      </c>
      <c r="AM74" s="8">
        <f t="shared" ca="1" si="7"/>
        <v>17086.652055769602</v>
      </c>
    </row>
    <row r="75" spans="2:39" ht="15">
      <c r="B75" s="6">
        <v>60</v>
      </c>
      <c r="C75" s="6">
        <f t="shared" ca="1" si="0"/>
        <v>3.9866588243199108E-2</v>
      </c>
      <c r="D75" s="8">
        <f t="shared" ca="1" si="1"/>
        <v>5149.5527310112839</v>
      </c>
      <c r="S75" s="6">
        <v>60</v>
      </c>
      <c r="T75" s="6">
        <f t="shared" ca="1" si="3"/>
        <v>0.47877800675162696</v>
      </c>
      <c r="U75">
        <f t="shared" ca="1" si="3"/>
        <v>0.42231813160721576</v>
      </c>
      <c r="V75" s="8">
        <f t="shared" ca="1" si="4"/>
        <v>14.801119310576381</v>
      </c>
      <c r="AK75" s="6">
        <v>60</v>
      </c>
      <c r="AL75" s="6">
        <f t="shared" ca="1" si="6"/>
        <v>0.83790243062316871</v>
      </c>
      <c r="AM75" s="8">
        <f t="shared" ca="1" si="7"/>
        <v>972.69489083781036</v>
      </c>
    </row>
    <row r="76" spans="2:39" ht="15">
      <c r="B76" s="6">
        <v>61</v>
      </c>
      <c r="C76" s="6">
        <f t="shared" ca="1" si="0"/>
        <v>0.37256547526435779</v>
      </c>
      <c r="D76" s="8">
        <f t="shared" ca="1" si="1"/>
        <v>5434.9867550006875</v>
      </c>
      <c r="S76" s="6">
        <v>61</v>
      </c>
      <c r="T76" s="6">
        <f t="shared" ca="1" si="3"/>
        <v>0.92708560246652671</v>
      </c>
      <c r="U76">
        <f t="shared" ca="1" si="3"/>
        <v>0.42296048955165166</v>
      </c>
      <c r="V76" s="8">
        <f t="shared" ca="1" si="4"/>
        <v>14.797166989869297</v>
      </c>
      <c r="AK76" s="6">
        <v>61</v>
      </c>
      <c r="AL76" s="6">
        <f t="shared" ca="1" si="6"/>
        <v>0.1990805594603241</v>
      </c>
      <c r="AM76" s="8">
        <f t="shared" ca="1" si="7"/>
        <v>8877.2514312188305</v>
      </c>
    </row>
    <row r="77" spans="2:39" ht="15">
      <c r="B77" s="6">
        <v>62</v>
      </c>
      <c r="C77" s="6">
        <f t="shared" ca="1" si="0"/>
        <v>4.4042805787695039E-2</v>
      </c>
      <c r="D77" s="8">
        <f t="shared" ca="1" si="1"/>
        <v>5158.8832548932687</v>
      </c>
      <c r="S77" s="6">
        <v>62</v>
      </c>
      <c r="T77" s="6">
        <f t="shared" ca="1" si="3"/>
        <v>1.5393853817210146E-2</v>
      </c>
      <c r="U77">
        <f t="shared" ca="1" si="3"/>
        <v>0.37384337219983121</v>
      </c>
      <c r="V77" s="8">
        <f t="shared" ca="1" si="4"/>
        <v>11.222854647453786</v>
      </c>
      <c r="AK77" s="6">
        <v>62</v>
      </c>
      <c r="AL77" s="6">
        <f t="shared" ca="1" si="6"/>
        <v>0.86571844320311386</v>
      </c>
      <c r="AM77" s="8">
        <f t="shared" ca="1" si="7"/>
        <v>793.07550633182916</v>
      </c>
    </row>
    <row r="78" spans="2:39" ht="15">
      <c r="B78" s="6">
        <v>63</v>
      </c>
      <c r="C78" s="6">
        <f t="shared" ca="1" si="0"/>
        <v>0.74127647544579756</v>
      </c>
      <c r="D78" s="8">
        <f t="shared" ca="1" si="1"/>
        <v>5629.4571417517682</v>
      </c>
      <c r="S78" s="6">
        <v>63</v>
      </c>
      <c r="T78" s="6">
        <f t="shared" ca="1" si="3"/>
        <v>0.97895460168112791</v>
      </c>
      <c r="U78">
        <f t="shared" ca="1" si="3"/>
        <v>0.94312926166066102</v>
      </c>
      <c r="V78" s="8">
        <f t="shared" ca="1" si="4"/>
        <v>12.230812607081592</v>
      </c>
      <c r="AK78" s="6">
        <v>63</v>
      </c>
      <c r="AL78" s="6">
        <f t="shared" ca="1" si="6"/>
        <v>0.8083027114939364</v>
      </c>
      <c r="AM78" s="8">
        <f t="shared" ca="1" si="7"/>
        <v>1170.5025622627923</v>
      </c>
    </row>
    <row r="79" spans="2:39" ht="15">
      <c r="B79" s="6">
        <v>64</v>
      </c>
      <c r="C79" s="6">
        <f t="shared" ca="1" si="0"/>
        <v>0.97338215002511375</v>
      </c>
      <c r="D79" s="8">
        <f t="shared" ca="1" si="1"/>
        <v>5886.6008082759909</v>
      </c>
      <c r="S79" s="6">
        <v>64</v>
      </c>
      <c r="T79" s="6">
        <f t="shared" ca="1" si="3"/>
        <v>0.27394470828687778</v>
      </c>
      <c r="U79">
        <f t="shared" ca="1" si="3"/>
        <v>0.35602740393747589</v>
      </c>
      <c r="V79" s="8">
        <f t="shared" ca="1" si="4"/>
        <v>15.226557442264706</v>
      </c>
      <c r="AK79" s="6">
        <v>64</v>
      </c>
      <c r="AL79" s="6">
        <f t="shared" ca="1" si="6"/>
        <v>0.37662359568450687</v>
      </c>
      <c r="AM79" s="8">
        <f t="shared" ca="1" si="7"/>
        <v>5370.7995562226997</v>
      </c>
    </row>
    <row r="80" spans="2:39" ht="15">
      <c r="B80" s="6">
        <v>65</v>
      </c>
      <c r="C80" s="6">
        <f t="shared" ca="1" si="0"/>
        <v>0.42741359102828047</v>
      </c>
      <c r="D80" s="8">
        <f t="shared" ca="1" si="1"/>
        <v>5463.4074336008762</v>
      </c>
      <c r="S80" s="6">
        <v>65</v>
      </c>
      <c r="T80" s="6">
        <f t="shared" ca="1" si="3"/>
        <v>0.99170329210536601</v>
      </c>
      <c r="U80">
        <f t="shared" ca="1" si="3"/>
        <v>0.18029681280505327</v>
      </c>
      <c r="V80" s="8">
        <f t="shared" ca="1" si="4"/>
        <v>16.603090224995164</v>
      </c>
      <c r="AK80" s="6">
        <v>65</v>
      </c>
      <c r="AL80" s="6">
        <f t="shared" ca="1" si="6"/>
        <v>7.8471552807594103E-2</v>
      </c>
      <c r="AM80" s="8">
        <f t="shared" ca="1" si="7"/>
        <v>13997.605074681704</v>
      </c>
    </row>
    <row r="81" spans="2:39" ht="15">
      <c r="B81" s="6">
        <v>66</v>
      </c>
      <c r="C81" s="6">
        <f t="shared" ref="C81:C144" ca="1" si="12">RAND()</f>
        <v>8.9771946526468804E-2</v>
      </c>
      <c r="D81" s="8">
        <f t="shared" ref="D81:D144" ca="1" si="13">_xlfn.NORM.INV(C81,$C$12,$C$13)</f>
        <v>5231.5678581723278</v>
      </c>
      <c r="S81" s="6">
        <v>66</v>
      </c>
      <c r="T81" s="6">
        <f t="shared" ref="T81:U112" ca="1" si="14">RAND()</f>
        <v>0.82703169844880631</v>
      </c>
      <c r="U81">
        <f t="shared" ca="1" si="14"/>
        <v>0.13095983267934974</v>
      </c>
      <c r="V81" s="8">
        <f t="shared" ref="V81:V144" ca="1" si="15">IF(T81&lt;$T$13,$T$10+($T$11-$T$10)*SQRT(U81),$T$12-($T$12-$T$11)*SQRT(U81))</f>
        <v>17.104930175025412</v>
      </c>
      <c r="AK81" s="6">
        <v>66</v>
      </c>
      <c r="AL81" s="6">
        <f t="shared" ref="AL81:AL144" ca="1" si="16">RAND()</f>
        <v>0.53137328413425367</v>
      </c>
      <c r="AM81" s="8">
        <f t="shared" ref="AM81:AM115" ca="1" si="17">-$AL$10*LN(AL81)</f>
        <v>3477.597867774477</v>
      </c>
    </row>
    <row r="82" spans="2:39" ht="15">
      <c r="B82" s="6">
        <v>67</v>
      </c>
      <c r="C82" s="6">
        <f t="shared" ca="1" si="12"/>
        <v>0.66641613761056029</v>
      </c>
      <c r="D82" s="8">
        <f t="shared" ca="1" si="13"/>
        <v>5586.0076754463835</v>
      </c>
      <c r="S82" s="6">
        <v>67</v>
      </c>
      <c r="T82" s="6">
        <f t="shared" ca="1" si="14"/>
        <v>0.79580723445889912</v>
      </c>
      <c r="U82">
        <f t="shared" ca="1" si="14"/>
        <v>0.3036296285089447</v>
      </c>
      <c r="V82" s="8">
        <f t="shared" ca="1" si="15"/>
        <v>15.591792175433143</v>
      </c>
      <c r="AK82" s="6">
        <v>67</v>
      </c>
      <c r="AL82" s="6">
        <f t="shared" ca="1" si="16"/>
        <v>0.22028352827410547</v>
      </c>
      <c r="AM82" s="8">
        <f t="shared" ca="1" si="17"/>
        <v>8320.6188862066501</v>
      </c>
    </row>
    <row r="83" spans="2:39" ht="15">
      <c r="B83" s="6">
        <v>68</v>
      </c>
      <c r="C83" s="6">
        <f t="shared" ca="1" si="12"/>
        <v>1.6276056013716289E-2</v>
      </c>
      <c r="D83" s="8">
        <f t="shared" ca="1" si="13"/>
        <v>5072.4871159225249</v>
      </c>
      <c r="S83" s="6">
        <v>68</v>
      </c>
      <c r="T83" s="6">
        <f t="shared" ca="1" si="14"/>
        <v>0.63754454206555033</v>
      </c>
      <c r="U83">
        <f t="shared" ca="1" si="14"/>
        <v>0.21624699958800986</v>
      </c>
      <c r="V83" s="8">
        <f t="shared" ca="1" si="15"/>
        <v>16.279810761045532</v>
      </c>
      <c r="AK83" s="6">
        <v>68</v>
      </c>
      <c r="AL83" s="6">
        <f t="shared" ca="1" si="16"/>
        <v>0.48764933980348224</v>
      </c>
      <c r="AM83" s="8">
        <f t="shared" ca="1" si="17"/>
        <v>3949.8728356875299</v>
      </c>
    </row>
    <row r="84" spans="2:39" ht="15">
      <c r="B84" s="6">
        <v>69</v>
      </c>
      <c r="C84" s="6">
        <f t="shared" ca="1" si="12"/>
        <v>0.36402995759744627</v>
      </c>
      <c r="D84" s="8">
        <f t="shared" ca="1" si="13"/>
        <v>5430.4585137521563</v>
      </c>
      <c r="S84" s="6">
        <v>69</v>
      </c>
      <c r="T84" s="6">
        <f t="shared" ca="1" si="14"/>
        <v>0.25620031464246706</v>
      </c>
      <c r="U84">
        <f t="shared" ca="1" si="14"/>
        <v>0.75099398718104493</v>
      </c>
      <c r="V84" s="8">
        <f t="shared" ca="1" si="15"/>
        <v>13.067207259726649</v>
      </c>
      <c r="AK84" s="6">
        <v>69</v>
      </c>
      <c r="AL84" s="6">
        <f t="shared" ca="1" si="16"/>
        <v>0.86784133770214755</v>
      </c>
      <c r="AM84" s="8">
        <f t="shared" ca="1" si="17"/>
        <v>779.60504432670939</v>
      </c>
    </row>
    <row r="85" spans="2:39" ht="15">
      <c r="B85" s="6">
        <v>70</v>
      </c>
      <c r="C85" s="6">
        <f t="shared" ca="1" si="12"/>
        <v>0.67462591314993359</v>
      </c>
      <c r="D85" s="8">
        <f t="shared" ca="1" si="13"/>
        <v>5590.5446116404682</v>
      </c>
      <c r="S85" s="6">
        <v>70</v>
      </c>
      <c r="T85" s="6">
        <f t="shared" ca="1" si="14"/>
        <v>0.45451030335869103</v>
      </c>
      <c r="U85">
        <f t="shared" ca="1" si="14"/>
        <v>0.97865568295784844</v>
      </c>
      <c r="V85" s="8">
        <f t="shared" ca="1" si="15"/>
        <v>12.08583777590437</v>
      </c>
      <c r="AK85" s="6">
        <v>70</v>
      </c>
      <c r="AL85" s="6">
        <f t="shared" ca="1" si="16"/>
        <v>0.30459824944457925</v>
      </c>
      <c r="AM85" s="8">
        <f t="shared" ca="1" si="17"/>
        <v>6538.1887208038042</v>
      </c>
    </row>
    <row r="86" spans="2:39" ht="15">
      <c r="B86" s="6">
        <v>71</v>
      </c>
      <c r="C86" s="6">
        <f t="shared" ca="1" si="12"/>
        <v>0.57802093857305969</v>
      </c>
      <c r="D86" s="8">
        <f t="shared" ca="1" si="13"/>
        <v>5539.3666263584937</v>
      </c>
      <c r="S86" s="6">
        <v>71</v>
      </c>
      <c r="T86" s="6">
        <f t="shared" ca="1" si="14"/>
        <v>5.4366159984306051E-2</v>
      </c>
      <c r="U86">
        <f t="shared" ca="1" si="14"/>
        <v>0.46605166308742085</v>
      </c>
      <c r="V86" s="8">
        <f t="shared" ca="1" si="15"/>
        <v>11.365359532266019</v>
      </c>
      <c r="AK86" s="6">
        <v>71</v>
      </c>
      <c r="AL86" s="6">
        <f t="shared" ca="1" si="16"/>
        <v>6.0685540793749104E-2</v>
      </c>
      <c r="AM86" s="8">
        <f t="shared" ca="1" si="17"/>
        <v>15411.27399335631</v>
      </c>
    </row>
    <row r="87" spans="2:39" ht="15">
      <c r="B87" s="6">
        <v>72</v>
      </c>
      <c r="C87" s="6">
        <f t="shared" ca="1" si="12"/>
        <v>0.65307768408224787</v>
      </c>
      <c r="D87" s="8">
        <f t="shared" ca="1" si="13"/>
        <v>5578.7285994292815</v>
      </c>
      <c r="S87" s="6">
        <v>72</v>
      </c>
      <c r="T87" s="6">
        <f t="shared" ca="1" si="14"/>
        <v>0.62071236333991664</v>
      </c>
      <c r="U87">
        <f t="shared" ca="1" si="14"/>
        <v>0.17406939069640281</v>
      </c>
      <c r="V87" s="8">
        <f t="shared" ca="1" si="15"/>
        <v>16.662270082141191</v>
      </c>
      <c r="AK87" s="6">
        <v>72</v>
      </c>
      <c r="AL87" s="6">
        <f t="shared" ca="1" si="16"/>
        <v>0.51653763565067456</v>
      </c>
      <c r="AM87" s="8">
        <f t="shared" ca="1" si="17"/>
        <v>3633.3391950726846</v>
      </c>
    </row>
    <row r="88" spans="2:39" ht="15">
      <c r="B88" s="6">
        <v>73</v>
      </c>
      <c r="C88" s="6">
        <f t="shared" ca="1" si="12"/>
        <v>0.66227909418399156</v>
      </c>
      <c r="D88" s="8">
        <f t="shared" ca="1" si="13"/>
        <v>5583.7382444318482</v>
      </c>
      <c r="S88" s="6">
        <v>73</v>
      </c>
      <c r="T88" s="6">
        <f t="shared" ca="1" si="14"/>
        <v>0.86213447860157177</v>
      </c>
      <c r="U88">
        <f t="shared" ca="1" si="14"/>
        <v>0.758488036356739</v>
      </c>
      <c r="V88" s="8">
        <f t="shared" ca="1" si="15"/>
        <v>13.032702509090679</v>
      </c>
      <c r="AK88" s="6">
        <v>73</v>
      </c>
      <c r="AL88" s="6">
        <f t="shared" ca="1" si="16"/>
        <v>0.1000780039721163</v>
      </c>
      <c r="AM88" s="8">
        <f t="shared" ca="1" si="17"/>
        <v>12659.929465401627</v>
      </c>
    </row>
    <row r="89" spans="2:39" ht="15">
      <c r="B89" s="6">
        <v>74</v>
      </c>
      <c r="C89" s="6">
        <f t="shared" ca="1" si="12"/>
        <v>0.45607701748568563</v>
      </c>
      <c r="D89" s="8">
        <f t="shared" ca="1" si="13"/>
        <v>5477.9356062269426</v>
      </c>
      <c r="S89" s="6">
        <v>74</v>
      </c>
      <c r="T89" s="6">
        <f t="shared" ca="1" si="14"/>
        <v>0.40739805381972127</v>
      </c>
      <c r="U89">
        <f t="shared" ca="1" si="14"/>
        <v>0.72292210535099877</v>
      </c>
      <c r="V89" s="8">
        <f t="shared" ca="1" si="15"/>
        <v>13.198013911917791</v>
      </c>
      <c r="AK89" s="6">
        <v>74</v>
      </c>
      <c r="AL89" s="6">
        <f t="shared" ca="1" si="16"/>
        <v>0.58717559132412045</v>
      </c>
      <c r="AM89" s="8">
        <f t="shared" ca="1" si="17"/>
        <v>2928.3725374987316</v>
      </c>
    </row>
    <row r="90" spans="2:39" ht="15">
      <c r="B90" s="6">
        <v>75</v>
      </c>
      <c r="C90" s="6">
        <f t="shared" ca="1" si="12"/>
        <v>0.14280251111426545</v>
      </c>
      <c r="D90" s="8">
        <f t="shared" ca="1" si="13"/>
        <v>5286.4374662451855</v>
      </c>
      <c r="S90" s="6">
        <v>75</v>
      </c>
      <c r="T90" s="6">
        <f t="shared" ca="1" si="14"/>
        <v>6.6729371290502604E-2</v>
      </c>
      <c r="U90">
        <f t="shared" ca="1" si="14"/>
        <v>0.64477145269962544</v>
      </c>
      <c r="V90" s="8">
        <f t="shared" ca="1" si="15"/>
        <v>11.605953240539245</v>
      </c>
      <c r="AK90" s="6">
        <v>75</v>
      </c>
      <c r="AL90" s="6">
        <f t="shared" ca="1" si="16"/>
        <v>0.99457628133680043</v>
      </c>
      <c r="AM90" s="8">
        <f t="shared" ca="1" si="17"/>
        <v>29.911642338741721</v>
      </c>
    </row>
    <row r="91" spans="2:39" ht="15">
      <c r="B91" s="6">
        <v>76</v>
      </c>
      <c r="C91" s="6">
        <f t="shared" ca="1" si="12"/>
        <v>0.70351235022907754</v>
      </c>
      <c r="D91" s="8">
        <f t="shared" ca="1" si="13"/>
        <v>5606.9058842748918</v>
      </c>
      <c r="S91" s="6">
        <v>76</v>
      </c>
      <c r="T91" s="6">
        <f t="shared" ca="1" si="14"/>
        <v>0.33382410352879399</v>
      </c>
      <c r="U91">
        <f t="shared" ca="1" si="14"/>
        <v>0.54210304962537381</v>
      </c>
      <c r="V91" s="8">
        <f t="shared" ca="1" si="15"/>
        <v>14.109788189205425</v>
      </c>
      <c r="AK91" s="6">
        <v>76</v>
      </c>
      <c r="AL91" s="6">
        <f t="shared" ca="1" si="16"/>
        <v>9.440689028925997E-2</v>
      </c>
      <c r="AM91" s="8">
        <f t="shared" ca="1" si="17"/>
        <v>12980.776699781098</v>
      </c>
    </row>
    <row r="92" spans="2:39" ht="15">
      <c r="B92" s="6">
        <v>77</v>
      </c>
      <c r="C92" s="6">
        <f t="shared" ca="1" si="12"/>
        <v>9.8161354012513691E-2</v>
      </c>
      <c r="D92" s="8">
        <f t="shared" ca="1" si="13"/>
        <v>5241.5801109634549</v>
      </c>
      <c r="S92" s="6">
        <v>77</v>
      </c>
      <c r="T92" s="6">
        <f t="shared" ca="1" si="14"/>
        <v>0.46385906021538714</v>
      </c>
      <c r="U92">
        <f t="shared" ca="1" si="14"/>
        <v>0.89464180842998231</v>
      </c>
      <c r="V92" s="8">
        <f t="shared" ca="1" si="15"/>
        <v>12.433159461207151</v>
      </c>
      <c r="AK92" s="6">
        <v>77</v>
      </c>
      <c r="AL92" s="6">
        <f t="shared" ca="1" si="16"/>
        <v>6.8246879443419672E-2</v>
      </c>
      <c r="AM92" s="8">
        <f t="shared" ca="1" si="17"/>
        <v>14765.429626217094</v>
      </c>
    </row>
    <row r="93" spans="2:39" ht="15">
      <c r="B93" s="6">
        <v>78</v>
      </c>
      <c r="C93" s="6">
        <f t="shared" ca="1" si="12"/>
        <v>0.48347042595178347</v>
      </c>
      <c r="D93" s="8">
        <f t="shared" ca="1" si="13"/>
        <v>5491.7109280281156</v>
      </c>
      <c r="S93" s="6">
        <v>78</v>
      </c>
      <c r="T93" s="6">
        <f t="shared" ca="1" si="14"/>
        <v>0.65735707047688996</v>
      </c>
      <c r="U93">
        <f t="shared" ca="1" si="14"/>
        <v>0.37780229149453137</v>
      </c>
      <c r="V93" s="8">
        <f t="shared" ca="1" si="15"/>
        <v>15.082750092211093</v>
      </c>
      <c r="AK93" s="6">
        <v>78</v>
      </c>
      <c r="AL93" s="6">
        <f t="shared" ca="1" si="16"/>
        <v>0.93080292648907925</v>
      </c>
      <c r="AM93" s="8">
        <f t="shared" ca="1" si="17"/>
        <v>394.39236925581923</v>
      </c>
    </row>
    <row r="94" spans="2:39" ht="15">
      <c r="B94" s="6">
        <v>79</v>
      </c>
      <c r="C94" s="6">
        <f t="shared" ca="1" si="12"/>
        <v>0.20423931872880008</v>
      </c>
      <c r="D94" s="8">
        <f t="shared" ca="1" si="13"/>
        <v>5334.6852276390646</v>
      </c>
      <c r="S94" s="6">
        <v>79</v>
      </c>
      <c r="T94" s="6">
        <f t="shared" ca="1" si="14"/>
        <v>0.71410652888907833</v>
      </c>
      <c r="U94">
        <f t="shared" ca="1" si="14"/>
        <v>0.48360294075797494</v>
      </c>
      <c r="V94" s="8">
        <f t="shared" ca="1" si="15"/>
        <v>14.436674716636606</v>
      </c>
      <c r="AK94" s="6">
        <v>79</v>
      </c>
      <c r="AL94" s="6">
        <f t="shared" ca="1" si="16"/>
        <v>0.20566533485042082</v>
      </c>
      <c r="AM94" s="8">
        <f t="shared" ca="1" si="17"/>
        <v>8698.2776065435755</v>
      </c>
    </row>
    <row r="95" spans="2:39" ht="15">
      <c r="B95" s="6">
        <v>80</v>
      </c>
      <c r="C95" s="6">
        <f t="shared" ca="1" si="12"/>
        <v>0.49048987106531006</v>
      </c>
      <c r="D95" s="8">
        <f t="shared" ca="1" si="13"/>
        <v>5495.2318767415591</v>
      </c>
      <c r="S95" s="6">
        <v>80</v>
      </c>
      <c r="T95" s="6">
        <f t="shared" ca="1" si="14"/>
        <v>0.19530574640993692</v>
      </c>
      <c r="U95">
        <f t="shared" ca="1" si="14"/>
        <v>0.83262027507254743</v>
      </c>
      <c r="V95" s="8">
        <f t="shared" ca="1" si="15"/>
        <v>11.824960574996126</v>
      </c>
      <c r="AK95" s="6">
        <v>80</v>
      </c>
      <c r="AL95" s="6">
        <f t="shared" ca="1" si="16"/>
        <v>0.98173181423039468</v>
      </c>
      <c r="AM95" s="8">
        <f t="shared" ca="1" si="17"/>
        <v>101.40410238793929</v>
      </c>
    </row>
    <row r="96" spans="2:39" ht="15">
      <c r="B96" s="6">
        <v>81</v>
      </c>
      <c r="C96" s="6">
        <f t="shared" ca="1" si="12"/>
        <v>0.62366558859965027</v>
      </c>
      <c r="D96" s="8">
        <f t="shared" ca="1" si="13"/>
        <v>5563.0244533330842</v>
      </c>
      <c r="S96" s="6">
        <v>81</v>
      </c>
      <c r="T96" s="6">
        <f t="shared" ca="1" si="14"/>
        <v>3.5245208692670338E-2</v>
      </c>
      <c r="U96">
        <f t="shared" ca="1" si="14"/>
        <v>0.69967518846333632</v>
      </c>
      <c r="V96" s="8">
        <f t="shared" ca="1" si="15"/>
        <v>11.672931783980848</v>
      </c>
      <c r="AK96" s="6">
        <v>81</v>
      </c>
      <c r="AL96" s="6">
        <f t="shared" ca="1" si="16"/>
        <v>6.913717972456257E-2</v>
      </c>
      <c r="AM96" s="8">
        <f t="shared" ca="1" si="17"/>
        <v>14694.144498625688</v>
      </c>
    </row>
    <row r="97" spans="2:39" ht="15">
      <c r="B97" s="6">
        <v>82</v>
      </c>
      <c r="C97" s="6">
        <f t="shared" ca="1" si="12"/>
        <v>0.83777129592263888</v>
      </c>
      <c r="D97" s="8">
        <f t="shared" ca="1" si="13"/>
        <v>5697.0678707899979</v>
      </c>
      <c r="S97" s="6">
        <v>82</v>
      </c>
      <c r="T97" s="6">
        <f t="shared" ca="1" si="14"/>
        <v>0.37961856033311814</v>
      </c>
      <c r="U97">
        <f t="shared" ca="1" si="14"/>
        <v>0.98291573435072166</v>
      </c>
      <c r="V97" s="8">
        <f t="shared" ca="1" si="15"/>
        <v>12.068631454884587</v>
      </c>
      <c r="AK97" s="6">
        <v>82</v>
      </c>
      <c r="AL97" s="6">
        <f t="shared" ca="1" si="16"/>
        <v>0.90096994715631296</v>
      </c>
      <c r="AM97" s="8">
        <f t="shared" ca="1" si="17"/>
        <v>573.55857304643212</v>
      </c>
    </row>
    <row r="98" spans="2:39" ht="15">
      <c r="B98" s="6">
        <v>83</v>
      </c>
      <c r="C98" s="6">
        <f t="shared" ca="1" si="12"/>
        <v>0.71963436843534945</v>
      </c>
      <c r="D98" s="8">
        <f t="shared" ca="1" si="13"/>
        <v>5616.3511353211861</v>
      </c>
      <c r="S98" s="6">
        <v>83</v>
      </c>
      <c r="T98" s="6">
        <f t="shared" ca="1" si="14"/>
        <v>0.83020795281951087</v>
      </c>
      <c r="U98">
        <f t="shared" ca="1" si="14"/>
        <v>0.3458273901766884</v>
      </c>
      <c r="V98" s="8">
        <f t="shared" ca="1" si="15"/>
        <v>15.295432754087997</v>
      </c>
      <c r="AK98" s="6">
        <v>83</v>
      </c>
      <c r="AL98" s="6">
        <f t="shared" ca="1" si="16"/>
        <v>0.79362839297029131</v>
      </c>
      <c r="AM98" s="8">
        <f t="shared" ca="1" si="17"/>
        <v>1271.269704205316</v>
      </c>
    </row>
    <row r="99" spans="2:39" ht="15">
      <c r="B99" s="6">
        <v>84</v>
      </c>
      <c r="C99" s="6">
        <f t="shared" ca="1" si="12"/>
        <v>0.62039177856796612</v>
      </c>
      <c r="D99" s="8">
        <f t="shared" ca="1" si="13"/>
        <v>5561.3019800976117</v>
      </c>
      <c r="S99" s="6">
        <v>84</v>
      </c>
      <c r="T99" s="6">
        <f t="shared" ca="1" si="14"/>
        <v>0.99801757845687888</v>
      </c>
      <c r="U99">
        <f t="shared" ca="1" si="14"/>
        <v>0.39557712037069015</v>
      </c>
      <c r="V99" s="8">
        <f t="shared" ca="1" si="15"/>
        <v>14.96840624615578</v>
      </c>
      <c r="AK99" s="6">
        <v>84</v>
      </c>
      <c r="AL99" s="6">
        <f t="shared" ca="1" si="16"/>
        <v>0.60247158782415544</v>
      </c>
      <c r="AM99" s="8">
        <f t="shared" ca="1" si="17"/>
        <v>2786.9312452717509</v>
      </c>
    </row>
    <row r="100" spans="2:39" ht="15">
      <c r="B100" s="6">
        <v>85</v>
      </c>
      <c r="C100" s="6">
        <f t="shared" ca="1" si="12"/>
        <v>0.2089846566123853</v>
      </c>
      <c r="D100" s="8">
        <f t="shared" ca="1" si="13"/>
        <v>5338.0101391916951</v>
      </c>
      <c r="S100" s="6">
        <v>85</v>
      </c>
      <c r="T100" s="6">
        <f t="shared" ca="1" si="14"/>
        <v>0.98464557826159438</v>
      </c>
      <c r="U100">
        <f t="shared" ca="1" si="14"/>
        <v>0.33436461199505751</v>
      </c>
      <c r="V100" s="8">
        <f t="shared" ca="1" si="15"/>
        <v>15.374058456088784</v>
      </c>
      <c r="AK100" s="6">
        <v>85</v>
      </c>
      <c r="AL100" s="6">
        <f t="shared" ca="1" si="16"/>
        <v>0.88457444511298422</v>
      </c>
      <c r="AM100" s="8">
        <f t="shared" ca="1" si="17"/>
        <v>674.56731430415061</v>
      </c>
    </row>
    <row r="101" spans="2:39" ht="15">
      <c r="B101" s="6">
        <v>86</v>
      </c>
      <c r="C101" s="6">
        <f t="shared" ca="1" si="12"/>
        <v>0.3809090739598906</v>
      </c>
      <c r="D101" s="8">
        <f t="shared" ca="1" si="13"/>
        <v>5439.3811793683872</v>
      </c>
      <c r="S101" s="6">
        <v>86</v>
      </c>
      <c r="T101" s="6">
        <f t="shared" ca="1" si="14"/>
        <v>0.58750233886017755</v>
      </c>
      <c r="U101">
        <f t="shared" ca="1" si="14"/>
        <v>0.72555371309407779</v>
      </c>
      <c r="V101" s="8">
        <f t="shared" ca="1" si="15"/>
        <v>13.185644737906529</v>
      </c>
      <c r="AK101" s="6">
        <v>86</v>
      </c>
      <c r="AL101" s="6">
        <f t="shared" ca="1" si="16"/>
        <v>0.380762180859196</v>
      </c>
      <c r="AM101" s="8">
        <f t="shared" ca="1" si="17"/>
        <v>5310.6916278217104</v>
      </c>
    </row>
    <row r="102" spans="2:39" ht="15">
      <c r="B102" s="6">
        <v>87</v>
      </c>
      <c r="C102" s="6">
        <f t="shared" ca="1" si="12"/>
        <v>0.70539523532443171</v>
      </c>
      <c r="D102" s="8">
        <f t="shared" ca="1" si="13"/>
        <v>5607.9963758102695</v>
      </c>
      <c r="S102" s="6">
        <v>87</v>
      </c>
      <c r="T102" s="6">
        <f t="shared" ca="1" si="14"/>
        <v>0.40092713477685038</v>
      </c>
      <c r="U102">
        <f t="shared" ca="1" si="14"/>
        <v>0.32834342279044648</v>
      </c>
      <c r="V102" s="8">
        <f t="shared" ca="1" si="15"/>
        <v>15.415899318449847</v>
      </c>
      <c r="AK102" s="6">
        <v>87</v>
      </c>
      <c r="AL102" s="6">
        <f t="shared" ca="1" si="16"/>
        <v>0.34418037868989448</v>
      </c>
      <c r="AM102" s="8">
        <f t="shared" ca="1" si="17"/>
        <v>5866.2417130844005</v>
      </c>
    </row>
    <row r="103" spans="2:39" ht="15">
      <c r="B103" s="6">
        <v>88</v>
      </c>
      <c r="C103" s="6">
        <f t="shared" ca="1" si="12"/>
        <v>0.82205481625199905</v>
      </c>
      <c r="D103" s="8">
        <f t="shared" ca="1" si="13"/>
        <v>5684.6448447939756</v>
      </c>
      <c r="S103" s="6">
        <v>88</v>
      </c>
      <c r="T103" s="6">
        <f t="shared" ca="1" si="14"/>
        <v>0.16755963359728254</v>
      </c>
      <c r="U103">
        <f t="shared" ca="1" si="14"/>
        <v>0.40266266308755361</v>
      </c>
      <c r="V103" s="8">
        <f t="shared" ca="1" si="15"/>
        <v>11.269114121090068</v>
      </c>
      <c r="AK103" s="6">
        <v>88</v>
      </c>
      <c r="AL103" s="6">
        <f t="shared" ca="1" si="16"/>
        <v>0.83980223045397862</v>
      </c>
      <c r="AM103" s="8">
        <f t="shared" ca="1" si="17"/>
        <v>960.23870140467625</v>
      </c>
    </row>
    <row r="104" spans="2:39" ht="15">
      <c r="B104" s="6">
        <v>89</v>
      </c>
      <c r="C104" s="6">
        <f t="shared" ca="1" si="12"/>
        <v>0.54740591725215215</v>
      </c>
      <c r="D104" s="8">
        <f t="shared" ca="1" si="13"/>
        <v>5523.822010803885</v>
      </c>
      <c r="S104" s="6">
        <v>89</v>
      </c>
      <c r="T104" s="6">
        <f t="shared" ca="1" si="14"/>
        <v>5.1024777419077072E-2</v>
      </c>
      <c r="U104">
        <f t="shared" ca="1" si="14"/>
        <v>0.79777446225900395</v>
      </c>
      <c r="V104" s="8">
        <f t="shared" ca="1" si="15"/>
        <v>11.786364422237527</v>
      </c>
      <c r="AK104" s="6">
        <v>89</v>
      </c>
      <c r="AL104" s="6">
        <f t="shared" ca="1" si="16"/>
        <v>0.24824723313429808</v>
      </c>
      <c r="AM104" s="8">
        <f t="shared" ca="1" si="17"/>
        <v>7663.315668800783</v>
      </c>
    </row>
    <row r="105" spans="2:39" ht="15">
      <c r="B105" s="6">
        <v>90</v>
      </c>
      <c r="C105" s="6">
        <f t="shared" ca="1" si="12"/>
        <v>0.19211434857451803</v>
      </c>
      <c r="D105" s="8">
        <f t="shared" ca="1" si="13"/>
        <v>5325.9737556767213</v>
      </c>
      <c r="S105" s="6">
        <v>90</v>
      </c>
      <c r="T105" s="6">
        <f t="shared" ca="1" si="14"/>
        <v>0.19103604538011087</v>
      </c>
      <c r="U105">
        <f t="shared" ca="1" si="14"/>
        <v>0.28932729805513224</v>
      </c>
      <c r="V105" s="8">
        <f t="shared" ca="1" si="15"/>
        <v>11.075783060017459</v>
      </c>
      <c r="AK105" s="6">
        <v>90</v>
      </c>
      <c r="AL105" s="6">
        <f t="shared" ca="1" si="16"/>
        <v>0.42925679299107933</v>
      </c>
      <c r="AM105" s="8">
        <f t="shared" ca="1" si="17"/>
        <v>4651.3497474064879</v>
      </c>
    </row>
    <row r="106" spans="2:39" ht="15">
      <c r="B106" s="6">
        <v>91</v>
      </c>
      <c r="C106" s="6">
        <f t="shared" ca="1" si="12"/>
        <v>0.31870547727132204</v>
      </c>
      <c r="D106" s="8">
        <f t="shared" ca="1" si="13"/>
        <v>5405.735641202501</v>
      </c>
      <c r="S106" s="6">
        <v>91</v>
      </c>
      <c r="T106" s="6">
        <f t="shared" ca="1" si="14"/>
        <v>0.47978847640572975</v>
      </c>
      <c r="U106">
        <f t="shared" ca="1" si="14"/>
        <v>0.49348174057929572</v>
      </c>
      <c r="V106" s="8">
        <f t="shared" ca="1" si="15"/>
        <v>14.380139557153139</v>
      </c>
      <c r="AK106" s="6">
        <v>91</v>
      </c>
      <c r="AL106" s="6">
        <f t="shared" ca="1" si="16"/>
        <v>0.80521146488116802</v>
      </c>
      <c r="AM106" s="8">
        <f t="shared" ca="1" si="17"/>
        <v>1191.5769072184369</v>
      </c>
    </row>
    <row r="107" spans="2:39" ht="15">
      <c r="B107" s="6">
        <v>92</v>
      </c>
      <c r="C107" s="6">
        <f t="shared" ca="1" si="12"/>
        <v>5.6626920598133346E-2</v>
      </c>
      <c r="D107" s="8">
        <f t="shared" ca="1" si="13"/>
        <v>5183.2528284418959</v>
      </c>
      <c r="S107" s="6">
        <v>92</v>
      </c>
      <c r="T107" s="6">
        <f t="shared" ca="1" si="14"/>
        <v>0.44161402721070142</v>
      </c>
      <c r="U107">
        <f t="shared" ca="1" si="14"/>
        <v>0.37283791127920585</v>
      </c>
      <c r="V107" s="8">
        <f t="shared" ca="1" si="15"/>
        <v>15.115163634074406</v>
      </c>
      <c r="AK107" s="6">
        <v>92</v>
      </c>
      <c r="AL107" s="6">
        <f t="shared" ca="1" si="16"/>
        <v>0.15060925631600941</v>
      </c>
      <c r="AM107" s="8">
        <f t="shared" ca="1" si="17"/>
        <v>10411.865764208715</v>
      </c>
    </row>
    <row r="108" spans="2:39" ht="15">
      <c r="B108" s="6">
        <v>93</v>
      </c>
      <c r="C108" s="6">
        <f t="shared" ca="1" si="12"/>
        <v>0.27775848720062768</v>
      </c>
      <c r="D108" s="8">
        <f t="shared" ca="1" si="13"/>
        <v>5382.0973344904114</v>
      </c>
      <c r="S108" s="6">
        <v>93</v>
      </c>
      <c r="T108" s="6">
        <f t="shared" ca="1" si="14"/>
        <v>0.7878855527528964</v>
      </c>
      <c r="U108">
        <f t="shared" ca="1" si="14"/>
        <v>0.10177094168192458</v>
      </c>
      <c r="V108" s="8">
        <f t="shared" ca="1" si="15"/>
        <v>17.447875342456179</v>
      </c>
      <c r="AK108" s="6">
        <v>93</v>
      </c>
      <c r="AL108" s="6">
        <f t="shared" ca="1" si="16"/>
        <v>0.99936761101896154</v>
      </c>
      <c r="AM108" s="8">
        <f t="shared" ca="1" si="17"/>
        <v>3.4792396281000375</v>
      </c>
    </row>
    <row r="109" spans="2:39" ht="15">
      <c r="B109" s="6">
        <v>94</v>
      </c>
      <c r="C109" s="6">
        <f t="shared" ca="1" si="12"/>
        <v>0.55795266721265269</v>
      </c>
      <c r="D109" s="8">
        <f t="shared" ca="1" si="13"/>
        <v>5529.1561011665744</v>
      </c>
      <c r="S109" s="6">
        <v>94</v>
      </c>
      <c r="T109" s="6">
        <f t="shared" ca="1" si="14"/>
        <v>0.11396349753989354</v>
      </c>
      <c r="U109">
        <f t="shared" ca="1" si="14"/>
        <v>0.68357866422779701</v>
      </c>
      <c r="V109" s="8">
        <f t="shared" ca="1" si="15"/>
        <v>11.653576323279694</v>
      </c>
      <c r="AK109" s="6">
        <v>94</v>
      </c>
      <c r="AL109" s="6">
        <f t="shared" ca="1" si="16"/>
        <v>0.7658354378757406</v>
      </c>
      <c r="AM109" s="8">
        <f t="shared" ca="1" si="17"/>
        <v>1467.3338096002528</v>
      </c>
    </row>
    <row r="110" spans="2:39" ht="15">
      <c r="B110" s="6">
        <v>95</v>
      </c>
      <c r="C110" s="6">
        <f t="shared" ca="1" si="12"/>
        <v>0.93310866071577026</v>
      </c>
      <c r="D110" s="8">
        <f t="shared" ca="1" si="13"/>
        <v>5799.8701380244629</v>
      </c>
      <c r="S110" s="6">
        <v>95</v>
      </c>
      <c r="T110" s="6">
        <f t="shared" ca="1" si="14"/>
        <v>0.28165520967005209</v>
      </c>
      <c r="U110">
        <f t="shared" ca="1" si="14"/>
        <v>0.59460255647314664</v>
      </c>
      <c r="V110" s="8">
        <f t="shared" ca="1" si="15"/>
        <v>13.831161891062354</v>
      </c>
      <c r="AK110" s="6">
        <v>95</v>
      </c>
      <c r="AL110" s="6">
        <f t="shared" ca="1" si="16"/>
        <v>7.7783515662720126E-2</v>
      </c>
      <c r="AM110" s="8">
        <f t="shared" ca="1" si="17"/>
        <v>14046.041631542965</v>
      </c>
    </row>
    <row r="111" spans="2:39" ht="15">
      <c r="B111" s="6">
        <v>96</v>
      </c>
      <c r="C111" s="6">
        <f t="shared" ca="1" si="12"/>
        <v>0.17850216095649263</v>
      </c>
      <c r="D111" s="8">
        <f t="shared" ca="1" si="13"/>
        <v>5315.7823375944845</v>
      </c>
      <c r="S111" s="6">
        <v>96</v>
      </c>
      <c r="T111" s="6">
        <f t="shared" ca="1" si="14"/>
        <v>0.7893618224229294</v>
      </c>
      <c r="U111">
        <f t="shared" ca="1" si="14"/>
        <v>0.42803292453329511</v>
      </c>
      <c r="V111" s="8">
        <f t="shared" ca="1" si="15"/>
        <v>14.766061982586066</v>
      </c>
      <c r="AK111" s="6">
        <v>96</v>
      </c>
      <c r="AL111" s="6">
        <f t="shared" ca="1" si="16"/>
        <v>0.59472856440218358</v>
      </c>
      <c r="AM111" s="8">
        <f t="shared" ca="1" si="17"/>
        <v>2858.0759449375141</v>
      </c>
    </row>
    <row r="112" spans="2:39" ht="15">
      <c r="B112" s="6">
        <v>97</v>
      </c>
      <c r="C112" s="6">
        <f t="shared" ca="1" si="12"/>
        <v>0.41268152227699062</v>
      </c>
      <c r="D112" s="8">
        <f t="shared" ca="1" si="13"/>
        <v>5455.8695064845215</v>
      </c>
      <c r="S112" s="6">
        <v>97</v>
      </c>
      <c r="T112" s="6">
        <f t="shared" ca="1" si="14"/>
        <v>0.98213093173035415</v>
      </c>
      <c r="U112">
        <f t="shared" ca="1" si="14"/>
        <v>0.68145937571337634</v>
      </c>
      <c r="V112" s="8">
        <f t="shared" ca="1" si="15"/>
        <v>13.395955781064448</v>
      </c>
      <c r="AK112" s="6">
        <v>97</v>
      </c>
      <c r="AL112" s="6">
        <f t="shared" ca="1" si="16"/>
        <v>0.9249383568426488</v>
      </c>
      <c r="AM112" s="8">
        <f t="shared" ca="1" si="17"/>
        <v>429.15501717841045</v>
      </c>
    </row>
    <row r="113" spans="2:39" ht="15">
      <c r="B113" s="6">
        <v>98</v>
      </c>
      <c r="C113" s="6">
        <f t="shared" ca="1" si="12"/>
        <v>0.62505304887038815</v>
      </c>
      <c r="D113" s="8">
        <f t="shared" ca="1" si="13"/>
        <v>5563.7558531296845</v>
      </c>
      <c r="S113" s="6">
        <v>98</v>
      </c>
      <c r="T113" s="6">
        <f t="shared" ref="T113:U144" ca="1" si="18">RAND()</f>
        <v>0.66759215799778904</v>
      </c>
      <c r="U113">
        <f t="shared" ca="1" si="18"/>
        <v>2.3238884765662715E-2</v>
      </c>
      <c r="V113" s="8">
        <f t="shared" ca="1" si="15"/>
        <v>18.780455566614151</v>
      </c>
      <c r="AK113" s="6">
        <v>98</v>
      </c>
      <c r="AL113" s="6">
        <f t="shared" ca="1" si="16"/>
        <v>0.32588037412395499</v>
      </c>
      <c r="AM113" s="8">
        <f t="shared" ca="1" si="17"/>
        <v>6166.7370352404796</v>
      </c>
    </row>
    <row r="114" spans="2:39" ht="15">
      <c r="B114" s="6">
        <v>99</v>
      </c>
      <c r="C114" s="6">
        <f t="shared" ca="1" si="12"/>
        <v>0.24128274041115183</v>
      </c>
      <c r="D114" s="8">
        <f t="shared" ca="1" si="13"/>
        <v>5359.5635394807505</v>
      </c>
      <c r="S114" s="6">
        <v>99</v>
      </c>
      <c r="T114" s="6">
        <f t="shared" ca="1" si="18"/>
        <v>0.22550052270732401</v>
      </c>
      <c r="U114">
        <f t="shared" ca="1" si="18"/>
        <v>0.15997810910798238</v>
      </c>
      <c r="V114" s="8">
        <f t="shared" ca="1" si="15"/>
        <v>16.800218916408362</v>
      </c>
      <c r="AK114" s="6">
        <v>99</v>
      </c>
      <c r="AL114" s="6">
        <f t="shared" ca="1" si="16"/>
        <v>0.78490673909579523</v>
      </c>
      <c r="AM114" s="8">
        <f t="shared" ca="1" si="17"/>
        <v>1332.0470457638908</v>
      </c>
    </row>
    <row r="115" spans="2:39" ht="15">
      <c r="B115" s="6">
        <v>100</v>
      </c>
      <c r="C115" s="6">
        <f t="shared" ca="1" si="12"/>
        <v>0.4463236883277415</v>
      </c>
      <c r="D115" s="8">
        <f t="shared" ca="1" si="13"/>
        <v>5473.0089805495336</v>
      </c>
      <c r="S115" s="6">
        <v>100</v>
      </c>
      <c r="T115" s="6">
        <f t="shared" ca="1" si="18"/>
        <v>0.34450978982930103</v>
      </c>
      <c r="U115">
        <f t="shared" ca="1" si="18"/>
        <v>6.694658725175695E-2</v>
      </c>
      <c r="V115" s="8">
        <f t="shared" ca="1" si="15"/>
        <v>17.930076913479041</v>
      </c>
      <c r="AK115" s="6">
        <v>100</v>
      </c>
      <c r="AL115" s="6">
        <f t="shared" ca="1" si="16"/>
        <v>0.17044827092509063</v>
      </c>
      <c r="AM115" s="8">
        <f t="shared" ca="1" si="17"/>
        <v>9731.2788354447821</v>
      </c>
    </row>
    <row r="116" spans="2:39" ht="15">
      <c r="B116" s="6">
        <v>101</v>
      </c>
      <c r="C116" s="6">
        <f t="shared" ca="1" si="12"/>
        <v>0.72939275337712184</v>
      </c>
      <c r="D116" s="8">
        <f t="shared" ca="1" si="13"/>
        <v>5622.1954947847362</v>
      </c>
      <c r="S116" s="6">
        <v>101</v>
      </c>
      <c r="T116" s="6">
        <f t="shared" ca="1" si="18"/>
        <v>0.44497818978183923</v>
      </c>
      <c r="U116">
        <f t="shared" ca="1" si="18"/>
        <v>0.13652526208269855</v>
      </c>
      <c r="V116" s="8">
        <f t="shared" ca="1" si="15"/>
        <v>17.04405399689157</v>
      </c>
      <c r="AK116" s="6">
        <v>101</v>
      </c>
      <c r="AL116" s="6">
        <f t="shared" ca="1" si="16"/>
        <v>0.11454344297311148</v>
      </c>
      <c r="AM116" s="8">
        <f t="shared" ref="AM116:AM179" ca="1" si="19">-$AL$10*LN(AL116)</f>
        <v>11917.406123342711</v>
      </c>
    </row>
    <row r="117" spans="2:39" ht="15">
      <c r="B117" s="6">
        <v>102</v>
      </c>
      <c r="C117" s="6">
        <f t="shared" ca="1" si="12"/>
        <v>0.75565150426094552</v>
      </c>
      <c r="D117" s="8">
        <f t="shared" ca="1" si="13"/>
        <v>5638.4765513786979</v>
      </c>
      <c r="S117" s="6">
        <v>102</v>
      </c>
      <c r="T117" s="6">
        <f t="shared" ca="1" si="18"/>
        <v>0.88613631831365425</v>
      </c>
      <c r="U117">
        <f t="shared" ca="1" si="18"/>
        <v>0.71425003240685214</v>
      </c>
      <c r="V117" s="8">
        <f t="shared" ca="1" si="15"/>
        <v>13.2389348417547</v>
      </c>
      <c r="AK117" s="6">
        <v>102</v>
      </c>
      <c r="AL117" s="6">
        <f t="shared" ca="1" si="16"/>
        <v>0.64145427236848074</v>
      </c>
      <c r="AM117" s="8">
        <f t="shared" ca="1" si="19"/>
        <v>2442.0955890285913</v>
      </c>
    </row>
    <row r="118" spans="2:39" ht="15">
      <c r="B118" s="6">
        <v>103</v>
      </c>
      <c r="C118" s="6">
        <f t="shared" ca="1" si="12"/>
        <v>0.49872912718779561</v>
      </c>
      <c r="D118" s="8">
        <f t="shared" ca="1" si="13"/>
        <v>5499.3628777774966</v>
      </c>
      <c r="S118" s="6">
        <v>103</v>
      </c>
      <c r="T118" s="6">
        <f t="shared" ca="1" si="18"/>
        <v>0.99311183464900443</v>
      </c>
      <c r="U118">
        <f t="shared" ca="1" si="18"/>
        <v>0.84768459192828038</v>
      </c>
      <c r="V118" s="8">
        <f t="shared" ca="1" si="15"/>
        <v>12.634416935271862</v>
      </c>
      <c r="AK118" s="6">
        <v>103</v>
      </c>
      <c r="AL118" s="6">
        <f t="shared" ca="1" si="16"/>
        <v>0.82828167934881036</v>
      </c>
      <c r="AM118" s="8">
        <f t="shared" ca="1" si="19"/>
        <v>1036.2109449942507</v>
      </c>
    </row>
    <row r="119" spans="2:39" ht="15">
      <c r="B119" s="6">
        <v>104</v>
      </c>
      <c r="C119" s="6">
        <f t="shared" ca="1" si="12"/>
        <v>0.38423952193408217</v>
      </c>
      <c r="D119" s="8">
        <f t="shared" ca="1" si="13"/>
        <v>5441.1270092155</v>
      </c>
      <c r="S119" s="6">
        <v>104</v>
      </c>
      <c r="T119" s="6">
        <f t="shared" ca="1" si="18"/>
        <v>0.2484698432592688</v>
      </c>
      <c r="U119">
        <f t="shared" ca="1" si="18"/>
        <v>0.4216699241031725</v>
      </c>
      <c r="V119" s="8">
        <f t="shared" ca="1" si="15"/>
        <v>14.805110670803174</v>
      </c>
      <c r="AK119" s="6">
        <v>104</v>
      </c>
      <c r="AL119" s="6">
        <f t="shared" ca="1" si="16"/>
        <v>0.23014411087339726</v>
      </c>
      <c r="AM119" s="8">
        <f t="shared" ca="1" si="19"/>
        <v>8079.7727849111898</v>
      </c>
    </row>
    <row r="120" spans="2:39" ht="15">
      <c r="B120" s="6">
        <v>105</v>
      </c>
      <c r="C120" s="6">
        <f t="shared" ca="1" si="12"/>
        <v>2.2279458708271083E-2</v>
      </c>
      <c r="D120" s="8">
        <f t="shared" ca="1" si="13"/>
        <v>5098.2410729092153</v>
      </c>
      <c r="S120" s="6">
        <v>105</v>
      </c>
      <c r="T120" s="6">
        <f t="shared" ca="1" si="18"/>
        <v>0.97988327075361603</v>
      </c>
      <c r="U120">
        <f t="shared" ca="1" si="18"/>
        <v>4.8720520488436225E-2</v>
      </c>
      <c r="V120" s="8">
        <f t="shared" ca="1" si="15"/>
        <v>18.234181971079714</v>
      </c>
      <c r="AK120" s="6">
        <v>105</v>
      </c>
      <c r="AL120" s="6">
        <f t="shared" ca="1" si="16"/>
        <v>0.68828043188305077</v>
      </c>
      <c r="AM120" s="8">
        <f t="shared" ca="1" si="19"/>
        <v>2054.5740578866526</v>
      </c>
    </row>
    <row r="121" spans="2:39" ht="15">
      <c r="B121" s="6">
        <v>106</v>
      </c>
      <c r="C121" s="6">
        <f t="shared" ca="1" si="12"/>
        <v>0.52480079299235727</v>
      </c>
      <c r="D121" s="8">
        <f t="shared" ca="1" si="13"/>
        <v>5512.4412930307417</v>
      </c>
      <c r="S121" s="6">
        <v>106</v>
      </c>
      <c r="T121" s="6">
        <f t="shared" ca="1" si="18"/>
        <v>0.83089669170898339</v>
      </c>
      <c r="U121">
        <f t="shared" ca="1" si="18"/>
        <v>0.81808256768824661</v>
      </c>
      <c r="V121" s="8">
        <f t="shared" ca="1" si="15"/>
        <v>12.764166645641446</v>
      </c>
      <c r="AK121" s="6">
        <v>106</v>
      </c>
      <c r="AL121" s="6">
        <f t="shared" ca="1" si="16"/>
        <v>0.18469060424267236</v>
      </c>
      <c r="AM121" s="8">
        <f t="shared" ca="1" si="19"/>
        <v>9289.9029489245222</v>
      </c>
    </row>
    <row r="122" spans="2:39" ht="15">
      <c r="B122" s="6">
        <v>107</v>
      </c>
      <c r="C122" s="6">
        <f t="shared" ca="1" si="12"/>
        <v>0.44798338353439238</v>
      </c>
      <c r="D122" s="8">
        <f t="shared" ca="1" si="13"/>
        <v>5473.8484046193971</v>
      </c>
      <c r="S122" s="6">
        <v>107</v>
      </c>
      <c r="T122" s="6">
        <f t="shared" ca="1" si="18"/>
        <v>0.67796053935146372</v>
      </c>
      <c r="U122">
        <f t="shared" ca="1" si="18"/>
        <v>0.70157203246048649</v>
      </c>
      <c r="V122" s="8">
        <f t="shared" ca="1" si="15"/>
        <v>13.299208249955001</v>
      </c>
      <c r="AK122" s="6">
        <v>107</v>
      </c>
      <c r="AL122" s="6">
        <f t="shared" ca="1" si="16"/>
        <v>0.74728405902244188</v>
      </c>
      <c r="AM122" s="8">
        <f t="shared" ca="1" si="19"/>
        <v>1602.2044483681641</v>
      </c>
    </row>
    <row r="123" spans="2:39" ht="15">
      <c r="B123" s="6">
        <v>108</v>
      </c>
      <c r="C123" s="6">
        <f t="shared" ca="1" si="12"/>
        <v>0.28091314103950382</v>
      </c>
      <c r="D123" s="8">
        <f t="shared" ca="1" si="13"/>
        <v>5383.9738006142325</v>
      </c>
      <c r="S123" s="6">
        <v>108</v>
      </c>
      <c r="T123" s="6">
        <f t="shared" ca="1" si="18"/>
        <v>0.85352074039359371</v>
      </c>
      <c r="U123">
        <f t="shared" ca="1" si="18"/>
        <v>0.12481349067145942</v>
      </c>
      <c r="V123" s="8">
        <f t="shared" ca="1" si="15"/>
        <v>17.173683775128232</v>
      </c>
      <c r="AK123" s="6">
        <v>108</v>
      </c>
      <c r="AL123" s="6">
        <f t="shared" ca="1" si="16"/>
        <v>0.9351723578800023</v>
      </c>
      <c r="AM123" s="8">
        <f t="shared" ca="1" si="19"/>
        <v>368.6343468685024</v>
      </c>
    </row>
    <row r="124" spans="2:39" ht="15">
      <c r="B124" s="6">
        <v>109</v>
      </c>
      <c r="C124" s="6">
        <f t="shared" ca="1" si="12"/>
        <v>7.2812209434836572E-2</v>
      </c>
      <c r="D124" s="8">
        <f t="shared" ca="1" si="13"/>
        <v>5208.9676004991788</v>
      </c>
      <c r="S124" s="6">
        <v>109</v>
      </c>
      <c r="T124" s="6">
        <f t="shared" ca="1" si="18"/>
        <v>0.82767139459688788</v>
      </c>
      <c r="U124">
        <f t="shared" ca="1" si="18"/>
        <v>0.5064110751368992</v>
      </c>
      <c r="V124" s="8">
        <f t="shared" ca="1" si="15"/>
        <v>14.306994747168982</v>
      </c>
      <c r="AK124" s="6">
        <v>109</v>
      </c>
      <c r="AL124" s="6">
        <f t="shared" ca="1" si="16"/>
        <v>0.13920784720676382</v>
      </c>
      <c r="AM124" s="8">
        <f t="shared" ca="1" si="19"/>
        <v>10844.829374824176</v>
      </c>
    </row>
    <row r="125" spans="2:39" ht="15">
      <c r="B125" s="6">
        <v>110</v>
      </c>
      <c r="C125" s="6">
        <f t="shared" ca="1" si="12"/>
        <v>0.72958113235493793</v>
      </c>
      <c r="D125" s="8">
        <f t="shared" ca="1" si="13"/>
        <v>5622.3093328616769</v>
      </c>
      <c r="S125" s="6">
        <v>110</v>
      </c>
      <c r="T125" s="6">
        <f t="shared" ca="1" si="18"/>
        <v>3.8126990715573128E-2</v>
      </c>
      <c r="U125">
        <f t="shared" ca="1" si="18"/>
        <v>2.3353368879502678E-2</v>
      </c>
      <c r="V125" s="8">
        <f t="shared" ca="1" si="15"/>
        <v>10.305636181624511</v>
      </c>
      <c r="AK125" s="6">
        <v>110</v>
      </c>
      <c r="AL125" s="6">
        <f t="shared" ca="1" si="16"/>
        <v>0.20763471686900115</v>
      </c>
      <c r="AM125" s="8">
        <f t="shared" ca="1" si="19"/>
        <v>8645.8620162873831</v>
      </c>
    </row>
    <row r="126" spans="2:39" ht="15">
      <c r="B126" s="6">
        <v>111</v>
      </c>
      <c r="C126" s="6">
        <f t="shared" ca="1" si="12"/>
        <v>0.39264810523490679</v>
      </c>
      <c r="D126" s="8">
        <f t="shared" ca="1" si="13"/>
        <v>5445.5152492973557</v>
      </c>
      <c r="S126" s="6">
        <v>111</v>
      </c>
      <c r="T126" s="6">
        <f t="shared" ca="1" si="18"/>
        <v>0.91877750444682771</v>
      </c>
      <c r="U126">
        <f t="shared" ca="1" si="18"/>
        <v>0.35658121400733156</v>
      </c>
      <c r="V126" s="8">
        <f t="shared" ca="1" si="15"/>
        <v>15.222846276654977</v>
      </c>
      <c r="AK126" s="6">
        <v>111</v>
      </c>
      <c r="AL126" s="6">
        <f t="shared" ca="1" si="16"/>
        <v>0.70091084740369325</v>
      </c>
      <c r="AM126" s="8">
        <f t="shared" ca="1" si="19"/>
        <v>1954.5601856156477</v>
      </c>
    </row>
    <row r="127" spans="2:39" ht="15">
      <c r="B127" s="6">
        <v>112</v>
      </c>
      <c r="C127" s="6">
        <f t="shared" ca="1" si="12"/>
        <v>0.90673977059623911</v>
      </c>
      <c r="D127" s="8">
        <f t="shared" ca="1" si="13"/>
        <v>5764.1885471215928</v>
      </c>
      <c r="S127" s="6">
        <v>112</v>
      </c>
      <c r="T127" s="6">
        <f t="shared" ca="1" si="18"/>
        <v>0.57781479511007205</v>
      </c>
      <c r="U127">
        <f t="shared" ca="1" si="18"/>
        <v>0.52250388352555388</v>
      </c>
      <c r="V127" s="8">
        <f t="shared" ca="1" si="15"/>
        <v>14.217245591793176</v>
      </c>
      <c r="AK127" s="6">
        <v>112</v>
      </c>
      <c r="AL127" s="6">
        <f t="shared" ca="1" si="16"/>
        <v>0.99838657088325733</v>
      </c>
      <c r="AM127" s="8">
        <f t="shared" ca="1" si="19"/>
        <v>8.8810265235866037</v>
      </c>
    </row>
    <row r="128" spans="2:39" ht="15">
      <c r="B128" s="6">
        <v>113</v>
      </c>
      <c r="C128" s="6">
        <f t="shared" ca="1" si="12"/>
        <v>0.31227529221272776</v>
      </c>
      <c r="D128" s="8">
        <f t="shared" ca="1" si="13"/>
        <v>5402.1177532348875</v>
      </c>
      <c r="S128" s="6">
        <v>113</v>
      </c>
      <c r="T128" s="6">
        <f t="shared" ca="1" si="18"/>
        <v>0.79736410976479044</v>
      </c>
      <c r="U128">
        <f t="shared" ca="1" si="18"/>
        <v>0.11170077161925696</v>
      </c>
      <c r="V128" s="8">
        <f t="shared" ca="1" si="15"/>
        <v>17.326266770294303</v>
      </c>
      <c r="AK128" s="6">
        <v>113</v>
      </c>
      <c r="AL128" s="6">
        <f t="shared" ca="1" si="16"/>
        <v>0.65698420988446726</v>
      </c>
      <c r="AM128" s="8">
        <f t="shared" ca="1" si="19"/>
        <v>2310.5241194625087</v>
      </c>
    </row>
    <row r="129" spans="2:39" ht="15">
      <c r="B129" s="6">
        <v>114</v>
      </c>
      <c r="C129" s="6">
        <f t="shared" ca="1" si="12"/>
        <v>0.67361672504670489</v>
      </c>
      <c r="D129" s="8">
        <f t="shared" ca="1" si="13"/>
        <v>5589.984437128348</v>
      </c>
      <c r="S129" s="6">
        <v>114</v>
      </c>
      <c r="T129" s="6">
        <f t="shared" ca="1" si="18"/>
        <v>0.17882402177594381</v>
      </c>
      <c r="U129">
        <f t="shared" ca="1" si="18"/>
        <v>0.79077535759163553</v>
      </c>
      <c r="V129" s="8">
        <f t="shared" ca="1" si="15"/>
        <v>11.778511014969135</v>
      </c>
      <c r="AK129" s="6">
        <v>114</v>
      </c>
      <c r="AL129" s="6">
        <f t="shared" ca="1" si="16"/>
        <v>0.85525784441581432</v>
      </c>
      <c r="AM129" s="8">
        <f t="shared" ca="1" si="19"/>
        <v>859.93755701172347</v>
      </c>
    </row>
    <row r="130" spans="2:39" ht="15">
      <c r="B130" s="6">
        <v>115</v>
      </c>
      <c r="C130" s="6">
        <f t="shared" ca="1" si="12"/>
        <v>0.41774221779468723</v>
      </c>
      <c r="D130" s="8">
        <f t="shared" ca="1" si="13"/>
        <v>5458.4654344915007</v>
      </c>
      <c r="S130" s="6">
        <v>115</v>
      </c>
      <c r="T130" s="6">
        <f t="shared" ca="1" si="18"/>
        <v>0.26065116235891883</v>
      </c>
      <c r="U130">
        <f t="shared" ca="1" si="18"/>
        <v>0.11794813674180338</v>
      </c>
      <c r="V130" s="8">
        <f t="shared" ca="1" si="15"/>
        <v>17.252513739529274</v>
      </c>
      <c r="AK130" s="6">
        <v>115</v>
      </c>
      <c r="AL130" s="6">
        <f t="shared" ca="1" si="16"/>
        <v>0.87747293487345812</v>
      </c>
      <c r="AM130" s="8">
        <f t="shared" ca="1" si="19"/>
        <v>718.90042161759641</v>
      </c>
    </row>
    <row r="131" spans="2:39" ht="15">
      <c r="B131" s="6">
        <v>116</v>
      </c>
      <c r="C131" s="6">
        <f t="shared" ca="1" si="12"/>
        <v>0.24876770638667212</v>
      </c>
      <c r="D131" s="8">
        <f t="shared" ca="1" si="13"/>
        <v>5364.3254596027818</v>
      </c>
      <c r="S131" s="6">
        <v>116</v>
      </c>
      <c r="T131" s="6">
        <f t="shared" ca="1" si="18"/>
        <v>6.3608141114163463E-2</v>
      </c>
      <c r="U131">
        <f t="shared" ca="1" si="18"/>
        <v>0.52935019311233955</v>
      </c>
      <c r="V131" s="8">
        <f t="shared" ca="1" si="15"/>
        <v>11.455129125696191</v>
      </c>
      <c r="AK131" s="6">
        <v>116</v>
      </c>
      <c r="AL131" s="6">
        <f t="shared" ca="1" si="16"/>
        <v>0.13562105741893127</v>
      </c>
      <c r="AM131" s="8">
        <f t="shared" ca="1" si="19"/>
        <v>10988.398436576612</v>
      </c>
    </row>
    <row r="132" spans="2:39" ht="15">
      <c r="B132" s="6">
        <v>117</v>
      </c>
      <c r="C132" s="6">
        <f t="shared" ca="1" si="12"/>
        <v>0.55620200660721264</v>
      </c>
      <c r="D132" s="8">
        <f t="shared" ca="1" si="13"/>
        <v>5528.2693581945796</v>
      </c>
      <c r="S132" s="6">
        <v>117</v>
      </c>
      <c r="T132" s="6">
        <f t="shared" ca="1" si="18"/>
        <v>0.46231299797821523</v>
      </c>
      <c r="U132">
        <f t="shared" ca="1" si="18"/>
        <v>3.0885096218318919E-2</v>
      </c>
      <c r="V132" s="8">
        <f t="shared" ca="1" si="15"/>
        <v>18.594067513010526</v>
      </c>
      <c r="AK132" s="6">
        <v>117</v>
      </c>
      <c r="AL132" s="6">
        <f t="shared" ca="1" si="16"/>
        <v>0.93223859425995814</v>
      </c>
      <c r="AM132" s="8">
        <f t="shared" ca="1" si="19"/>
        <v>385.9157204910004</v>
      </c>
    </row>
    <row r="133" spans="2:39" ht="15">
      <c r="B133" s="6">
        <v>118</v>
      </c>
      <c r="C133" s="6">
        <f t="shared" ca="1" si="12"/>
        <v>0.80180955445465307</v>
      </c>
      <c r="D133" s="8">
        <f t="shared" ca="1" si="13"/>
        <v>5669.6204994162599</v>
      </c>
      <c r="S133" s="6">
        <v>118</v>
      </c>
      <c r="T133" s="6">
        <f t="shared" ca="1" si="18"/>
        <v>0.21629487399788716</v>
      </c>
      <c r="U133">
        <f t="shared" ca="1" si="18"/>
        <v>2.6412848186999072E-2</v>
      </c>
      <c r="V133" s="8">
        <f t="shared" ca="1" si="15"/>
        <v>18.699837593233852</v>
      </c>
      <c r="AK133" s="6">
        <v>118</v>
      </c>
      <c r="AL133" s="6">
        <f t="shared" ca="1" si="16"/>
        <v>0.58153281141818036</v>
      </c>
      <c r="AM133" s="8">
        <f t="shared" ca="1" si="19"/>
        <v>2981.4833572292573</v>
      </c>
    </row>
    <row r="134" spans="2:39" ht="15">
      <c r="B134" s="6">
        <v>119</v>
      </c>
      <c r="C134" s="6">
        <f t="shared" ca="1" si="12"/>
        <v>0.43917792289410618</v>
      </c>
      <c r="D134" s="8">
        <f t="shared" ca="1" si="13"/>
        <v>5469.3892392421612</v>
      </c>
      <c r="S134" s="6">
        <v>119</v>
      </c>
      <c r="T134" s="6">
        <f t="shared" ca="1" si="18"/>
        <v>0.36255280561061709</v>
      </c>
      <c r="U134">
        <f t="shared" ca="1" si="18"/>
        <v>0.40649487006836071</v>
      </c>
      <c r="V134" s="8">
        <f t="shared" ca="1" si="15"/>
        <v>14.89944398282157</v>
      </c>
      <c r="AK134" s="6">
        <v>119</v>
      </c>
      <c r="AL134" s="6">
        <f t="shared" ca="1" si="16"/>
        <v>0.86289891963363641</v>
      </c>
      <c r="AM134" s="8">
        <f t="shared" ca="1" si="19"/>
        <v>811.01746817682465</v>
      </c>
    </row>
    <row r="135" spans="2:39" ht="15">
      <c r="B135" s="6">
        <v>120</v>
      </c>
      <c r="C135" s="6">
        <f t="shared" ca="1" si="12"/>
        <v>0.33145698370537335</v>
      </c>
      <c r="D135" s="8">
        <f t="shared" ca="1" si="13"/>
        <v>5412.8212906440285</v>
      </c>
      <c r="S135" s="6">
        <v>120</v>
      </c>
      <c r="T135" s="6">
        <f t="shared" ca="1" si="18"/>
        <v>0.72822676946160803</v>
      </c>
      <c r="U135">
        <f t="shared" ca="1" si="18"/>
        <v>0.64072471488086302</v>
      </c>
      <c r="V135" s="8">
        <f t="shared" ca="1" si="15"/>
        <v>13.596377450819322</v>
      </c>
      <c r="AK135" s="6">
        <v>120</v>
      </c>
      <c r="AL135" s="6">
        <f t="shared" ca="1" si="16"/>
        <v>0.21119673731022504</v>
      </c>
      <c r="AM135" s="8">
        <f t="shared" ca="1" si="19"/>
        <v>8552.3084658610223</v>
      </c>
    </row>
    <row r="136" spans="2:39" ht="15">
      <c r="B136" s="6">
        <v>121</v>
      </c>
      <c r="C136" s="6">
        <f t="shared" ca="1" si="12"/>
        <v>0.53420803707508968</v>
      </c>
      <c r="D136" s="8">
        <f t="shared" ca="1" si="13"/>
        <v>5517.1704360178283</v>
      </c>
      <c r="S136" s="6">
        <v>121</v>
      </c>
      <c r="T136" s="6">
        <f t="shared" ca="1" si="18"/>
        <v>0.65568451786438831</v>
      </c>
      <c r="U136">
        <f t="shared" ca="1" si="18"/>
        <v>0.60081005178456981</v>
      </c>
      <c r="V136" s="8">
        <f t="shared" ca="1" si="15"/>
        <v>13.799044967570522</v>
      </c>
      <c r="AK136" s="6">
        <v>121</v>
      </c>
      <c r="AL136" s="6">
        <f t="shared" ca="1" si="16"/>
        <v>8.3038828854041791E-3</v>
      </c>
      <c r="AM136" s="8">
        <f t="shared" ca="1" si="19"/>
        <v>26350.6763082943</v>
      </c>
    </row>
    <row r="137" spans="2:39" ht="15">
      <c r="B137" s="6">
        <v>122</v>
      </c>
      <c r="C137" s="6">
        <f t="shared" ca="1" si="12"/>
        <v>0.87667190779787996</v>
      </c>
      <c r="D137" s="8">
        <f t="shared" ca="1" si="13"/>
        <v>5731.7018964187537</v>
      </c>
      <c r="S137" s="6">
        <v>122</v>
      </c>
      <c r="T137" s="6">
        <f t="shared" ca="1" si="18"/>
        <v>0.30717304097542342</v>
      </c>
      <c r="U137">
        <f t="shared" ca="1" si="18"/>
        <v>0.6726863897084715</v>
      </c>
      <c r="V137" s="8">
        <f t="shared" ca="1" si="15"/>
        <v>13.438603125755753</v>
      </c>
      <c r="AK137" s="6">
        <v>122</v>
      </c>
      <c r="AL137" s="6">
        <f t="shared" ca="1" si="16"/>
        <v>0.5507720906091047</v>
      </c>
      <c r="AM137" s="8">
        <f t="shared" ca="1" si="19"/>
        <v>3280.3880123067061</v>
      </c>
    </row>
    <row r="138" spans="2:39" ht="15">
      <c r="B138" s="6">
        <v>123</v>
      </c>
      <c r="C138" s="6">
        <f t="shared" ca="1" si="12"/>
        <v>0.26436361449267121</v>
      </c>
      <c r="D138" s="8">
        <f t="shared" ca="1" si="13"/>
        <v>5374.0099788903071</v>
      </c>
      <c r="S138" s="6">
        <v>123</v>
      </c>
      <c r="T138" s="6">
        <f t="shared" ca="1" si="18"/>
        <v>0.18220310633860071</v>
      </c>
      <c r="U138">
        <f t="shared" ca="1" si="18"/>
        <v>0.25675077089620135</v>
      </c>
      <c r="V138" s="8">
        <f t="shared" ca="1" si="15"/>
        <v>11.013411606201945</v>
      </c>
      <c r="AK138" s="6">
        <v>123</v>
      </c>
      <c r="AL138" s="6">
        <f t="shared" ca="1" si="16"/>
        <v>6.9269538504862282E-2</v>
      </c>
      <c r="AM138" s="8">
        <f t="shared" ca="1" si="19"/>
        <v>14683.625160794758</v>
      </c>
    </row>
    <row r="139" spans="2:39" ht="15">
      <c r="B139" s="6">
        <v>124</v>
      </c>
      <c r="C139" s="6">
        <f t="shared" ca="1" si="12"/>
        <v>0.58799087840562481</v>
      </c>
      <c r="D139" s="8">
        <f t="shared" ca="1" si="13"/>
        <v>5544.4759580034161</v>
      </c>
      <c r="S139" s="6">
        <v>124</v>
      </c>
      <c r="T139" s="6">
        <f t="shared" ca="1" si="18"/>
        <v>0.80813714480588872</v>
      </c>
      <c r="U139">
        <f t="shared" ca="1" si="18"/>
        <v>0.46817878346149411</v>
      </c>
      <c r="V139" s="8">
        <f t="shared" ca="1" si="15"/>
        <v>14.526112702883296</v>
      </c>
      <c r="AK139" s="6">
        <v>124</v>
      </c>
      <c r="AL139" s="6">
        <f t="shared" ca="1" si="16"/>
        <v>0.22030207775199795</v>
      </c>
      <c r="AM139" s="8">
        <f t="shared" ca="1" si="19"/>
        <v>8320.1557656367841</v>
      </c>
    </row>
    <row r="140" spans="2:39" ht="15">
      <c r="B140" s="6">
        <v>125</v>
      </c>
      <c r="C140" s="6">
        <f t="shared" ca="1" si="12"/>
        <v>0.97643241961544214</v>
      </c>
      <c r="D140" s="8">
        <f t="shared" ca="1" si="13"/>
        <v>5897.0167385830373</v>
      </c>
      <c r="S140" s="6">
        <v>125</v>
      </c>
      <c r="T140" s="6">
        <f t="shared" ca="1" si="18"/>
        <v>0.79826169265384816</v>
      </c>
      <c r="U140">
        <f t="shared" ca="1" si="18"/>
        <v>0.56431525403260985</v>
      </c>
      <c r="V140" s="8">
        <f t="shared" ca="1" si="15"/>
        <v>13.990326443301015</v>
      </c>
      <c r="AK140" s="6">
        <v>125</v>
      </c>
      <c r="AL140" s="6">
        <f t="shared" ca="1" si="16"/>
        <v>0.27500670415987849</v>
      </c>
      <c r="AM140" s="8">
        <f t="shared" ca="1" si="19"/>
        <v>7100.2789156724057</v>
      </c>
    </row>
    <row r="141" spans="2:39" ht="15">
      <c r="B141" s="6">
        <v>126</v>
      </c>
      <c r="C141" s="6">
        <f t="shared" ca="1" si="12"/>
        <v>0.3689277678202062</v>
      </c>
      <c r="D141" s="8">
        <f t="shared" ca="1" si="13"/>
        <v>5433.0610959880578</v>
      </c>
      <c r="S141" s="6">
        <v>126</v>
      </c>
      <c r="T141" s="6">
        <f t="shared" ca="1" si="18"/>
        <v>0.20752897602733744</v>
      </c>
      <c r="U141">
        <f t="shared" ca="1" si="18"/>
        <v>0.54857024069206772</v>
      </c>
      <c r="V141" s="8">
        <f t="shared" ca="1" si="15"/>
        <v>14.07475777674091</v>
      </c>
      <c r="AK141" s="6">
        <v>126</v>
      </c>
      <c r="AL141" s="6">
        <f t="shared" ca="1" si="16"/>
        <v>0.56765271412944562</v>
      </c>
      <c r="AM141" s="8">
        <f t="shared" ca="1" si="19"/>
        <v>3114.350063219249</v>
      </c>
    </row>
    <row r="142" spans="2:39" ht="15">
      <c r="B142" s="6">
        <v>127</v>
      </c>
      <c r="C142" s="6">
        <f t="shared" ca="1" si="12"/>
        <v>0.90712868324791363</v>
      </c>
      <c r="D142" s="8">
        <f t="shared" ca="1" si="13"/>
        <v>5764.6557874537439</v>
      </c>
      <c r="S142" s="6">
        <v>127</v>
      </c>
      <c r="T142" s="6">
        <f t="shared" ca="1" si="18"/>
        <v>2.7499596820716565E-2</v>
      </c>
      <c r="U142">
        <f t="shared" ca="1" si="18"/>
        <v>8.8610614217030204E-2</v>
      </c>
      <c r="V142" s="8">
        <f t="shared" ca="1" si="15"/>
        <v>10.59535070073707</v>
      </c>
      <c r="AK142" s="6">
        <v>127</v>
      </c>
      <c r="AL142" s="6">
        <f t="shared" ca="1" si="16"/>
        <v>0.54317928502860136</v>
      </c>
      <c r="AM142" s="8">
        <f t="shared" ca="1" si="19"/>
        <v>3356.7371119553795</v>
      </c>
    </row>
    <row r="143" spans="2:39" ht="15">
      <c r="B143" s="6">
        <v>128</v>
      </c>
      <c r="C143" s="6">
        <f t="shared" ca="1" si="12"/>
        <v>0.75611618356812271</v>
      </c>
      <c r="D143" s="8">
        <f t="shared" ca="1" si="13"/>
        <v>5638.7727582531761</v>
      </c>
      <c r="S143" s="6">
        <v>128</v>
      </c>
      <c r="T143" s="6">
        <f t="shared" ca="1" si="18"/>
        <v>0.29311294757021744</v>
      </c>
      <c r="U143">
        <f t="shared" ca="1" si="18"/>
        <v>0.11747951914413823</v>
      </c>
      <c r="V143" s="8">
        <f t="shared" ca="1" si="15"/>
        <v>17.257977165444306</v>
      </c>
      <c r="AK143" s="6">
        <v>128</v>
      </c>
      <c r="AL143" s="6">
        <f t="shared" ca="1" si="16"/>
        <v>0.92174250202411179</v>
      </c>
      <c r="AM143" s="8">
        <f t="shared" ca="1" si="19"/>
        <v>448.19157020838838</v>
      </c>
    </row>
    <row r="144" spans="2:39" ht="15">
      <c r="B144" s="6">
        <v>129</v>
      </c>
      <c r="C144" s="6">
        <f t="shared" ca="1" si="12"/>
        <v>0.88714683942414008</v>
      </c>
      <c r="D144" s="8">
        <f t="shared" ca="1" si="13"/>
        <v>5742.2987016590059</v>
      </c>
      <c r="S144" s="6">
        <v>129</v>
      </c>
      <c r="T144" s="6">
        <f t="shared" ca="1" si="18"/>
        <v>9.8446567252545303E-2</v>
      </c>
      <c r="U144">
        <f t="shared" ca="1" si="18"/>
        <v>0.89366702796465414</v>
      </c>
      <c r="V144" s="8">
        <f t="shared" ca="1" si="15"/>
        <v>11.890679272605118</v>
      </c>
      <c r="AK144" s="6">
        <v>129</v>
      </c>
      <c r="AL144" s="6">
        <f t="shared" ca="1" si="16"/>
        <v>0.83660600995973855</v>
      </c>
      <c r="AM144" s="8">
        <f t="shared" ca="1" si="19"/>
        <v>981.211199147397</v>
      </c>
    </row>
    <row r="145" spans="2:39" ht="15">
      <c r="B145" s="6">
        <v>130</v>
      </c>
      <c r="C145" s="6">
        <f t="shared" ref="C145:C208" ca="1" si="20">RAND()</f>
        <v>0.34620375648248991</v>
      </c>
      <c r="D145" s="8">
        <f t="shared" ref="D145:D208" ca="1" si="21">_xlfn.NORM.INV(C145,$C$12,$C$13)</f>
        <v>5420.8819993340885</v>
      </c>
      <c r="S145" s="6">
        <v>130</v>
      </c>
      <c r="T145" s="6">
        <f t="shared" ref="T145:U176" ca="1" si="22">RAND()</f>
        <v>0.1551428202760432</v>
      </c>
      <c r="U145">
        <f t="shared" ca="1" si="22"/>
        <v>0.72928234658442948</v>
      </c>
      <c r="V145" s="8">
        <f t="shared" ref="V145:V208" ca="1" si="23">IF(T145&lt;$T$13,$T$10+($T$11-$T$10)*SQRT(U145),$T$12-($T$12-$T$11)*SQRT(U145))</f>
        <v>11.707960592735592</v>
      </c>
      <c r="AK145" s="6">
        <v>130</v>
      </c>
      <c r="AL145" s="6">
        <f t="shared" ref="AL145:AL208" ca="1" si="24">RAND()</f>
        <v>0.84538545986542069</v>
      </c>
      <c r="AM145" s="8">
        <f t="shared" ca="1" si="19"/>
        <v>923.79424563589237</v>
      </c>
    </row>
    <row r="146" spans="2:39" ht="15">
      <c r="B146" s="6">
        <v>131</v>
      </c>
      <c r="C146" s="6">
        <f t="shared" ca="1" si="20"/>
        <v>8.9894894112636292E-2</v>
      </c>
      <c r="D146" s="8">
        <f t="shared" ca="1" si="21"/>
        <v>5231.7194888348395</v>
      </c>
      <c r="S146" s="6">
        <v>131</v>
      </c>
      <c r="T146" s="6">
        <f t="shared" ca="1" si="22"/>
        <v>0.25723059683934968</v>
      </c>
      <c r="U146">
        <f t="shared" ca="1" si="22"/>
        <v>0.6161760485826836</v>
      </c>
      <c r="V146" s="8">
        <f t="shared" ca="1" si="23"/>
        <v>13.720249438927389</v>
      </c>
      <c r="AK146" s="6">
        <v>131</v>
      </c>
      <c r="AL146" s="6">
        <f t="shared" ca="1" si="24"/>
        <v>0.59513724976947568</v>
      </c>
      <c r="AM146" s="8">
        <f t="shared" ca="1" si="19"/>
        <v>2854.2977548563686</v>
      </c>
    </row>
    <row r="147" spans="2:39" ht="15">
      <c r="B147" s="6">
        <v>132</v>
      </c>
      <c r="C147" s="6">
        <f t="shared" ca="1" si="20"/>
        <v>0.44513084503377642</v>
      </c>
      <c r="D147" s="8">
        <f t="shared" ca="1" si="21"/>
        <v>5472.4053832360332</v>
      </c>
      <c r="S147" s="6">
        <v>132</v>
      </c>
      <c r="T147" s="6">
        <f t="shared" ca="1" si="22"/>
        <v>0.20296427447490928</v>
      </c>
      <c r="U147">
        <f t="shared" ca="1" si="22"/>
        <v>0.56704439482708158</v>
      </c>
      <c r="V147" s="8">
        <f t="shared" ca="1" si="23"/>
        <v>13.975811982604359</v>
      </c>
      <c r="AK147" s="6">
        <v>132</v>
      </c>
      <c r="AL147" s="6">
        <f t="shared" ca="1" si="24"/>
        <v>0.46173215059393746</v>
      </c>
      <c r="AM147" s="8">
        <f t="shared" ca="1" si="19"/>
        <v>4250.2367415516474</v>
      </c>
    </row>
    <row r="148" spans="2:39" ht="15">
      <c r="B148" s="6">
        <v>133</v>
      </c>
      <c r="C148" s="6">
        <f t="shared" ca="1" si="20"/>
        <v>0.59264559573919273</v>
      </c>
      <c r="D148" s="8">
        <f t="shared" ca="1" si="21"/>
        <v>5546.8711499921656</v>
      </c>
      <c r="S148" s="6">
        <v>133</v>
      </c>
      <c r="T148" s="6">
        <f t="shared" ca="1" si="22"/>
        <v>0.29597120342688144</v>
      </c>
      <c r="U148">
        <f t="shared" ca="1" si="22"/>
        <v>0.49922650919478651</v>
      </c>
      <c r="V148" s="8">
        <f t="shared" ca="1" si="23"/>
        <v>14.347522968780295</v>
      </c>
      <c r="AK148" s="6">
        <v>133</v>
      </c>
      <c r="AL148" s="6">
        <f t="shared" ca="1" si="24"/>
        <v>0.50963532963782587</v>
      </c>
      <c r="AM148" s="8">
        <f t="shared" ca="1" si="19"/>
        <v>3707.3291692391504</v>
      </c>
    </row>
    <row r="149" spans="2:39" ht="15">
      <c r="B149" s="6">
        <v>134</v>
      </c>
      <c r="C149" s="6">
        <f t="shared" ca="1" si="20"/>
        <v>0.56666239675100372</v>
      </c>
      <c r="D149" s="8">
        <f t="shared" ca="1" si="21"/>
        <v>5533.5766299574188</v>
      </c>
      <c r="S149" s="6">
        <v>134</v>
      </c>
      <c r="T149" s="6">
        <f t="shared" ca="1" si="22"/>
        <v>0.77239068035634417</v>
      </c>
      <c r="U149">
        <f t="shared" ca="1" si="22"/>
        <v>0.98743086216878395</v>
      </c>
      <c r="V149" s="8">
        <f t="shared" ca="1" si="23"/>
        <v>12.050435535276026</v>
      </c>
      <c r="AK149" s="6">
        <v>134</v>
      </c>
      <c r="AL149" s="6">
        <f t="shared" ca="1" si="24"/>
        <v>4.4859432737380578E-2</v>
      </c>
      <c r="AM149" s="8">
        <f t="shared" ca="1" si="19"/>
        <v>17073.217673306091</v>
      </c>
    </row>
    <row r="150" spans="2:39" ht="15">
      <c r="B150" s="6">
        <v>135</v>
      </c>
      <c r="C150" s="6">
        <f t="shared" ca="1" si="20"/>
        <v>0.50748081574327153</v>
      </c>
      <c r="D150" s="8">
        <f t="shared" ca="1" si="21"/>
        <v>5503.750544662601</v>
      </c>
      <c r="S150" s="6">
        <v>135</v>
      </c>
      <c r="T150" s="6">
        <f t="shared" ca="1" si="22"/>
        <v>0.44957816773118897</v>
      </c>
      <c r="U150">
        <f t="shared" ca="1" si="22"/>
        <v>0.10515181473844826</v>
      </c>
      <c r="V150" s="8">
        <f t="shared" ca="1" si="23"/>
        <v>17.405830355728312</v>
      </c>
      <c r="AK150" s="6">
        <v>135</v>
      </c>
      <c r="AL150" s="6">
        <f t="shared" ca="1" si="24"/>
        <v>0.74215196351860502</v>
      </c>
      <c r="AM150" s="8">
        <f t="shared" ca="1" si="19"/>
        <v>1640.1068980902216</v>
      </c>
    </row>
    <row r="151" spans="2:39" ht="15">
      <c r="B151" s="6">
        <v>136</v>
      </c>
      <c r="C151" s="6">
        <f t="shared" ca="1" si="20"/>
        <v>0.84053981266874678</v>
      </c>
      <c r="D151" s="8">
        <f t="shared" ca="1" si="21"/>
        <v>5699.3357882412593</v>
      </c>
      <c r="S151" s="6">
        <v>136</v>
      </c>
      <c r="T151" s="6">
        <f t="shared" ca="1" si="22"/>
        <v>0.63331488389814083</v>
      </c>
      <c r="U151">
        <f t="shared" ca="1" si="22"/>
        <v>0.63926118263060749</v>
      </c>
      <c r="V151" s="8">
        <f t="shared" ca="1" si="23"/>
        <v>13.60369515357821</v>
      </c>
      <c r="AK151" s="6">
        <v>136</v>
      </c>
      <c r="AL151" s="6">
        <f t="shared" ca="1" si="24"/>
        <v>0.31493072485839246</v>
      </c>
      <c r="AM151" s="8">
        <f t="shared" ca="1" si="19"/>
        <v>6354.7142198493802</v>
      </c>
    </row>
    <row r="152" spans="2:39" ht="15">
      <c r="B152" s="6">
        <v>137</v>
      </c>
      <c r="C152" s="6">
        <f t="shared" ca="1" si="20"/>
        <v>0.66386868625642415</v>
      </c>
      <c r="D152" s="8">
        <f t="shared" ca="1" si="21"/>
        <v>5584.6089456640057</v>
      </c>
      <c r="S152" s="6">
        <v>137</v>
      </c>
      <c r="T152" s="6">
        <f t="shared" ca="1" si="22"/>
        <v>0.98048019601782443</v>
      </c>
      <c r="U152">
        <f t="shared" ca="1" si="22"/>
        <v>0.8633190578747082</v>
      </c>
      <c r="V152" s="8">
        <f t="shared" ca="1" si="23"/>
        <v>12.566802861219049</v>
      </c>
      <c r="AK152" s="6">
        <v>137</v>
      </c>
      <c r="AL152" s="6">
        <f t="shared" ca="1" si="24"/>
        <v>0.63219541555435232</v>
      </c>
      <c r="AM152" s="8">
        <f t="shared" ca="1" si="19"/>
        <v>2522.0620194099329</v>
      </c>
    </row>
    <row r="153" spans="2:39" ht="15">
      <c r="B153" s="6">
        <v>138</v>
      </c>
      <c r="C153" s="6">
        <f t="shared" ca="1" si="20"/>
        <v>2.0638409681791869E-2</v>
      </c>
      <c r="D153" s="8">
        <f t="shared" ca="1" si="21"/>
        <v>5091.8522858735178</v>
      </c>
      <c r="S153" s="6">
        <v>138</v>
      </c>
      <c r="T153" s="6">
        <f t="shared" ca="1" si="22"/>
        <v>0.73661415032328215</v>
      </c>
      <c r="U153">
        <f t="shared" ca="1" si="22"/>
        <v>7.2627402442964839E-2</v>
      </c>
      <c r="V153" s="8">
        <f t="shared" ca="1" si="23"/>
        <v>17.844042264711632</v>
      </c>
      <c r="AK153" s="6">
        <v>138</v>
      </c>
      <c r="AL153" s="6">
        <f t="shared" ca="1" si="24"/>
        <v>0.48597480224320411</v>
      </c>
      <c r="AM153" s="8">
        <f t="shared" ca="1" si="19"/>
        <v>3968.7917701407978</v>
      </c>
    </row>
    <row r="154" spans="2:39" ht="15">
      <c r="B154" s="6">
        <v>139</v>
      </c>
      <c r="C154" s="6">
        <f t="shared" ca="1" si="20"/>
        <v>0.63984130986828447</v>
      </c>
      <c r="D154" s="8">
        <f t="shared" ca="1" si="21"/>
        <v>5571.6069307561575</v>
      </c>
      <c r="S154" s="6">
        <v>139</v>
      </c>
      <c r="T154" s="6">
        <f t="shared" ca="1" si="22"/>
        <v>0.45452398453545206</v>
      </c>
      <c r="U154">
        <f t="shared" ca="1" si="22"/>
        <v>7.6530514647642156E-2</v>
      </c>
      <c r="V154" s="8">
        <f t="shared" ca="1" si="23"/>
        <v>17.786868070482669</v>
      </c>
      <c r="AK154" s="6">
        <v>139</v>
      </c>
      <c r="AL154" s="6">
        <f t="shared" ca="1" si="24"/>
        <v>3.6279781865032001E-2</v>
      </c>
      <c r="AM154" s="8">
        <f t="shared" ca="1" si="19"/>
        <v>18240.720664615568</v>
      </c>
    </row>
    <row r="155" spans="2:39" ht="15">
      <c r="B155" s="6">
        <v>140</v>
      </c>
      <c r="C155" s="6">
        <f t="shared" ca="1" si="20"/>
        <v>0.17642427140433059</v>
      </c>
      <c r="D155" s="8">
        <f t="shared" ca="1" si="21"/>
        <v>5314.1843528888521</v>
      </c>
      <c r="S155" s="6">
        <v>140</v>
      </c>
      <c r="T155" s="6">
        <f t="shared" ca="1" si="22"/>
        <v>0.85043326240503814</v>
      </c>
      <c r="U155">
        <f t="shared" ca="1" si="22"/>
        <v>0.16938051903698237</v>
      </c>
      <c r="V155" s="8">
        <f t="shared" ca="1" si="23"/>
        <v>16.707530832586755</v>
      </c>
      <c r="AK155" s="6">
        <v>140</v>
      </c>
      <c r="AL155" s="6">
        <f t="shared" ca="1" si="24"/>
        <v>0.94867745056176733</v>
      </c>
      <c r="AM155" s="8">
        <f t="shared" ca="1" si="19"/>
        <v>289.77531903239196</v>
      </c>
    </row>
    <row r="156" spans="2:39" ht="15">
      <c r="B156" s="6">
        <v>141</v>
      </c>
      <c r="C156" s="6">
        <f t="shared" ca="1" si="20"/>
        <v>0.21426407363371003</v>
      </c>
      <c r="D156" s="8">
        <f t="shared" ca="1" si="21"/>
        <v>5341.6574366231771</v>
      </c>
      <c r="S156" s="6">
        <v>141</v>
      </c>
      <c r="T156" s="6">
        <f t="shared" ca="1" si="22"/>
        <v>0.6598518732385531</v>
      </c>
      <c r="U156">
        <f t="shared" ca="1" si="22"/>
        <v>3.3689691217314688E-2</v>
      </c>
      <c r="V156" s="8">
        <f t="shared" ca="1" si="23"/>
        <v>18.531619859195807</v>
      </c>
      <c r="AK156" s="6">
        <v>141</v>
      </c>
      <c r="AL156" s="6">
        <f t="shared" ca="1" si="24"/>
        <v>0.61850075911182467</v>
      </c>
      <c r="AM156" s="8">
        <f t="shared" ca="1" si="19"/>
        <v>2642.5127289388188</v>
      </c>
    </row>
    <row r="157" spans="2:39" ht="15">
      <c r="B157" s="6">
        <v>142</v>
      </c>
      <c r="C157" s="6">
        <f t="shared" ca="1" si="20"/>
        <v>0.62918893171211687</v>
      </c>
      <c r="D157" s="8">
        <f t="shared" ca="1" si="21"/>
        <v>5565.9411955309379</v>
      </c>
      <c r="S157" s="6">
        <v>142</v>
      </c>
      <c r="T157" s="6">
        <f t="shared" ca="1" si="22"/>
        <v>7.7958051003127471E-2</v>
      </c>
      <c r="U157">
        <f t="shared" ca="1" si="22"/>
        <v>0.13416108464414622</v>
      </c>
      <c r="V157" s="8">
        <f t="shared" ca="1" si="23"/>
        <v>10.732560126253528</v>
      </c>
      <c r="AK157" s="6">
        <v>142</v>
      </c>
      <c r="AL157" s="6">
        <f t="shared" ca="1" si="24"/>
        <v>0.85435746805459079</v>
      </c>
      <c r="AM157" s="8">
        <f t="shared" ca="1" si="19"/>
        <v>865.73075552656019</v>
      </c>
    </row>
    <row r="158" spans="2:39" ht="15">
      <c r="B158" s="6">
        <v>143</v>
      </c>
      <c r="C158" s="6">
        <f t="shared" ca="1" si="20"/>
        <v>0.43307055098531133</v>
      </c>
      <c r="D158" s="8">
        <f t="shared" ca="1" si="21"/>
        <v>5466.2875820966628</v>
      </c>
      <c r="S158" s="6">
        <v>143</v>
      </c>
      <c r="T158" s="6">
        <f t="shared" ca="1" si="22"/>
        <v>9.4696975320759713E-2</v>
      </c>
      <c r="U158">
        <f t="shared" ca="1" si="22"/>
        <v>0.32449195296067079</v>
      </c>
      <c r="V158" s="8">
        <f t="shared" ca="1" si="23"/>
        <v>11.139283903091185</v>
      </c>
      <c r="AK158" s="6">
        <v>143</v>
      </c>
      <c r="AL158" s="6">
        <f t="shared" ca="1" si="24"/>
        <v>0.29427714908912772</v>
      </c>
      <c r="AM158" s="8">
        <f t="shared" ca="1" si="19"/>
        <v>6727.7829944288032</v>
      </c>
    </row>
    <row r="159" spans="2:39" ht="15">
      <c r="B159" s="6">
        <v>144</v>
      </c>
      <c r="C159" s="6">
        <f t="shared" ca="1" si="20"/>
        <v>0.71187608485180831</v>
      </c>
      <c r="D159" s="8">
        <f t="shared" ca="1" si="21"/>
        <v>5611.774766170236</v>
      </c>
      <c r="S159" s="6">
        <v>144</v>
      </c>
      <c r="T159" s="6">
        <f t="shared" ca="1" si="22"/>
        <v>0.59123641371941016</v>
      </c>
      <c r="U159">
        <f t="shared" ca="1" si="22"/>
        <v>0.75841392721951384</v>
      </c>
      <c r="V159" s="8">
        <f t="shared" ca="1" si="23"/>
        <v>13.033042892191105</v>
      </c>
      <c r="AK159" s="6">
        <v>144</v>
      </c>
      <c r="AL159" s="6">
        <f t="shared" ca="1" si="24"/>
        <v>1.3634116213622538E-2</v>
      </c>
      <c r="AM159" s="8">
        <f t="shared" ca="1" si="19"/>
        <v>23623.490452474503</v>
      </c>
    </row>
    <row r="160" spans="2:39" ht="15">
      <c r="B160" s="6">
        <v>145</v>
      </c>
      <c r="C160" s="6">
        <f t="shared" ca="1" si="20"/>
        <v>0.99785919133917589</v>
      </c>
      <c r="D160" s="8">
        <f t="shared" ca="1" si="21"/>
        <v>6071.3264294714872</v>
      </c>
      <c r="S160" s="6">
        <v>145</v>
      </c>
      <c r="T160" s="6">
        <f t="shared" ca="1" si="22"/>
        <v>0.31169247990788096</v>
      </c>
      <c r="U160">
        <f t="shared" ca="1" si="22"/>
        <v>0.93832724639179022</v>
      </c>
      <c r="V160" s="8">
        <f t="shared" ca="1" si="23"/>
        <v>12.250616555552657</v>
      </c>
      <c r="AK160" s="6">
        <v>145</v>
      </c>
      <c r="AL160" s="6">
        <f t="shared" ca="1" si="24"/>
        <v>0.96681451253693085</v>
      </c>
      <c r="AM160" s="8">
        <f t="shared" ca="1" si="19"/>
        <v>185.6174065168583</v>
      </c>
    </row>
    <row r="161" spans="2:39" ht="15">
      <c r="B161" s="6">
        <v>146</v>
      </c>
      <c r="C161" s="6">
        <f t="shared" ca="1" si="20"/>
        <v>0.45049315120627376</v>
      </c>
      <c r="D161" s="8">
        <f t="shared" ca="1" si="21"/>
        <v>5475.1169002370525</v>
      </c>
      <c r="S161" s="6">
        <v>146</v>
      </c>
      <c r="T161" s="6">
        <f t="shared" ca="1" si="22"/>
        <v>0.17715659730897027</v>
      </c>
      <c r="U161">
        <f t="shared" ca="1" si="22"/>
        <v>0.64849527605445056</v>
      </c>
      <c r="V161" s="8">
        <f t="shared" ca="1" si="23"/>
        <v>11.61058408790656</v>
      </c>
      <c r="AK161" s="6">
        <v>146</v>
      </c>
      <c r="AL161" s="6">
        <f t="shared" ca="1" si="24"/>
        <v>9.4528381203162759E-4</v>
      </c>
      <c r="AM161" s="8">
        <f t="shared" ca="1" si="19"/>
        <v>38302.139399526292</v>
      </c>
    </row>
    <row r="162" spans="2:39" ht="15">
      <c r="B162" s="6">
        <v>147</v>
      </c>
      <c r="C162" s="6">
        <f t="shared" ca="1" si="20"/>
        <v>0.23628196332540286</v>
      </c>
      <c r="D162" s="8">
        <f t="shared" ca="1" si="21"/>
        <v>5356.3372735857583</v>
      </c>
      <c r="S162" s="6">
        <v>147</v>
      </c>
      <c r="T162" s="6">
        <f t="shared" ca="1" si="22"/>
        <v>0.30163473607157409</v>
      </c>
      <c r="U162">
        <f t="shared" ca="1" si="22"/>
        <v>0.49543256821938464</v>
      </c>
      <c r="V162" s="8">
        <f t="shared" ca="1" si="23"/>
        <v>14.369042322478297</v>
      </c>
      <c r="AK162" s="6">
        <v>147</v>
      </c>
      <c r="AL162" s="6">
        <f t="shared" ca="1" si="24"/>
        <v>0.36386521361205371</v>
      </c>
      <c r="AM162" s="8">
        <f t="shared" ca="1" si="19"/>
        <v>5560.3447470729816</v>
      </c>
    </row>
    <row r="163" spans="2:39" ht="15">
      <c r="B163" s="6">
        <v>148</v>
      </c>
      <c r="C163" s="6">
        <f t="shared" ca="1" si="20"/>
        <v>0.2266315035537616</v>
      </c>
      <c r="D163" s="8">
        <f t="shared" ca="1" si="21"/>
        <v>5350.0027569840158</v>
      </c>
      <c r="S163" s="6">
        <v>148</v>
      </c>
      <c r="T163" s="6">
        <f t="shared" ca="1" si="22"/>
        <v>0.799005471291379</v>
      </c>
      <c r="U163">
        <f t="shared" ca="1" si="22"/>
        <v>3.8680902095882153E-2</v>
      </c>
      <c r="V163" s="8">
        <f t="shared" ca="1" si="23"/>
        <v>18.426603122496914</v>
      </c>
      <c r="AK163" s="6">
        <v>148</v>
      </c>
      <c r="AL163" s="6">
        <f t="shared" ca="1" si="24"/>
        <v>0.80554103611405214</v>
      </c>
      <c r="AM163" s="8">
        <f t="shared" ca="1" si="19"/>
        <v>1189.3262302149401</v>
      </c>
    </row>
    <row r="164" spans="2:39" ht="15">
      <c r="B164" s="6">
        <v>149</v>
      </c>
      <c r="C164" s="6">
        <f t="shared" ca="1" si="20"/>
        <v>0.43215670076317225</v>
      </c>
      <c r="D164" s="8">
        <f t="shared" ca="1" si="21"/>
        <v>5465.8227990861269</v>
      </c>
      <c r="S164" s="6">
        <v>149</v>
      </c>
      <c r="T164" s="6">
        <f t="shared" ca="1" si="22"/>
        <v>0.61695052219806112</v>
      </c>
      <c r="U164">
        <f t="shared" ca="1" si="22"/>
        <v>0.72464064486894553</v>
      </c>
      <c r="V164" s="8">
        <f t="shared" ca="1" si="23"/>
        <v>13.18993382766272</v>
      </c>
      <c r="AK164" s="6">
        <v>149</v>
      </c>
      <c r="AL164" s="6">
        <f t="shared" ca="1" si="24"/>
        <v>0.48397777578709855</v>
      </c>
      <c r="AM164" s="8">
        <f t="shared" ca="1" si="19"/>
        <v>3991.4396011325575</v>
      </c>
    </row>
    <row r="165" spans="2:39" ht="15">
      <c r="B165" s="6">
        <v>150</v>
      </c>
      <c r="C165" s="6">
        <f t="shared" ca="1" si="20"/>
        <v>0.45419696683799049</v>
      </c>
      <c r="D165" s="8">
        <f t="shared" ca="1" si="21"/>
        <v>5476.9870838046063</v>
      </c>
      <c r="S165" s="6">
        <v>150</v>
      </c>
      <c r="T165" s="6">
        <f t="shared" ca="1" si="22"/>
        <v>0.69111958218489411</v>
      </c>
      <c r="U165">
        <f t="shared" ca="1" si="22"/>
        <v>0.58847355526555156</v>
      </c>
      <c r="V165" s="8">
        <f t="shared" ca="1" si="23"/>
        <v>13.86303759690551</v>
      </c>
      <c r="AK165" s="6">
        <v>150</v>
      </c>
      <c r="AL165" s="6">
        <f t="shared" ca="1" si="24"/>
        <v>0.24359873605512328</v>
      </c>
      <c r="AM165" s="8">
        <f t="shared" ca="1" si="19"/>
        <v>7767.2811247224836</v>
      </c>
    </row>
    <row r="166" spans="2:39" ht="15">
      <c r="B166" s="6">
        <v>151</v>
      </c>
      <c r="C166" s="6">
        <f t="shared" ca="1" si="20"/>
        <v>0.9532528177479227</v>
      </c>
      <c r="D166" s="8">
        <f t="shared" ca="1" si="21"/>
        <v>5835.4492232944785</v>
      </c>
      <c r="S166" s="6">
        <v>151</v>
      </c>
      <c r="T166" s="6">
        <f t="shared" ca="1" si="22"/>
        <v>0.84536517866332084</v>
      </c>
      <c r="U166">
        <f t="shared" ca="1" si="22"/>
        <v>0.81973088140367056</v>
      </c>
      <c r="V166" s="8">
        <f t="shared" ca="1" si="23"/>
        <v>12.756880754133968</v>
      </c>
      <c r="AK166" s="6">
        <v>151</v>
      </c>
      <c r="AL166" s="6">
        <f t="shared" ca="1" si="24"/>
        <v>0.21886086595020138</v>
      </c>
      <c r="AM166" s="8">
        <f t="shared" ca="1" si="19"/>
        <v>8356.2548649789005</v>
      </c>
    </row>
    <row r="167" spans="2:39" ht="15">
      <c r="B167" s="6">
        <v>152</v>
      </c>
      <c r="C167" s="6">
        <f t="shared" ca="1" si="20"/>
        <v>0.68004891142991442</v>
      </c>
      <c r="D167" s="8">
        <f t="shared" ca="1" si="21"/>
        <v>5593.567115246211</v>
      </c>
      <c r="S167" s="6">
        <v>152</v>
      </c>
      <c r="T167" s="6">
        <f t="shared" ca="1" si="22"/>
        <v>0.10842161515041371</v>
      </c>
      <c r="U167">
        <f t="shared" ca="1" si="22"/>
        <v>0.21367647171298176</v>
      </c>
      <c r="V167" s="8">
        <f t="shared" ca="1" si="23"/>
        <v>10.92450304858985</v>
      </c>
      <c r="AK167" s="6">
        <v>152</v>
      </c>
      <c r="AL167" s="6">
        <f t="shared" ca="1" si="24"/>
        <v>0.80727037573988836</v>
      </c>
      <c r="AM167" s="8">
        <f t="shared" ca="1" si="19"/>
        <v>1177.5314580334659</v>
      </c>
    </row>
    <row r="168" spans="2:39" ht="15">
      <c r="B168" s="6">
        <v>153</v>
      </c>
      <c r="C168" s="6">
        <f t="shared" ca="1" si="20"/>
        <v>0.9629709114094912</v>
      </c>
      <c r="D168" s="8">
        <f t="shared" ca="1" si="21"/>
        <v>5857.250755638097</v>
      </c>
      <c r="S168" s="6">
        <v>153</v>
      </c>
      <c r="T168" s="6">
        <f t="shared" ca="1" si="22"/>
        <v>0.57350155077768805</v>
      </c>
      <c r="U168">
        <f t="shared" ca="1" si="22"/>
        <v>0.10767644758455208</v>
      </c>
      <c r="V168" s="8">
        <f t="shared" ca="1" si="23"/>
        <v>17.37487283252576</v>
      </c>
      <c r="AK168" s="6">
        <v>153</v>
      </c>
      <c r="AL168" s="6">
        <f t="shared" ca="1" si="24"/>
        <v>0.62840477735356426</v>
      </c>
      <c r="AM168" s="8">
        <f t="shared" ca="1" si="19"/>
        <v>2555.1392362153301</v>
      </c>
    </row>
    <row r="169" spans="2:39" ht="15">
      <c r="B169" s="6">
        <v>154</v>
      </c>
      <c r="C169" s="6">
        <f t="shared" ca="1" si="20"/>
        <v>0.5248342118055539</v>
      </c>
      <c r="D169" s="8">
        <f t="shared" ca="1" si="21"/>
        <v>5512.4580792298202</v>
      </c>
      <c r="S169" s="6">
        <v>154</v>
      </c>
      <c r="T169" s="6">
        <f t="shared" ca="1" si="22"/>
        <v>0.81105781475440275</v>
      </c>
      <c r="U169">
        <f t="shared" ca="1" si="22"/>
        <v>0.83846674979519731</v>
      </c>
      <c r="V169" s="8">
        <f t="shared" ca="1" si="23"/>
        <v>12.674573596923342</v>
      </c>
      <c r="AK169" s="6">
        <v>154</v>
      </c>
      <c r="AL169" s="6">
        <f t="shared" ca="1" si="24"/>
        <v>0.83721403038515185</v>
      </c>
      <c r="AM169" s="8">
        <f t="shared" ca="1" si="19"/>
        <v>977.21541416901607</v>
      </c>
    </row>
    <row r="170" spans="2:39" ht="15">
      <c r="B170" s="6">
        <v>155</v>
      </c>
      <c r="C170" s="6">
        <f t="shared" ca="1" si="20"/>
        <v>0.34389591741975267</v>
      </c>
      <c r="D170" s="8">
        <f t="shared" ca="1" si="21"/>
        <v>5419.6292969409506</v>
      </c>
      <c r="S170" s="6">
        <v>155</v>
      </c>
      <c r="T170" s="6">
        <f t="shared" ca="1" si="22"/>
        <v>0.88017252570661331</v>
      </c>
      <c r="U170">
        <f t="shared" ca="1" si="22"/>
        <v>0.38236334044670628</v>
      </c>
      <c r="V170" s="8">
        <f t="shared" ca="1" si="23"/>
        <v>15.053157189824079</v>
      </c>
      <c r="AK170" s="6">
        <v>155</v>
      </c>
      <c r="AL170" s="6">
        <f t="shared" ca="1" si="24"/>
        <v>8.357604404541974E-2</v>
      </c>
      <c r="AM170" s="8">
        <f t="shared" ca="1" si="19"/>
        <v>13650.990949401776</v>
      </c>
    </row>
    <row r="171" spans="2:39" ht="15">
      <c r="B171" s="6">
        <v>156</v>
      </c>
      <c r="C171" s="6">
        <f t="shared" ca="1" si="20"/>
        <v>0.71017345007622334</v>
      </c>
      <c r="D171" s="8">
        <f t="shared" ca="1" si="21"/>
        <v>5610.7783008181286</v>
      </c>
      <c r="S171" s="6">
        <v>156</v>
      </c>
      <c r="T171" s="6">
        <f t="shared" ca="1" si="22"/>
        <v>0.45059686423624834</v>
      </c>
      <c r="U171">
        <f t="shared" ca="1" si="22"/>
        <v>0.3415701008634664</v>
      </c>
      <c r="V171" s="8">
        <f t="shared" ca="1" si="23"/>
        <v>15.324480087170855</v>
      </c>
      <c r="AK171" s="6">
        <v>156</v>
      </c>
      <c r="AL171" s="6">
        <f t="shared" ca="1" si="24"/>
        <v>0.87170704047678382</v>
      </c>
      <c r="AM171" s="8">
        <f t="shared" ca="1" si="19"/>
        <v>755.16030852498125</v>
      </c>
    </row>
    <row r="172" spans="2:39" ht="15">
      <c r="B172" s="6">
        <v>157</v>
      </c>
      <c r="C172" s="6">
        <f t="shared" ca="1" si="20"/>
        <v>0.52709647868840681</v>
      </c>
      <c r="D172" s="8">
        <f t="shared" ca="1" si="21"/>
        <v>5513.5946213093957</v>
      </c>
      <c r="S172" s="6">
        <v>157</v>
      </c>
      <c r="T172" s="6">
        <f t="shared" ca="1" si="22"/>
        <v>0.46704716709229088</v>
      </c>
      <c r="U172">
        <f t="shared" ca="1" si="22"/>
        <v>0.64221890774283941</v>
      </c>
      <c r="V172" s="8">
        <f t="shared" ca="1" si="23"/>
        <v>13.588915060963416</v>
      </c>
      <c r="AK172" s="6">
        <v>157</v>
      </c>
      <c r="AL172" s="6">
        <f t="shared" ca="1" si="24"/>
        <v>0.14043576859045581</v>
      </c>
      <c r="AM172" s="8">
        <f t="shared" ca="1" si="19"/>
        <v>10796.527817880644</v>
      </c>
    </row>
    <row r="173" spans="2:39" ht="15">
      <c r="B173" s="6">
        <v>158</v>
      </c>
      <c r="C173" s="6">
        <f t="shared" ca="1" si="20"/>
        <v>0.54342930061372574</v>
      </c>
      <c r="D173" s="8">
        <f t="shared" ca="1" si="21"/>
        <v>5521.8154046885602</v>
      </c>
      <c r="S173" s="6">
        <v>158</v>
      </c>
      <c r="T173" s="6">
        <f t="shared" ca="1" si="22"/>
        <v>2.2106771340333564E-2</v>
      </c>
      <c r="U173">
        <f t="shared" ca="1" si="22"/>
        <v>0.11351744636665939</v>
      </c>
      <c r="V173" s="8">
        <f t="shared" ca="1" si="23"/>
        <v>10.673847004494817</v>
      </c>
      <c r="AK173" s="6">
        <v>158</v>
      </c>
      <c r="AL173" s="6">
        <f t="shared" ca="1" si="24"/>
        <v>0.31855117278468104</v>
      </c>
      <c r="AM173" s="8">
        <f t="shared" ca="1" si="19"/>
        <v>6291.8468183553532</v>
      </c>
    </row>
    <row r="174" spans="2:39" ht="15">
      <c r="B174" s="6">
        <v>159</v>
      </c>
      <c r="C174" s="6">
        <f t="shared" ca="1" si="20"/>
        <v>5.8324066589958035E-2</v>
      </c>
      <c r="D174" s="8">
        <f t="shared" ca="1" si="21"/>
        <v>5186.2001666566566</v>
      </c>
      <c r="S174" s="6">
        <v>159</v>
      </c>
      <c r="T174" s="6">
        <f t="shared" ca="1" si="22"/>
        <v>0.19183132417351834</v>
      </c>
      <c r="U174">
        <f t="shared" ca="1" si="22"/>
        <v>0.85804249542326272</v>
      </c>
      <c r="V174" s="8">
        <f t="shared" ca="1" si="23"/>
        <v>11.85261166510768</v>
      </c>
      <c r="AK174" s="6">
        <v>159</v>
      </c>
      <c r="AL174" s="6">
        <f t="shared" ca="1" si="24"/>
        <v>0.65815465648528282</v>
      </c>
      <c r="AM174" s="8">
        <f t="shared" ca="1" si="19"/>
        <v>2300.734342627944</v>
      </c>
    </row>
    <row r="175" spans="2:39" ht="15">
      <c r="B175" s="6">
        <v>160</v>
      </c>
      <c r="C175" s="6">
        <f t="shared" ca="1" si="20"/>
        <v>0.54548332465304106</v>
      </c>
      <c r="D175" s="8">
        <f t="shared" ca="1" si="21"/>
        <v>5522.8515810388217</v>
      </c>
      <c r="S175" s="6">
        <v>160</v>
      </c>
      <c r="T175" s="6">
        <f t="shared" ca="1" si="22"/>
        <v>0.6448875040277301</v>
      </c>
      <c r="U175">
        <f t="shared" ca="1" si="22"/>
        <v>0.45610335508126709</v>
      </c>
      <c r="V175" s="8">
        <f t="shared" ca="1" si="23"/>
        <v>14.597166046860121</v>
      </c>
      <c r="AK175" s="6">
        <v>160</v>
      </c>
      <c r="AL175" s="6">
        <f t="shared" ca="1" si="24"/>
        <v>0.84790288984985696</v>
      </c>
      <c r="AM175" s="8">
        <f t="shared" ca="1" si="19"/>
        <v>907.44041538842885</v>
      </c>
    </row>
    <row r="176" spans="2:39" ht="15">
      <c r="B176" s="6">
        <v>161</v>
      </c>
      <c r="C176" s="6">
        <f t="shared" ca="1" si="20"/>
        <v>0.32397167810212779</v>
      </c>
      <c r="D176" s="8">
        <f t="shared" ca="1" si="21"/>
        <v>5408.6757648981047</v>
      </c>
      <c r="S176" s="6">
        <v>161</v>
      </c>
      <c r="T176" s="6">
        <f t="shared" ca="1" si="22"/>
        <v>0.52384650843523162</v>
      </c>
      <c r="U176">
        <f t="shared" ca="1" si="22"/>
        <v>0.36646589690127807</v>
      </c>
      <c r="V176" s="8">
        <f t="shared" ca="1" si="23"/>
        <v>15.157085856461855</v>
      </c>
      <c r="AK176" s="6">
        <v>161</v>
      </c>
      <c r="AL176" s="6">
        <f t="shared" ca="1" si="24"/>
        <v>0.51387217347302117</v>
      </c>
      <c r="AM176" s="8">
        <f t="shared" ca="1" si="19"/>
        <v>3661.7940380812861</v>
      </c>
    </row>
    <row r="177" spans="2:39" ht="15">
      <c r="B177" s="6">
        <v>162</v>
      </c>
      <c r="C177" s="6">
        <f t="shared" ca="1" si="20"/>
        <v>8.6454900714806326E-3</v>
      </c>
      <c r="D177" s="8">
        <f t="shared" ca="1" si="21"/>
        <v>5023.9077527055988</v>
      </c>
      <c r="S177" s="6">
        <v>162</v>
      </c>
      <c r="T177" s="6">
        <f t="shared" ref="T177:U208" ca="1" si="25">RAND()</f>
        <v>0.1229735672669563</v>
      </c>
      <c r="U177">
        <f t="shared" ca="1" si="25"/>
        <v>0.37398560595897246</v>
      </c>
      <c r="V177" s="8">
        <f t="shared" ca="1" si="23"/>
        <v>11.2230872511133</v>
      </c>
      <c r="AK177" s="6">
        <v>162</v>
      </c>
      <c r="AL177" s="6">
        <f t="shared" ca="1" si="24"/>
        <v>9.4042385628707037E-2</v>
      </c>
      <c r="AM177" s="8">
        <f t="shared" ca="1" si="19"/>
        <v>13002.053280690274</v>
      </c>
    </row>
    <row r="178" spans="2:39" ht="15">
      <c r="B178" s="6">
        <v>163</v>
      </c>
      <c r="C178" s="6">
        <f t="shared" ca="1" si="20"/>
        <v>0.11999655961666378</v>
      </c>
      <c r="D178" s="8">
        <f t="shared" ca="1" si="21"/>
        <v>5264.9992018649482</v>
      </c>
      <c r="S178" s="6">
        <v>163</v>
      </c>
      <c r="T178" s="6">
        <f t="shared" ca="1" si="25"/>
        <v>0.5965071607185034</v>
      </c>
      <c r="U178">
        <f t="shared" ca="1" si="25"/>
        <v>0.44216347607358697</v>
      </c>
      <c r="V178" s="8">
        <f t="shared" ca="1" si="23"/>
        <v>14.680370081602522</v>
      </c>
      <c r="AK178" s="6">
        <v>163</v>
      </c>
      <c r="AL178" s="6">
        <f t="shared" ca="1" si="24"/>
        <v>0.15092916439286552</v>
      </c>
      <c r="AM178" s="8">
        <f t="shared" ca="1" si="19"/>
        <v>10400.195642181106</v>
      </c>
    </row>
    <row r="179" spans="2:39" ht="15">
      <c r="B179" s="6">
        <v>164</v>
      </c>
      <c r="C179" s="6">
        <f t="shared" ca="1" si="20"/>
        <v>0.69048707749911109</v>
      </c>
      <c r="D179" s="8">
        <f t="shared" ca="1" si="21"/>
        <v>5599.446290217903</v>
      </c>
      <c r="S179" s="6">
        <v>164</v>
      </c>
      <c r="T179" s="6">
        <f t="shared" ca="1" si="25"/>
        <v>0.56360190387299003</v>
      </c>
      <c r="U179">
        <f t="shared" ca="1" si="25"/>
        <v>0.56899194704286038</v>
      </c>
      <c r="V179" s="8">
        <f t="shared" ca="1" si="23"/>
        <v>13.965475610228834</v>
      </c>
      <c r="AK179" s="6">
        <v>164</v>
      </c>
      <c r="AL179" s="6">
        <f t="shared" ca="1" si="24"/>
        <v>0.10167658706080163</v>
      </c>
      <c r="AM179" s="8">
        <f t="shared" ca="1" si="19"/>
        <v>12572.770199857972</v>
      </c>
    </row>
    <row r="180" spans="2:39" ht="15">
      <c r="B180" s="6">
        <v>165</v>
      </c>
      <c r="C180" s="6">
        <f t="shared" ca="1" si="20"/>
        <v>0.883248186110277</v>
      </c>
      <c r="D180" s="8">
        <f t="shared" ca="1" si="21"/>
        <v>5738.2764143679424</v>
      </c>
      <c r="S180" s="6">
        <v>165</v>
      </c>
      <c r="T180" s="6">
        <f t="shared" ca="1" si="25"/>
        <v>0.63835311089290681</v>
      </c>
      <c r="U180">
        <f t="shared" ca="1" si="25"/>
        <v>0.70505940021237401</v>
      </c>
      <c r="V180" s="8">
        <f t="shared" ca="1" si="23"/>
        <v>13.28257477796798</v>
      </c>
      <c r="AK180" s="6">
        <v>165</v>
      </c>
      <c r="AL180" s="6">
        <f t="shared" ca="1" si="24"/>
        <v>0.33969399005412459</v>
      </c>
      <c r="AM180" s="8">
        <f t="shared" ref="AM180:AM243" ca="1" si="26">-$AL$10*LN(AL180)</f>
        <v>5938.4055274171114</v>
      </c>
    </row>
    <row r="181" spans="2:39" ht="15">
      <c r="B181" s="6">
        <v>166</v>
      </c>
      <c r="C181" s="6">
        <f t="shared" ca="1" si="20"/>
        <v>0.38466246207514343</v>
      </c>
      <c r="D181" s="8">
        <f t="shared" ca="1" si="21"/>
        <v>5441.3483921469815</v>
      </c>
      <c r="S181" s="6">
        <v>166</v>
      </c>
      <c r="T181" s="6">
        <f t="shared" ca="1" si="25"/>
        <v>0.31421686242405045</v>
      </c>
      <c r="U181">
        <f t="shared" ca="1" si="25"/>
        <v>0.19201010055361123</v>
      </c>
      <c r="V181" s="8">
        <f t="shared" ca="1" si="23"/>
        <v>16.49448342816196</v>
      </c>
      <c r="AK181" s="6">
        <v>166</v>
      </c>
      <c r="AL181" s="6">
        <f t="shared" ca="1" si="24"/>
        <v>0.33208007045246535</v>
      </c>
      <c r="AM181" s="8">
        <f t="shared" ca="1" si="26"/>
        <v>6063.0853969525233</v>
      </c>
    </row>
    <row r="182" spans="2:39" ht="15">
      <c r="B182" s="6">
        <v>167</v>
      </c>
      <c r="C182" s="6">
        <f t="shared" ca="1" si="20"/>
        <v>0.95054204404544496</v>
      </c>
      <c r="D182" s="8">
        <f t="shared" ca="1" si="21"/>
        <v>5830.0264285184749</v>
      </c>
      <c r="S182" s="6">
        <v>167</v>
      </c>
      <c r="T182" s="6">
        <f t="shared" ca="1" si="25"/>
        <v>0.52162704583139863</v>
      </c>
      <c r="U182">
        <f t="shared" ca="1" si="25"/>
        <v>0.9265611918998482</v>
      </c>
      <c r="V182" s="8">
        <f t="shared" ca="1" si="23"/>
        <v>12.299356112532518</v>
      </c>
      <c r="AK182" s="6">
        <v>167</v>
      </c>
      <c r="AL182" s="6">
        <f t="shared" ca="1" si="24"/>
        <v>0.9993856911168133</v>
      </c>
      <c r="AM182" s="8">
        <f t="shared" ca="1" si="26"/>
        <v>3.3797370650962648</v>
      </c>
    </row>
    <row r="183" spans="2:39" ht="15">
      <c r="B183" s="6">
        <v>168</v>
      </c>
      <c r="C183" s="6">
        <f t="shared" ca="1" si="20"/>
        <v>0.98370757220161487</v>
      </c>
      <c r="D183" s="8">
        <f t="shared" ca="1" si="21"/>
        <v>5927.4323065134022</v>
      </c>
      <c r="S183" s="6">
        <v>168</v>
      </c>
      <c r="T183" s="6">
        <f t="shared" ca="1" si="25"/>
        <v>0.34684165534579769</v>
      </c>
      <c r="U183">
        <f t="shared" ca="1" si="25"/>
        <v>0.24937015779940441</v>
      </c>
      <c r="V183" s="8">
        <f t="shared" ca="1" si="23"/>
        <v>16.005041915218399</v>
      </c>
      <c r="AK183" s="6">
        <v>168</v>
      </c>
      <c r="AL183" s="6">
        <f t="shared" ca="1" si="24"/>
        <v>0.43880494052542085</v>
      </c>
      <c r="AM183" s="8">
        <f t="shared" ca="1" si="26"/>
        <v>4530.351603089086</v>
      </c>
    </row>
    <row r="184" spans="2:39" ht="15">
      <c r="B184" s="6">
        <v>169</v>
      </c>
      <c r="C184" s="6">
        <f t="shared" ca="1" si="20"/>
        <v>0.18381501877677009</v>
      </c>
      <c r="D184" s="8">
        <f t="shared" ca="1" si="21"/>
        <v>5319.815691953735</v>
      </c>
      <c r="S184" s="6">
        <v>169</v>
      </c>
      <c r="T184" s="6">
        <f t="shared" ca="1" si="25"/>
        <v>4.9232793649690798E-2</v>
      </c>
      <c r="U184">
        <f t="shared" ca="1" si="25"/>
        <v>0.49423905299890514</v>
      </c>
      <c r="V184" s="8">
        <f t="shared" ca="1" si="23"/>
        <v>11.406042748992938</v>
      </c>
      <c r="AK184" s="6">
        <v>169</v>
      </c>
      <c r="AL184" s="6">
        <f t="shared" ca="1" si="24"/>
        <v>0.74266020902695928</v>
      </c>
      <c r="AM184" s="8">
        <f t="shared" ca="1" si="26"/>
        <v>1636.3416401581965</v>
      </c>
    </row>
    <row r="185" spans="2:39" ht="15">
      <c r="B185" s="6">
        <v>170</v>
      </c>
      <c r="C185" s="6">
        <f t="shared" ca="1" si="20"/>
        <v>0.48201197654660888</v>
      </c>
      <c r="D185" s="8">
        <f t="shared" ca="1" si="21"/>
        <v>5490.9790845684602</v>
      </c>
      <c r="S185" s="6">
        <v>170</v>
      </c>
      <c r="T185" s="6">
        <f t="shared" ca="1" si="25"/>
        <v>0.47753776944007442</v>
      </c>
      <c r="U185">
        <f t="shared" ca="1" si="25"/>
        <v>0.73665387937483695</v>
      </c>
      <c r="V185" s="8">
        <f t="shared" ca="1" si="23"/>
        <v>13.133716559885576</v>
      </c>
      <c r="AK185" s="6">
        <v>170</v>
      </c>
      <c r="AL185" s="6">
        <f t="shared" ca="1" si="24"/>
        <v>0.16825778655443069</v>
      </c>
      <c r="AM185" s="8">
        <f t="shared" ca="1" si="26"/>
        <v>9802.4191752214683</v>
      </c>
    </row>
    <row r="186" spans="2:39" ht="15">
      <c r="B186" s="6">
        <v>171</v>
      </c>
      <c r="C186" s="6">
        <f t="shared" ca="1" si="20"/>
        <v>6.7345163926475493E-3</v>
      </c>
      <c r="D186" s="8">
        <f t="shared" ca="1" si="21"/>
        <v>5005.7758484147898</v>
      </c>
      <c r="S186" s="6">
        <v>171</v>
      </c>
      <c r="T186" s="6">
        <f t="shared" ca="1" si="25"/>
        <v>0.34780158068153555</v>
      </c>
      <c r="U186">
        <f t="shared" ca="1" si="25"/>
        <v>0.692278287219392</v>
      </c>
      <c r="V186" s="8">
        <f t="shared" ca="1" si="23"/>
        <v>13.343739008869838</v>
      </c>
      <c r="AK186" s="6">
        <v>171</v>
      </c>
      <c r="AL186" s="6">
        <f t="shared" ca="1" si="24"/>
        <v>0.24911656328965004</v>
      </c>
      <c r="AM186" s="8">
        <f t="shared" ca="1" si="26"/>
        <v>7644.0890151605008</v>
      </c>
    </row>
    <row r="187" spans="2:39" ht="15">
      <c r="B187" s="6">
        <v>172</v>
      </c>
      <c r="C187" s="6">
        <f t="shared" ca="1" si="20"/>
        <v>0.59159277977742231</v>
      </c>
      <c r="D187" s="8">
        <f t="shared" ca="1" si="21"/>
        <v>5546.3288230052103</v>
      </c>
      <c r="S187" s="6">
        <v>172</v>
      </c>
      <c r="T187" s="6">
        <f t="shared" ca="1" si="25"/>
        <v>0.99891000296138377</v>
      </c>
      <c r="U187">
        <f t="shared" ca="1" si="25"/>
        <v>0.21334543439119513</v>
      </c>
      <c r="V187" s="8">
        <f t="shared" ca="1" si="23"/>
        <v>16.304853480437281</v>
      </c>
      <c r="AK187" s="6">
        <v>172</v>
      </c>
      <c r="AL187" s="6">
        <f t="shared" ca="1" si="24"/>
        <v>0.76159798164883474</v>
      </c>
      <c r="AM187" s="8">
        <f t="shared" ca="1" si="26"/>
        <v>1497.8504510995076</v>
      </c>
    </row>
    <row r="188" spans="2:39" ht="15">
      <c r="B188" s="6">
        <v>173</v>
      </c>
      <c r="C188" s="6">
        <f t="shared" ca="1" si="20"/>
        <v>3.9732014600853627E-2</v>
      </c>
      <c r="D188" s="8">
        <f t="shared" ca="1" si="21"/>
        <v>5149.2391203777624</v>
      </c>
      <c r="S188" s="6">
        <v>173</v>
      </c>
      <c r="T188" s="6">
        <f t="shared" ca="1" si="25"/>
        <v>0.22544592922537443</v>
      </c>
      <c r="U188">
        <f t="shared" ca="1" si="25"/>
        <v>0.42733328203295584</v>
      </c>
      <c r="V188" s="8">
        <f t="shared" ca="1" si="23"/>
        <v>14.770341306537379</v>
      </c>
      <c r="AK188" s="6">
        <v>173</v>
      </c>
      <c r="AL188" s="6">
        <f t="shared" ca="1" si="24"/>
        <v>0.74359879762669712</v>
      </c>
      <c r="AM188" s="8">
        <f t="shared" ca="1" si="26"/>
        <v>1629.3950205425149</v>
      </c>
    </row>
    <row r="189" spans="2:39" ht="15">
      <c r="B189" s="6">
        <v>174</v>
      </c>
      <c r="C189" s="6">
        <f t="shared" ca="1" si="20"/>
        <v>0.54609669786262849</v>
      </c>
      <c r="D189" s="8">
        <f t="shared" ca="1" si="21"/>
        <v>5523.161122005472</v>
      </c>
      <c r="S189" s="6">
        <v>174</v>
      </c>
      <c r="T189" s="6">
        <f t="shared" ca="1" si="25"/>
        <v>0.4385544493726008</v>
      </c>
      <c r="U189">
        <f t="shared" ca="1" si="25"/>
        <v>0.27040983529438267</v>
      </c>
      <c r="V189" s="8">
        <f t="shared" ca="1" si="23"/>
        <v>15.839924344577314</v>
      </c>
      <c r="AK189" s="6">
        <v>174</v>
      </c>
      <c r="AL189" s="6">
        <f t="shared" ca="1" si="24"/>
        <v>0.43465797809455575</v>
      </c>
      <c r="AM189" s="8">
        <f t="shared" ca="1" si="26"/>
        <v>4582.5769792533474</v>
      </c>
    </row>
    <row r="190" spans="2:39" ht="15">
      <c r="B190" s="6">
        <v>175</v>
      </c>
      <c r="C190" s="6">
        <f t="shared" ca="1" si="20"/>
        <v>0.89652249147345608</v>
      </c>
      <c r="D190" s="8">
        <f t="shared" ca="1" si="21"/>
        <v>5752.3965369513471</v>
      </c>
      <c r="S190" s="6">
        <v>175</v>
      </c>
      <c r="T190" s="6">
        <f t="shared" ca="1" si="25"/>
        <v>0.85543836159122444</v>
      </c>
      <c r="U190">
        <f t="shared" ca="1" si="25"/>
        <v>0.28286290578361162</v>
      </c>
      <c r="V190" s="8">
        <f t="shared" ca="1" si="23"/>
        <v>15.745211407114198</v>
      </c>
      <c r="AK190" s="6">
        <v>175</v>
      </c>
      <c r="AL190" s="6">
        <f t="shared" ca="1" si="24"/>
        <v>0.93775565463074406</v>
      </c>
      <c r="AM190" s="8">
        <f t="shared" ca="1" si="26"/>
        <v>353.46223022106261</v>
      </c>
    </row>
    <row r="191" spans="2:39" ht="15">
      <c r="B191" s="6">
        <v>176</v>
      </c>
      <c r="C191" s="6">
        <f t="shared" ca="1" si="20"/>
        <v>0.71046377364495084</v>
      </c>
      <c r="D191" s="8">
        <f t="shared" ca="1" si="21"/>
        <v>5610.9480173689435</v>
      </c>
      <c r="S191" s="6">
        <v>176</v>
      </c>
      <c r="T191" s="6">
        <f t="shared" ca="1" si="25"/>
        <v>0.32510334304668331</v>
      </c>
      <c r="U191">
        <f t="shared" ca="1" si="25"/>
        <v>0.31681421818513245</v>
      </c>
      <c r="V191" s="8">
        <f t="shared" ca="1" si="23"/>
        <v>15.497099827461364</v>
      </c>
      <c r="AK191" s="6">
        <v>176</v>
      </c>
      <c r="AL191" s="6">
        <f t="shared" ca="1" si="24"/>
        <v>0.59410170821767816</v>
      </c>
      <c r="AM191" s="8">
        <f t="shared" ca="1" si="26"/>
        <v>2863.8761157671265</v>
      </c>
    </row>
    <row r="192" spans="2:39" ht="15">
      <c r="B192" s="6">
        <v>177</v>
      </c>
      <c r="C192" s="6">
        <f t="shared" ca="1" si="20"/>
        <v>0.96319460341618979</v>
      </c>
      <c r="D192" s="8">
        <f t="shared" ca="1" si="21"/>
        <v>5857.8049953720229</v>
      </c>
      <c r="S192" s="6">
        <v>177</v>
      </c>
      <c r="T192" s="6">
        <f t="shared" ca="1" si="25"/>
        <v>0.55642097490774889</v>
      </c>
      <c r="U192">
        <f t="shared" ca="1" si="25"/>
        <v>0.83413560733625247</v>
      </c>
      <c r="V192" s="8">
        <f t="shared" ca="1" si="23"/>
        <v>12.693518023732615</v>
      </c>
      <c r="AK192" s="6">
        <v>177</v>
      </c>
      <c r="AL192" s="6">
        <f t="shared" ca="1" si="24"/>
        <v>0.33059496606052463</v>
      </c>
      <c r="AM192" s="8">
        <f t="shared" ca="1" si="26"/>
        <v>6087.7372621357563</v>
      </c>
    </row>
    <row r="193" spans="2:39" ht="15">
      <c r="B193" s="6">
        <v>178</v>
      </c>
      <c r="C193" s="6">
        <f t="shared" ca="1" si="20"/>
        <v>0.89035644873150888</v>
      </c>
      <c r="D193" s="8">
        <f t="shared" ca="1" si="21"/>
        <v>5745.6851947212135</v>
      </c>
      <c r="S193" s="6">
        <v>178</v>
      </c>
      <c r="T193" s="6">
        <f t="shared" ca="1" si="25"/>
        <v>0.51197596829527403</v>
      </c>
      <c r="U193">
        <f t="shared" ca="1" si="25"/>
        <v>0.6452098673827561</v>
      </c>
      <c r="V193" s="8">
        <f t="shared" ca="1" si="23"/>
        <v>13.574003461524711</v>
      </c>
      <c r="AK193" s="6">
        <v>178</v>
      </c>
      <c r="AL193" s="6">
        <f t="shared" ca="1" si="24"/>
        <v>0.15297408224811593</v>
      </c>
      <c r="AM193" s="8">
        <f t="shared" ca="1" si="26"/>
        <v>10326.177229555791</v>
      </c>
    </row>
    <row r="194" spans="2:39" ht="15">
      <c r="B194" s="6">
        <v>179</v>
      </c>
      <c r="C194" s="6">
        <f t="shared" ca="1" si="20"/>
        <v>0.35169691103094114</v>
      </c>
      <c r="D194" s="8">
        <f t="shared" ca="1" si="21"/>
        <v>5423.8513632585928</v>
      </c>
      <c r="S194" s="6">
        <v>179</v>
      </c>
      <c r="T194" s="6">
        <f t="shared" ca="1" si="25"/>
        <v>0.91156635359921756</v>
      </c>
      <c r="U194">
        <f t="shared" ca="1" si="25"/>
        <v>0.5884077092322344</v>
      </c>
      <c r="V194" s="8">
        <f t="shared" ca="1" si="23"/>
        <v>13.863380947878301</v>
      </c>
      <c r="AK194" s="6">
        <v>179</v>
      </c>
      <c r="AL194" s="6">
        <f t="shared" ca="1" si="24"/>
        <v>0.81928780310414029</v>
      </c>
      <c r="AM194" s="8">
        <f t="shared" ca="1" si="26"/>
        <v>1096.2591690424774</v>
      </c>
    </row>
    <row r="195" spans="2:39" ht="15">
      <c r="B195" s="6">
        <v>180</v>
      </c>
      <c r="C195" s="6">
        <f t="shared" ca="1" si="20"/>
        <v>0.71746880102234534</v>
      </c>
      <c r="D195" s="8">
        <f t="shared" ca="1" si="21"/>
        <v>5615.0676971648845</v>
      </c>
      <c r="S195" s="6">
        <v>180</v>
      </c>
      <c r="T195" s="6">
        <f t="shared" ca="1" si="25"/>
        <v>0.51804943898406763</v>
      </c>
      <c r="U195">
        <f t="shared" ca="1" si="25"/>
        <v>0.58425652363278768</v>
      </c>
      <c r="V195" s="8">
        <f t="shared" ca="1" si="23"/>
        <v>13.885066025499668</v>
      </c>
      <c r="AK195" s="6">
        <v>180</v>
      </c>
      <c r="AL195" s="6">
        <f t="shared" ca="1" si="24"/>
        <v>0.89365898354960427</v>
      </c>
      <c r="AM195" s="8">
        <f t="shared" ca="1" si="26"/>
        <v>618.37064711109804</v>
      </c>
    </row>
    <row r="196" spans="2:39" ht="15">
      <c r="B196" s="6">
        <v>181</v>
      </c>
      <c r="C196" s="6">
        <f t="shared" ca="1" si="20"/>
        <v>0.52092143593142792</v>
      </c>
      <c r="D196" s="8">
        <f t="shared" ca="1" si="21"/>
        <v>5510.4932647445976</v>
      </c>
      <c r="S196" s="6">
        <v>181</v>
      </c>
      <c r="T196" s="6">
        <f t="shared" ca="1" si="25"/>
        <v>0.10789834343497662</v>
      </c>
      <c r="U196">
        <f t="shared" ca="1" si="25"/>
        <v>0.80666381872604032</v>
      </c>
      <c r="V196" s="8">
        <f t="shared" ca="1" si="23"/>
        <v>11.796289307128493</v>
      </c>
      <c r="AK196" s="6">
        <v>181</v>
      </c>
      <c r="AL196" s="6">
        <f t="shared" ca="1" si="24"/>
        <v>0.14389675942812097</v>
      </c>
      <c r="AM196" s="8">
        <f t="shared" ca="1" si="26"/>
        <v>10662.625517238119</v>
      </c>
    </row>
    <row r="197" spans="2:39" ht="15">
      <c r="B197" s="6">
        <v>182</v>
      </c>
      <c r="C197" s="6">
        <f t="shared" ca="1" si="20"/>
        <v>0.21386593060516645</v>
      </c>
      <c r="D197" s="8">
        <f t="shared" ca="1" si="21"/>
        <v>5341.3842220270344</v>
      </c>
      <c r="S197" s="6">
        <v>182</v>
      </c>
      <c r="T197" s="6">
        <f t="shared" ca="1" si="25"/>
        <v>0.74667361119757736</v>
      </c>
      <c r="U197">
        <f t="shared" ca="1" si="25"/>
        <v>0.12590321313179054</v>
      </c>
      <c r="V197" s="8">
        <f t="shared" ca="1" si="23"/>
        <v>17.161372578087327</v>
      </c>
      <c r="AK197" s="6">
        <v>182</v>
      </c>
      <c r="AL197" s="6">
        <f t="shared" ca="1" si="24"/>
        <v>0.2003504543522352</v>
      </c>
      <c r="AM197" s="8">
        <f t="shared" ca="1" si="26"/>
        <v>8842.2794576050874</v>
      </c>
    </row>
    <row r="198" spans="2:39" ht="15">
      <c r="B198" s="6">
        <v>183</v>
      </c>
      <c r="C198" s="6">
        <f t="shared" ca="1" si="20"/>
        <v>0.1706770843662756</v>
      </c>
      <c r="D198" s="8">
        <f t="shared" ca="1" si="21"/>
        <v>5309.7013993836599</v>
      </c>
      <c r="S198" s="6">
        <v>183</v>
      </c>
      <c r="T198" s="6">
        <f t="shared" ca="1" si="25"/>
        <v>1.0137609119177937E-2</v>
      </c>
      <c r="U198">
        <f t="shared" ca="1" si="25"/>
        <v>0.8283636997720365</v>
      </c>
      <c r="V198" s="8">
        <f t="shared" ca="1" si="23"/>
        <v>11.820289756903595</v>
      </c>
      <c r="AK198" s="6">
        <v>183</v>
      </c>
      <c r="AL198" s="6">
        <f t="shared" ca="1" si="24"/>
        <v>0.92939811894160529</v>
      </c>
      <c r="AM198" s="8">
        <f t="shared" ca="1" si="26"/>
        <v>402.69947455383885</v>
      </c>
    </row>
    <row r="199" spans="2:39" ht="15">
      <c r="B199" s="6">
        <v>184</v>
      </c>
      <c r="C199" s="6">
        <f t="shared" ca="1" si="20"/>
        <v>0.42739735492566377</v>
      </c>
      <c r="D199" s="8">
        <f t="shared" ca="1" si="21"/>
        <v>5463.3991566104669</v>
      </c>
      <c r="S199" s="6">
        <v>184</v>
      </c>
      <c r="T199" s="6">
        <f t="shared" ca="1" si="25"/>
        <v>0.57479720452723548</v>
      </c>
      <c r="U199">
        <f t="shared" ca="1" si="25"/>
        <v>0.75007800639628697</v>
      </c>
      <c r="V199" s="8">
        <f t="shared" ca="1" si="23"/>
        <v>13.071436482981312</v>
      </c>
      <c r="AK199" s="6">
        <v>184</v>
      </c>
      <c r="AL199" s="6">
        <f t="shared" ca="1" si="24"/>
        <v>0.86351987870429192</v>
      </c>
      <c r="AM199" s="8">
        <f t="shared" ca="1" si="26"/>
        <v>807.06098318121235</v>
      </c>
    </row>
    <row r="200" spans="2:39" ht="15">
      <c r="B200" s="6">
        <v>185</v>
      </c>
      <c r="C200" s="6">
        <f t="shared" ca="1" si="20"/>
        <v>0.52254227058497571</v>
      </c>
      <c r="D200" s="8">
        <f t="shared" ca="1" si="21"/>
        <v>5511.3070389907953</v>
      </c>
      <c r="S200" s="6">
        <v>185</v>
      </c>
      <c r="T200" s="6">
        <f t="shared" ca="1" si="25"/>
        <v>0.20095686491787712</v>
      </c>
      <c r="U200">
        <f t="shared" ca="1" si="25"/>
        <v>0.47366494602186604</v>
      </c>
      <c r="V200" s="8">
        <f t="shared" ca="1" si="23"/>
        <v>14.494134350949032</v>
      </c>
      <c r="AK200" s="6">
        <v>185</v>
      </c>
      <c r="AL200" s="6">
        <f t="shared" ca="1" si="24"/>
        <v>0.42346983427000928</v>
      </c>
      <c r="AM200" s="8">
        <f t="shared" ca="1" si="26"/>
        <v>4726.0014835755173</v>
      </c>
    </row>
    <row r="201" spans="2:39" ht="15">
      <c r="B201" s="6">
        <v>186</v>
      </c>
      <c r="C201" s="6">
        <f t="shared" ca="1" si="20"/>
        <v>0.92665850828791319</v>
      </c>
      <c r="D201" s="8">
        <f t="shared" ca="1" si="21"/>
        <v>5790.269598731079</v>
      </c>
      <c r="S201" s="6">
        <v>186</v>
      </c>
      <c r="T201" s="6">
        <f t="shared" ca="1" si="25"/>
        <v>0.22264980851566563</v>
      </c>
      <c r="U201">
        <f t="shared" ca="1" si="25"/>
        <v>0.68571819590474725</v>
      </c>
      <c r="V201" s="8">
        <f t="shared" ca="1" si="23"/>
        <v>13.37535174232595</v>
      </c>
      <c r="AK201" s="6">
        <v>186</v>
      </c>
      <c r="AL201" s="6">
        <f t="shared" ca="1" si="24"/>
        <v>0.29960715710768404</v>
      </c>
      <c r="AM201" s="8">
        <f t="shared" ca="1" si="26"/>
        <v>6629.057263108265</v>
      </c>
    </row>
    <row r="202" spans="2:39" ht="15">
      <c r="B202" s="6">
        <v>187</v>
      </c>
      <c r="C202" s="6">
        <f t="shared" ca="1" si="20"/>
        <v>0.47182824235400778</v>
      </c>
      <c r="D202" s="8">
        <f t="shared" ca="1" si="21"/>
        <v>5485.8650167177593</v>
      </c>
      <c r="S202" s="6">
        <v>187</v>
      </c>
      <c r="T202" s="6">
        <f t="shared" ca="1" si="25"/>
        <v>0.75335386611206667</v>
      </c>
      <c r="U202">
        <f t="shared" ca="1" si="25"/>
        <v>0.40279534509773141</v>
      </c>
      <c r="V202" s="8">
        <f t="shared" ca="1" si="23"/>
        <v>14.922707208929662</v>
      </c>
      <c r="AK202" s="6">
        <v>187</v>
      </c>
      <c r="AL202" s="6">
        <f t="shared" ca="1" si="24"/>
        <v>7.8693407979072982E-2</v>
      </c>
      <c r="AM202" s="8">
        <f t="shared" ca="1" si="26"/>
        <v>13982.077386480714</v>
      </c>
    </row>
    <row r="203" spans="2:39" ht="15">
      <c r="B203" s="6">
        <v>188</v>
      </c>
      <c r="C203" s="6">
        <f t="shared" ca="1" si="20"/>
        <v>0.64518835241620032</v>
      </c>
      <c r="D203" s="8">
        <f t="shared" ca="1" si="21"/>
        <v>5574.4724127379895</v>
      </c>
      <c r="S203" s="6">
        <v>188</v>
      </c>
      <c r="T203" s="6">
        <f t="shared" ca="1" si="25"/>
        <v>0.30507046844188956</v>
      </c>
      <c r="U203">
        <f t="shared" ca="1" si="25"/>
        <v>0.26844293400026997</v>
      </c>
      <c r="V203" s="8">
        <f t="shared" ca="1" si="23"/>
        <v>15.855081692479661</v>
      </c>
      <c r="AK203" s="6">
        <v>188</v>
      </c>
      <c r="AL203" s="6">
        <f t="shared" ca="1" si="24"/>
        <v>0.62178746467551149</v>
      </c>
      <c r="AM203" s="8">
        <f t="shared" ca="1" si="26"/>
        <v>2613.3631771375099</v>
      </c>
    </row>
    <row r="204" spans="2:39" ht="15">
      <c r="B204" s="6">
        <v>189</v>
      </c>
      <c r="C204" s="6">
        <f t="shared" ca="1" si="20"/>
        <v>0.32212514347885701</v>
      </c>
      <c r="D204" s="8">
        <f t="shared" ca="1" si="21"/>
        <v>5407.6471211313174</v>
      </c>
      <c r="S204" s="6">
        <v>189</v>
      </c>
      <c r="T204" s="6">
        <f t="shared" ca="1" si="25"/>
        <v>0.97901284447855075</v>
      </c>
      <c r="U204">
        <f t="shared" ca="1" si="25"/>
        <v>0.62713223794856454</v>
      </c>
      <c r="V204" s="8">
        <f t="shared" ca="1" si="23"/>
        <v>13.664665499856529</v>
      </c>
      <c r="AK204" s="6">
        <v>189</v>
      </c>
      <c r="AL204" s="6">
        <f t="shared" ca="1" si="24"/>
        <v>0.23892902191872145</v>
      </c>
      <c r="AM204" s="8">
        <f t="shared" ca="1" si="26"/>
        <v>7873.7381281752741</v>
      </c>
    </row>
    <row r="205" spans="2:39" ht="15">
      <c r="B205" s="6">
        <v>190</v>
      </c>
      <c r="C205" s="6">
        <f t="shared" ca="1" si="20"/>
        <v>0.95385921169688326</v>
      </c>
      <c r="D205" s="8">
        <f t="shared" ca="1" si="21"/>
        <v>5836.6966527362374</v>
      </c>
      <c r="S205" s="6">
        <v>190</v>
      </c>
      <c r="T205" s="6">
        <f t="shared" ca="1" si="25"/>
        <v>0.29096436766438749</v>
      </c>
      <c r="U205">
        <f t="shared" ca="1" si="25"/>
        <v>0.47653105839325094</v>
      </c>
      <c r="V205" s="8">
        <f t="shared" ca="1" si="23"/>
        <v>14.477501676128089</v>
      </c>
      <c r="AK205" s="6">
        <v>190</v>
      </c>
      <c r="AL205" s="6">
        <f t="shared" ca="1" si="24"/>
        <v>0.19288972855195707</v>
      </c>
      <c r="AM205" s="8">
        <f t="shared" ca="1" si="26"/>
        <v>9051.0013440857565</v>
      </c>
    </row>
    <row r="206" spans="2:39" ht="15">
      <c r="B206" s="6">
        <v>191</v>
      </c>
      <c r="C206" s="6">
        <f t="shared" ca="1" si="20"/>
        <v>0.58795642678110893</v>
      </c>
      <c r="D206" s="8">
        <f t="shared" ca="1" si="21"/>
        <v>5544.4582543094348</v>
      </c>
      <c r="S206" s="6">
        <v>191</v>
      </c>
      <c r="T206" s="6">
        <f t="shared" ca="1" si="25"/>
        <v>0.26149099131184661</v>
      </c>
      <c r="U206">
        <f t="shared" ca="1" si="25"/>
        <v>0.92973090633466282</v>
      </c>
      <c r="V206" s="8">
        <f t="shared" ca="1" si="23"/>
        <v>12.286195620485413</v>
      </c>
      <c r="AK206" s="6">
        <v>191</v>
      </c>
      <c r="AL206" s="6">
        <f t="shared" ca="1" si="24"/>
        <v>0.66672749819339916</v>
      </c>
      <c r="AM206" s="8">
        <f t="shared" ca="1" si="26"/>
        <v>2229.5562573946549</v>
      </c>
    </row>
    <row r="207" spans="2:39" ht="15">
      <c r="B207" s="6">
        <v>192</v>
      </c>
      <c r="C207" s="6">
        <f t="shared" ca="1" si="20"/>
        <v>0.8007632376809336</v>
      </c>
      <c r="D207" s="8">
        <f t="shared" ca="1" si="21"/>
        <v>5668.8701177915509</v>
      </c>
      <c r="S207" s="6">
        <v>192</v>
      </c>
      <c r="T207" s="6">
        <f t="shared" ca="1" si="25"/>
        <v>0.74687952758254039</v>
      </c>
      <c r="U207">
        <f t="shared" ca="1" si="25"/>
        <v>0.56134646127041188</v>
      </c>
      <c r="V207" s="8">
        <f t="shared" ca="1" si="23"/>
        <v>14.006155363933232</v>
      </c>
      <c r="AK207" s="6">
        <v>192</v>
      </c>
      <c r="AL207" s="6">
        <f t="shared" ca="1" si="24"/>
        <v>0.41024362715007656</v>
      </c>
      <c r="AM207" s="8">
        <f t="shared" ca="1" si="26"/>
        <v>4900.5224575834991</v>
      </c>
    </row>
    <row r="208" spans="2:39" ht="15">
      <c r="B208" s="6">
        <v>193</v>
      </c>
      <c r="C208" s="6">
        <f t="shared" ca="1" si="20"/>
        <v>0.48546462394273249</v>
      </c>
      <c r="D208" s="8">
        <f t="shared" ca="1" si="21"/>
        <v>5492.7114300976218</v>
      </c>
      <c r="S208" s="6">
        <v>193</v>
      </c>
      <c r="T208" s="6">
        <f t="shared" ca="1" si="25"/>
        <v>0.89350479645426595</v>
      </c>
      <c r="U208">
        <f t="shared" ca="1" si="25"/>
        <v>0.61010086662208429</v>
      </c>
      <c r="V208" s="8">
        <f t="shared" ca="1" si="23"/>
        <v>13.7512836947247</v>
      </c>
      <c r="AK208" s="6">
        <v>193</v>
      </c>
      <c r="AL208" s="6">
        <f t="shared" ca="1" si="24"/>
        <v>0.19914049832938574</v>
      </c>
      <c r="AM208" s="8">
        <f t="shared" ca="1" si="26"/>
        <v>8875.5957488992735</v>
      </c>
    </row>
    <row r="209" spans="2:39" ht="15">
      <c r="B209" s="6">
        <v>194</v>
      </c>
      <c r="C209" s="6">
        <f t="shared" ref="C209:C265" ca="1" si="27">RAND()</f>
        <v>0.71786191413554212</v>
      </c>
      <c r="D209" s="8">
        <f t="shared" ref="D209:D265" ca="1" si="28">_xlfn.NORM.INV(C209,$C$12,$C$13)</f>
        <v>5615.3003250236134</v>
      </c>
      <c r="S209" s="6">
        <v>194</v>
      </c>
      <c r="T209" s="6">
        <f t="shared" ref="T209:U240" ca="1" si="29">RAND()</f>
        <v>0.42458592645345838</v>
      </c>
      <c r="U209">
        <f t="shared" ca="1" si="29"/>
        <v>0.51670639682508013</v>
      </c>
      <c r="V209" s="8">
        <f t="shared" ref="V209:V265" ca="1" si="30">IF(T209&lt;$T$13,$T$10+($T$11-$T$10)*SQRT(U209),$T$12-($T$12-$T$11)*SQRT(U209))</f>
        <v>14.24941660378661</v>
      </c>
      <c r="AK209" s="6">
        <v>194</v>
      </c>
      <c r="AL209" s="6">
        <f t="shared" ref="AL209:AL265" ca="1" si="31">RAND()</f>
        <v>0.50603560046467944</v>
      </c>
      <c r="AM209" s="8">
        <f t="shared" ca="1" si="26"/>
        <v>3746.315405360112</v>
      </c>
    </row>
    <row r="210" spans="2:39" ht="15">
      <c r="B210" s="6">
        <v>195</v>
      </c>
      <c r="C210" s="6">
        <f t="shared" ca="1" si="27"/>
        <v>0.49207336586635086</v>
      </c>
      <c r="D210" s="8">
        <f t="shared" ca="1" si="28"/>
        <v>5496.0259134495964</v>
      </c>
      <c r="S210" s="6">
        <v>195</v>
      </c>
      <c r="T210" s="6">
        <f t="shared" ca="1" si="29"/>
        <v>0.84162679388601058</v>
      </c>
      <c r="U210">
        <f t="shared" ca="1" si="29"/>
        <v>0.1659930053833506</v>
      </c>
      <c r="V210" s="8">
        <f t="shared" ca="1" si="30"/>
        <v>16.740620865174712</v>
      </c>
      <c r="AK210" s="6">
        <v>195</v>
      </c>
      <c r="AL210" s="6">
        <f t="shared" ca="1" si="31"/>
        <v>0.43266570182626574</v>
      </c>
      <c r="AM210" s="8">
        <f t="shared" ca="1" si="26"/>
        <v>4607.8444520581888</v>
      </c>
    </row>
    <row r="211" spans="2:39" ht="15">
      <c r="B211" s="6">
        <v>196</v>
      </c>
      <c r="C211" s="6">
        <f t="shared" ca="1" si="27"/>
        <v>0.12366561248639718</v>
      </c>
      <c r="D211" s="8">
        <f t="shared" ca="1" si="28"/>
        <v>5268.6288132372438</v>
      </c>
      <c r="S211" s="6">
        <v>196</v>
      </c>
      <c r="T211" s="6">
        <f t="shared" ca="1" si="29"/>
        <v>0.70558265333127923</v>
      </c>
      <c r="U211">
        <f t="shared" ca="1" si="29"/>
        <v>0.97946988815585501</v>
      </c>
      <c r="V211" s="8">
        <f t="shared" ca="1" si="30"/>
        <v>12.082546315766999</v>
      </c>
      <c r="AK211" s="6">
        <v>196</v>
      </c>
      <c r="AL211" s="6">
        <f t="shared" ca="1" si="31"/>
        <v>0.37751680901862605</v>
      </c>
      <c r="AM211" s="8">
        <f t="shared" ca="1" si="26"/>
        <v>5357.7710124548812</v>
      </c>
    </row>
    <row r="212" spans="2:39" ht="15">
      <c r="B212" s="6">
        <v>197</v>
      </c>
      <c r="C212" s="6">
        <f t="shared" ca="1" si="27"/>
        <v>0.810145223072537</v>
      </c>
      <c r="D212" s="8">
        <f t="shared" ca="1" si="28"/>
        <v>5675.6863155993451</v>
      </c>
      <c r="S212" s="6">
        <v>197</v>
      </c>
      <c r="T212" s="6">
        <f t="shared" ca="1" si="29"/>
        <v>0.2407394980048797</v>
      </c>
      <c r="U212">
        <f t="shared" ca="1" si="29"/>
        <v>9.9876953844640903E-2</v>
      </c>
      <c r="V212" s="8">
        <f t="shared" ca="1" si="30"/>
        <v>17.471734775373235</v>
      </c>
      <c r="AK212" s="6">
        <v>197</v>
      </c>
      <c r="AL212" s="6">
        <f t="shared" ca="1" si="31"/>
        <v>0.9611076149113339</v>
      </c>
      <c r="AM212" s="8">
        <f t="shared" ca="1" si="26"/>
        <v>218.17891734955705</v>
      </c>
    </row>
    <row r="213" spans="2:39" ht="15">
      <c r="B213" s="6">
        <v>198</v>
      </c>
      <c r="C213" s="6">
        <f t="shared" ca="1" si="27"/>
        <v>0.92916499268937058</v>
      </c>
      <c r="D213" s="8">
        <f t="shared" ca="1" si="28"/>
        <v>5793.9200779829353</v>
      </c>
      <c r="S213" s="6">
        <v>198</v>
      </c>
      <c r="T213" s="6">
        <f t="shared" ca="1" si="29"/>
        <v>0.55928414123123882</v>
      </c>
      <c r="U213">
        <f t="shared" ca="1" si="29"/>
        <v>0.54290981130346871</v>
      </c>
      <c r="V213" s="8">
        <f t="shared" ca="1" si="30"/>
        <v>14.105406890766591</v>
      </c>
      <c r="AK213" s="6">
        <v>198</v>
      </c>
      <c r="AL213" s="6">
        <f t="shared" ca="1" si="31"/>
        <v>0.77092605979472562</v>
      </c>
      <c r="AM213" s="8">
        <f t="shared" ca="1" si="26"/>
        <v>1430.8954644084749</v>
      </c>
    </row>
    <row r="214" spans="2:39" ht="15">
      <c r="B214" s="6">
        <v>199</v>
      </c>
      <c r="C214" s="6">
        <f t="shared" ca="1" si="27"/>
        <v>6.424171779076282E-3</v>
      </c>
      <c r="D214" s="8">
        <f t="shared" ca="1" si="28"/>
        <v>5002.4109082605246</v>
      </c>
      <c r="S214" s="6">
        <v>199</v>
      </c>
      <c r="T214" s="6">
        <f t="shared" ca="1" si="29"/>
        <v>0.6299331110052836</v>
      </c>
      <c r="U214">
        <f t="shared" ca="1" si="29"/>
        <v>0.1829917214768213</v>
      </c>
      <c r="V214" s="8">
        <f t="shared" ca="1" si="30"/>
        <v>16.577797467344084</v>
      </c>
      <c r="AK214" s="6">
        <v>199</v>
      </c>
      <c r="AL214" s="6">
        <f t="shared" ca="1" si="31"/>
        <v>0.89345350091685383</v>
      </c>
      <c r="AM214" s="8">
        <f t="shared" ca="1" si="26"/>
        <v>619.63542982055947</v>
      </c>
    </row>
    <row r="215" spans="2:39" ht="15">
      <c r="B215" s="6">
        <v>200</v>
      </c>
      <c r="C215" s="6">
        <f t="shared" ca="1" si="27"/>
        <v>0.18160881984660449</v>
      </c>
      <c r="D215" s="8">
        <f t="shared" ca="1" si="28"/>
        <v>5318.149796442638</v>
      </c>
      <c r="S215" s="6">
        <v>200</v>
      </c>
      <c r="T215" s="6">
        <f t="shared" ca="1" si="29"/>
        <v>0.46514573652183377</v>
      </c>
      <c r="U215">
        <f t="shared" ca="1" si="29"/>
        <v>0.57405331152732086</v>
      </c>
      <c r="V215" s="8">
        <f t="shared" ca="1" si="30"/>
        <v>13.938695525074777</v>
      </c>
      <c r="AK215" s="6">
        <v>200</v>
      </c>
      <c r="AL215" s="6">
        <f t="shared" ca="1" si="31"/>
        <v>0.8976313830608984</v>
      </c>
      <c r="AM215" s="8">
        <f t="shared" ca="1" si="26"/>
        <v>593.97679836972009</v>
      </c>
    </row>
    <row r="216" spans="2:39" ht="15">
      <c r="B216" s="6">
        <v>201</v>
      </c>
      <c r="C216" s="6">
        <f t="shared" ca="1" si="27"/>
        <v>0.45787380832377211</v>
      </c>
      <c r="D216" s="8">
        <f t="shared" ca="1" si="28"/>
        <v>5478.8416585816203</v>
      </c>
      <c r="S216" s="6">
        <v>201</v>
      </c>
      <c r="T216" s="6">
        <f t="shared" ca="1" si="29"/>
        <v>0.63102722700251523</v>
      </c>
      <c r="U216">
        <f t="shared" ca="1" si="29"/>
        <v>0.66920542009259154</v>
      </c>
      <c r="V216" s="8">
        <f t="shared" ca="1" si="30"/>
        <v>13.45560186984885</v>
      </c>
      <c r="AK216" s="6">
        <v>201</v>
      </c>
      <c r="AL216" s="6">
        <f t="shared" ca="1" si="31"/>
        <v>0.69840284984701839</v>
      </c>
      <c r="AM216" s="8">
        <f t="shared" ca="1" si="26"/>
        <v>1974.2755666045612</v>
      </c>
    </row>
    <row r="217" spans="2:39" ht="15">
      <c r="B217" s="6">
        <v>202</v>
      </c>
      <c r="C217" s="6">
        <f t="shared" ca="1" si="27"/>
        <v>0.22510183627158142</v>
      </c>
      <c r="D217" s="8">
        <f t="shared" ca="1" si="28"/>
        <v>5348.9848966726822</v>
      </c>
      <c r="S217" s="6">
        <v>202</v>
      </c>
      <c r="T217" s="6">
        <f t="shared" ca="1" si="29"/>
        <v>0.32057883395737585</v>
      </c>
      <c r="U217">
        <f t="shared" ca="1" si="29"/>
        <v>0.69490014755756468</v>
      </c>
      <c r="V217" s="8">
        <f t="shared" ca="1" si="30"/>
        <v>13.33114631711835</v>
      </c>
      <c r="AK217" s="6">
        <v>202</v>
      </c>
      <c r="AL217" s="6">
        <f t="shared" ca="1" si="31"/>
        <v>2.2598777152342819E-3</v>
      </c>
      <c r="AM217" s="8">
        <f t="shared" ca="1" si="26"/>
        <v>33508.445165058954</v>
      </c>
    </row>
    <row r="218" spans="2:39" ht="15">
      <c r="B218" s="6">
        <v>203</v>
      </c>
      <c r="C218" s="6">
        <f t="shared" ca="1" si="27"/>
        <v>0.42696057217390992</v>
      </c>
      <c r="D218" s="8">
        <f t="shared" ca="1" si="28"/>
        <v>5463.1764658874281</v>
      </c>
      <c r="S218" s="6">
        <v>203</v>
      </c>
      <c r="T218" s="6">
        <f t="shared" ca="1" si="29"/>
        <v>1.6677393496687731E-2</v>
      </c>
      <c r="U218">
        <f t="shared" ca="1" si="29"/>
        <v>0.19527354187826718</v>
      </c>
      <c r="V218" s="8">
        <f t="shared" ca="1" si="30"/>
        <v>10.883795319920324</v>
      </c>
      <c r="AK218" s="6">
        <v>203</v>
      </c>
      <c r="AL218" s="6">
        <f t="shared" ca="1" si="31"/>
        <v>0.39488120628681278</v>
      </c>
      <c r="AM218" s="8">
        <f t="shared" ca="1" si="26"/>
        <v>5110.4366659011775</v>
      </c>
    </row>
    <row r="219" spans="2:39" ht="15">
      <c r="B219" s="6">
        <v>204</v>
      </c>
      <c r="C219" s="6">
        <f t="shared" ca="1" si="27"/>
        <v>0.55581806861728345</v>
      </c>
      <c r="D219" s="8">
        <f t="shared" ca="1" si="28"/>
        <v>5528.0749611679867</v>
      </c>
      <c r="S219" s="6">
        <v>204</v>
      </c>
      <c r="T219" s="6">
        <f t="shared" ca="1" si="29"/>
        <v>0.28542439220582938</v>
      </c>
      <c r="U219">
        <f t="shared" ca="1" si="29"/>
        <v>0.73809210203493836</v>
      </c>
      <c r="V219" s="8">
        <f t="shared" ca="1" si="30"/>
        <v>13.127017057329761</v>
      </c>
      <c r="AK219" s="6">
        <v>204</v>
      </c>
      <c r="AL219" s="6">
        <f t="shared" ca="1" si="31"/>
        <v>0.62259201020521659</v>
      </c>
      <c r="AM219" s="8">
        <f t="shared" ca="1" si="26"/>
        <v>2606.2511970393493</v>
      </c>
    </row>
    <row r="220" spans="2:39" ht="15">
      <c r="B220" s="6">
        <v>205</v>
      </c>
      <c r="C220" s="6">
        <f t="shared" ca="1" si="27"/>
        <v>0.46000553354277385</v>
      </c>
      <c r="D220" s="8">
        <f t="shared" ca="1" si="28"/>
        <v>5479.9160440291653</v>
      </c>
      <c r="S220" s="6">
        <v>205</v>
      </c>
      <c r="T220" s="6">
        <f t="shared" ca="1" si="29"/>
        <v>0.4680599556554953</v>
      </c>
      <c r="U220">
        <f t="shared" ca="1" si="29"/>
        <v>0.28977048915419146</v>
      </c>
      <c r="V220" s="8">
        <f t="shared" ca="1" si="30"/>
        <v>15.693573255485674</v>
      </c>
      <c r="AK220" s="6">
        <v>205</v>
      </c>
      <c r="AL220" s="6">
        <f t="shared" ca="1" si="31"/>
        <v>0.73095975945680791</v>
      </c>
      <c r="AM220" s="8">
        <f t="shared" ca="1" si="26"/>
        <v>1723.6827815365805</v>
      </c>
    </row>
    <row r="221" spans="2:39" ht="15">
      <c r="B221" s="6">
        <v>206</v>
      </c>
      <c r="C221" s="6">
        <f t="shared" ca="1" si="27"/>
        <v>0.15405677457717981</v>
      </c>
      <c r="D221" s="8">
        <f t="shared" ca="1" si="28"/>
        <v>5296.1623269529036</v>
      </c>
      <c r="S221" s="6">
        <v>206</v>
      </c>
      <c r="T221" s="6">
        <f t="shared" ca="1" si="29"/>
        <v>0.66634518248094632</v>
      </c>
      <c r="U221">
        <f t="shared" ca="1" si="29"/>
        <v>0.75718401090812359</v>
      </c>
      <c r="V221" s="8">
        <f t="shared" ca="1" si="30"/>
        <v>13.03869432519158</v>
      </c>
      <c r="AK221" s="6">
        <v>206</v>
      </c>
      <c r="AL221" s="6">
        <f t="shared" ca="1" si="31"/>
        <v>0.14311045552319979</v>
      </c>
      <c r="AM221" s="8">
        <f t="shared" ca="1" si="26"/>
        <v>10692.76191849789</v>
      </c>
    </row>
    <row r="222" spans="2:39" ht="15">
      <c r="B222" s="6">
        <v>207</v>
      </c>
      <c r="C222" s="6">
        <f t="shared" ca="1" si="27"/>
        <v>0.28522115975963813</v>
      </c>
      <c r="D222" s="8">
        <f t="shared" ca="1" si="28"/>
        <v>5386.5199616129121</v>
      </c>
      <c r="S222" s="6">
        <v>207</v>
      </c>
      <c r="T222" s="6">
        <f t="shared" ca="1" si="29"/>
        <v>0.70982109676982108</v>
      </c>
      <c r="U222">
        <f t="shared" ca="1" si="29"/>
        <v>0.86549715113910652</v>
      </c>
      <c r="V222" s="8">
        <f t="shared" ca="1" si="30"/>
        <v>12.557432051173276</v>
      </c>
      <c r="AK222" s="6">
        <v>207</v>
      </c>
      <c r="AL222" s="6">
        <f t="shared" ca="1" si="31"/>
        <v>4.2673188262461137E-2</v>
      </c>
      <c r="AM222" s="8">
        <f t="shared" ca="1" si="26"/>
        <v>17348.014560302538</v>
      </c>
    </row>
    <row r="223" spans="2:39" ht="15">
      <c r="B223" s="6">
        <v>208</v>
      </c>
      <c r="C223" s="6">
        <f t="shared" ca="1" si="27"/>
        <v>0.92100712286638065</v>
      </c>
      <c r="D223" s="8">
        <f t="shared" ca="1" si="28"/>
        <v>5782.3756898407182</v>
      </c>
      <c r="S223" s="6">
        <v>208</v>
      </c>
      <c r="T223" s="6">
        <f t="shared" ca="1" si="29"/>
        <v>4.2133383859453755E-2</v>
      </c>
      <c r="U223">
        <f t="shared" ca="1" si="29"/>
        <v>0.70650287685723001</v>
      </c>
      <c r="V223" s="8">
        <f t="shared" ca="1" si="30"/>
        <v>11.681074509779064</v>
      </c>
      <c r="AK223" s="6">
        <v>208</v>
      </c>
      <c r="AL223" s="6">
        <f t="shared" ca="1" si="31"/>
        <v>0.43748171086250753</v>
      </c>
      <c r="AM223" s="8">
        <f t="shared" ca="1" si="26"/>
        <v>4546.9620779060979</v>
      </c>
    </row>
    <row r="224" spans="2:39" ht="15">
      <c r="B224" s="6">
        <v>209</v>
      </c>
      <c r="C224" s="6">
        <f t="shared" ca="1" si="27"/>
        <v>0.25055615294015254</v>
      </c>
      <c r="D224" s="8">
        <f t="shared" ca="1" si="28"/>
        <v>5365.451871359779</v>
      </c>
      <c r="S224" s="6">
        <v>209</v>
      </c>
      <c r="T224" s="6">
        <f t="shared" ca="1" si="29"/>
        <v>0.51229387413054406</v>
      </c>
      <c r="U224">
        <f t="shared" ca="1" si="29"/>
        <v>9.1170398854174217E-2</v>
      </c>
      <c r="V224" s="8">
        <f t="shared" ca="1" si="30"/>
        <v>17.584445089287527</v>
      </c>
      <c r="AK224" s="6">
        <v>209</v>
      </c>
      <c r="AL224" s="6">
        <f t="shared" ca="1" si="31"/>
        <v>0.5812135150001394</v>
      </c>
      <c r="AM224" s="8">
        <f t="shared" ca="1" si="26"/>
        <v>2984.5040166860399</v>
      </c>
    </row>
    <row r="225" spans="2:39" ht="15">
      <c r="B225" s="6">
        <v>210</v>
      </c>
      <c r="C225" s="6">
        <f t="shared" ca="1" si="27"/>
        <v>0.19652559718332352</v>
      </c>
      <c r="D225" s="8">
        <f t="shared" ca="1" si="28"/>
        <v>5329.1805813534429</v>
      </c>
      <c r="S225" s="6">
        <v>210</v>
      </c>
      <c r="T225" s="6">
        <f t="shared" ca="1" si="29"/>
        <v>0.29280139624262636</v>
      </c>
      <c r="U225">
        <f t="shared" ca="1" si="29"/>
        <v>0.35670340944555345</v>
      </c>
      <c r="V225" s="8">
        <f t="shared" ca="1" si="30"/>
        <v>15.222027814593787</v>
      </c>
      <c r="AK225" s="6">
        <v>210</v>
      </c>
      <c r="AL225" s="6">
        <f t="shared" ca="1" si="31"/>
        <v>0.4673306039206504</v>
      </c>
      <c r="AM225" s="8">
        <f t="shared" ca="1" si="26"/>
        <v>4183.9508725894229</v>
      </c>
    </row>
    <row r="226" spans="2:39" ht="15">
      <c r="B226" s="6">
        <v>211</v>
      </c>
      <c r="C226" s="6">
        <f t="shared" ca="1" si="27"/>
        <v>0.38274467189838546</v>
      </c>
      <c r="D226" s="8">
        <f t="shared" ca="1" si="28"/>
        <v>5440.3439675534401</v>
      </c>
      <c r="S226" s="6">
        <v>211</v>
      </c>
      <c r="T226" s="6">
        <f t="shared" ca="1" si="29"/>
        <v>0.41695330207104009</v>
      </c>
      <c r="U226">
        <f t="shared" ca="1" si="29"/>
        <v>0.22561971305946704</v>
      </c>
      <c r="V226" s="8">
        <f t="shared" ca="1" si="30"/>
        <v>16.200044521865305</v>
      </c>
      <c r="AK226" s="6">
        <v>211</v>
      </c>
      <c r="AL226" s="6">
        <f t="shared" ca="1" si="31"/>
        <v>0.95023438225361101</v>
      </c>
      <c r="AM226" s="8">
        <f t="shared" ca="1" si="26"/>
        <v>280.75633660676476</v>
      </c>
    </row>
    <row r="227" spans="2:39" ht="15">
      <c r="B227" s="6">
        <v>212</v>
      </c>
      <c r="C227" s="6">
        <f t="shared" ca="1" si="27"/>
        <v>0.63851434127394457</v>
      </c>
      <c r="D227" s="8">
        <f t="shared" ca="1" si="28"/>
        <v>5570.8981012986542</v>
      </c>
      <c r="S227" s="6">
        <v>212</v>
      </c>
      <c r="T227" s="6">
        <f t="shared" ca="1" si="29"/>
        <v>0.22562766868844153</v>
      </c>
      <c r="U227">
        <f t="shared" ca="1" si="29"/>
        <v>5.6638075573999913E-2</v>
      </c>
      <c r="V227" s="8">
        <f t="shared" ca="1" si="30"/>
        <v>18.096099572788535</v>
      </c>
      <c r="AK227" s="6">
        <v>212</v>
      </c>
      <c r="AL227" s="6">
        <f t="shared" ca="1" si="31"/>
        <v>0.78515404533254884</v>
      </c>
      <c r="AM227" s="8">
        <f t="shared" ca="1" si="26"/>
        <v>1330.3143939750123</v>
      </c>
    </row>
    <row r="228" spans="2:39" ht="15">
      <c r="B228" s="6">
        <v>213</v>
      </c>
      <c r="C228" s="6">
        <f t="shared" ca="1" si="27"/>
        <v>0.2471423762629793</v>
      </c>
      <c r="D228" s="8">
        <f t="shared" ca="1" si="28"/>
        <v>5363.2980377012564</v>
      </c>
      <c r="S228" s="6">
        <v>213</v>
      </c>
      <c r="T228" s="6">
        <f t="shared" ca="1" si="29"/>
        <v>0.21004131533704151</v>
      </c>
      <c r="U228">
        <f t="shared" ca="1" si="29"/>
        <v>0.92335806506344753</v>
      </c>
      <c r="V228" s="8">
        <f t="shared" ca="1" si="30"/>
        <v>12.312678219037489</v>
      </c>
      <c r="AK228" s="6">
        <v>213</v>
      </c>
      <c r="AL228" s="6">
        <f t="shared" ca="1" si="31"/>
        <v>0.87881504656097387</v>
      </c>
      <c r="AM228" s="8">
        <f t="shared" ca="1" si="26"/>
        <v>710.49449298148159</v>
      </c>
    </row>
    <row r="229" spans="2:39" ht="15">
      <c r="B229" s="6">
        <v>214</v>
      </c>
      <c r="C229" s="6">
        <f t="shared" ca="1" si="27"/>
        <v>0.29542763121662019</v>
      </c>
      <c r="D229" s="8">
        <f t="shared" ca="1" si="28"/>
        <v>5392.4805885923051</v>
      </c>
      <c r="S229" s="6">
        <v>214</v>
      </c>
      <c r="T229" s="6">
        <f t="shared" ca="1" si="29"/>
        <v>0.40122045257775119</v>
      </c>
      <c r="U229">
        <f t="shared" ca="1" si="29"/>
        <v>2.2058228075808817E-2</v>
      </c>
      <c r="V229" s="8">
        <f t="shared" ca="1" si="30"/>
        <v>18.811838985300493</v>
      </c>
      <c r="AK229" s="6">
        <v>214</v>
      </c>
      <c r="AL229" s="6">
        <f t="shared" ca="1" si="31"/>
        <v>3.056075902442168E-2</v>
      </c>
      <c r="AM229" s="8">
        <f t="shared" ca="1" si="26"/>
        <v>19184.21162793125</v>
      </c>
    </row>
    <row r="230" spans="2:39" ht="15">
      <c r="B230" s="6">
        <v>215</v>
      </c>
      <c r="C230" s="6">
        <f t="shared" ca="1" si="27"/>
        <v>0.70628130365217823</v>
      </c>
      <c r="D230" s="8">
        <f t="shared" ca="1" si="28"/>
        <v>5608.510662147768</v>
      </c>
      <c r="S230" s="6">
        <v>215</v>
      </c>
      <c r="T230" s="6">
        <f t="shared" ca="1" si="29"/>
        <v>0.37376202523898205</v>
      </c>
      <c r="U230">
        <f t="shared" ca="1" si="29"/>
        <v>0.99895189256259309</v>
      </c>
      <c r="V230" s="8">
        <f t="shared" ca="1" si="30"/>
        <v>12.004193528854895</v>
      </c>
      <c r="AK230" s="6">
        <v>215</v>
      </c>
      <c r="AL230" s="6">
        <f t="shared" ca="1" si="31"/>
        <v>0.15804321944906796</v>
      </c>
      <c r="AM230" s="8">
        <f t="shared" ca="1" si="26"/>
        <v>10146.877083990639</v>
      </c>
    </row>
    <row r="231" spans="2:39" ht="15">
      <c r="B231" s="6">
        <v>216</v>
      </c>
      <c r="C231" s="6">
        <f t="shared" ca="1" si="27"/>
        <v>0.54362703695548431</v>
      </c>
      <c r="D231" s="8">
        <f t="shared" ca="1" si="28"/>
        <v>5521.9151291792632</v>
      </c>
      <c r="S231" s="6">
        <v>216</v>
      </c>
      <c r="T231" s="6">
        <f t="shared" ca="1" si="29"/>
        <v>0.85007929126824988</v>
      </c>
      <c r="U231">
        <f t="shared" ca="1" si="29"/>
        <v>0.56165103797675164</v>
      </c>
      <c r="V231" s="8">
        <f t="shared" ca="1" si="30"/>
        <v>14.00452950716025</v>
      </c>
      <c r="AK231" s="6">
        <v>216</v>
      </c>
      <c r="AL231" s="6">
        <f t="shared" ca="1" si="31"/>
        <v>0.86579417020353611</v>
      </c>
      <c r="AM231" s="8">
        <f t="shared" ca="1" si="26"/>
        <v>792.59442580216626</v>
      </c>
    </row>
    <row r="232" spans="2:39" ht="15">
      <c r="B232" s="6">
        <v>217</v>
      </c>
      <c r="C232" s="6">
        <f t="shared" ca="1" si="27"/>
        <v>0.64243435811010607</v>
      </c>
      <c r="D232" s="8">
        <f t="shared" ca="1" si="28"/>
        <v>5572.9946742624115</v>
      </c>
      <c r="S232" s="6">
        <v>217</v>
      </c>
      <c r="T232" s="6">
        <f t="shared" ca="1" si="29"/>
        <v>0.51635377882521949</v>
      </c>
      <c r="U232">
        <f t="shared" ca="1" si="29"/>
        <v>0.86960110076526964</v>
      </c>
      <c r="V232" s="8">
        <f t="shared" ca="1" si="30"/>
        <v>12.539807613139105</v>
      </c>
      <c r="AK232" s="6">
        <v>217</v>
      </c>
      <c r="AL232" s="6">
        <f t="shared" ca="1" si="31"/>
        <v>3.0959329040633032E-2</v>
      </c>
      <c r="AM232" s="8">
        <f t="shared" ca="1" si="26"/>
        <v>19112.944962702946</v>
      </c>
    </row>
    <row r="233" spans="2:39" ht="15">
      <c r="B233" s="6">
        <v>218</v>
      </c>
      <c r="C233" s="6">
        <f t="shared" ca="1" si="27"/>
        <v>0.20475069673763646</v>
      </c>
      <c r="D233" s="8">
        <f t="shared" ca="1" si="28"/>
        <v>5335.045722379039</v>
      </c>
      <c r="S233" s="6">
        <v>218</v>
      </c>
      <c r="T233" s="6">
        <f t="shared" ca="1" si="29"/>
        <v>0.30618494697405951</v>
      </c>
      <c r="U233">
        <f t="shared" ca="1" si="29"/>
        <v>0.67060482224245943</v>
      </c>
      <c r="V233" s="8">
        <f t="shared" ca="1" si="30"/>
        <v>13.448762817336149</v>
      </c>
      <c r="AK233" s="6">
        <v>218</v>
      </c>
      <c r="AL233" s="6">
        <f t="shared" ca="1" si="31"/>
        <v>0.93901634748216534</v>
      </c>
      <c r="AM233" s="8">
        <f t="shared" ca="1" si="26"/>
        <v>346.07314756433107</v>
      </c>
    </row>
    <row r="234" spans="2:39" ht="15">
      <c r="B234" s="6">
        <v>219</v>
      </c>
      <c r="C234" s="6">
        <f t="shared" ca="1" si="27"/>
        <v>0.1257939747708765</v>
      </c>
      <c r="D234" s="8">
        <f t="shared" ca="1" si="28"/>
        <v>5270.6998173365237</v>
      </c>
      <c r="S234" s="6">
        <v>219</v>
      </c>
      <c r="T234" s="6">
        <f t="shared" ca="1" si="29"/>
        <v>0.35534817185625667</v>
      </c>
      <c r="U234">
        <f t="shared" ca="1" si="29"/>
        <v>0.99112086962706336</v>
      </c>
      <c r="V234" s="8">
        <f t="shared" ca="1" si="30"/>
        <v>12.035595712413134</v>
      </c>
      <c r="AK234" s="6">
        <v>219</v>
      </c>
      <c r="AL234" s="6">
        <f t="shared" ca="1" si="31"/>
        <v>2.777738977866373E-2</v>
      </c>
      <c r="AM234" s="8">
        <f t="shared" ca="1" si="26"/>
        <v>19709.430985869727</v>
      </c>
    </row>
    <row r="235" spans="2:39" ht="15">
      <c r="B235" s="6">
        <v>220</v>
      </c>
      <c r="C235" s="6">
        <f t="shared" ca="1" si="27"/>
        <v>0.23658356887587295</v>
      </c>
      <c r="D235" s="8">
        <f t="shared" ca="1" si="28"/>
        <v>5356.5329097669182</v>
      </c>
      <c r="S235" s="6">
        <v>220</v>
      </c>
      <c r="T235" s="6">
        <f t="shared" ca="1" si="29"/>
        <v>0.26587219424886388</v>
      </c>
      <c r="U235">
        <f t="shared" ca="1" si="29"/>
        <v>0.36257425580323699</v>
      </c>
      <c r="V235" s="8">
        <f t="shared" ca="1" si="30"/>
        <v>15.182868865039362</v>
      </c>
      <c r="AK235" s="6">
        <v>220</v>
      </c>
      <c r="AL235" s="6">
        <f t="shared" ca="1" si="31"/>
        <v>0.62244252453555704</v>
      </c>
      <c r="AM235" s="8">
        <f t="shared" ca="1" si="26"/>
        <v>2607.5719173312555</v>
      </c>
    </row>
    <row r="236" spans="2:39" ht="15">
      <c r="B236" s="6">
        <v>221</v>
      </c>
      <c r="C236" s="6">
        <f t="shared" ca="1" si="27"/>
        <v>0.17859573692424346</v>
      </c>
      <c r="D236" s="8">
        <f t="shared" ca="1" si="28"/>
        <v>5315.8540247075407</v>
      </c>
      <c r="S236" s="6">
        <v>221</v>
      </c>
      <c r="T236" s="6">
        <f t="shared" ca="1" si="29"/>
        <v>0.89651943220884245</v>
      </c>
      <c r="U236">
        <f t="shared" ca="1" si="29"/>
        <v>0.79058337294192427</v>
      </c>
      <c r="V236" s="8">
        <f t="shared" ca="1" si="30"/>
        <v>12.88681956729037</v>
      </c>
      <c r="AK236" s="6">
        <v>221</v>
      </c>
      <c r="AL236" s="6">
        <f t="shared" ca="1" si="31"/>
        <v>0.3086252712089298</v>
      </c>
      <c r="AM236" s="8">
        <f t="shared" ca="1" si="26"/>
        <v>6465.950989035533</v>
      </c>
    </row>
    <row r="237" spans="2:39" ht="15">
      <c r="B237" s="6">
        <v>222</v>
      </c>
      <c r="C237" s="6">
        <f t="shared" ca="1" si="27"/>
        <v>0.19020439968134639</v>
      </c>
      <c r="D237" s="8">
        <f t="shared" ca="1" si="28"/>
        <v>5324.5713366397495</v>
      </c>
      <c r="S237" s="6">
        <v>222</v>
      </c>
      <c r="T237" s="6">
        <f t="shared" ca="1" si="29"/>
        <v>0.24009702382306386</v>
      </c>
      <c r="U237">
        <f t="shared" ca="1" si="29"/>
        <v>0.48071468169292331</v>
      </c>
      <c r="V237" s="8">
        <f t="shared" ca="1" si="30"/>
        <v>14.453312733861129</v>
      </c>
      <c r="AK237" s="6">
        <v>222</v>
      </c>
      <c r="AL237" s="6">
        <f t="shared" ca="1" si="31"/>
        <v>0.32774953802378393</v>
      </c>
      <c r="AM237" s="8">
        <f t="shared" ca="1" si="26"/>
        <v>6135.2806123275586</v>
      </c>
    </row>
    <row r="238" spans="2:39" ht="15">
      <c r="B238" s="6">
        <v>223</v>
      </c>
      <c r="C238" s="6">
        <f t="shared" ca="1" si="27"/>
        <v>0.42972472278444518</v>
      </c>
      <c r="D238" s="8">
        <f t="shared" ca="1" si="28"/>
        <v>5464.5849915619319</v>
      </c>
      <c r="S238" s="6">
        <v>223</v>
      </c>
      <c r="T238" s="6">
        <f t="shared" ca="1" si="29"/>
        <v>0.34403493952482933</v>
      </c>
      <c r="U238">
        <f t="shared" ca="1" si="29"/>
        <v>0.76194584662910847</v>
      </c>
      <c r="V238" s="8">
        <f t="shared" ca="1" si="30"/>
        <v>13.016839241127057</v>
      </c>
      <c r="AK238" s="6">
        <v>223</v>
      </c>
      <c r="AL238" s="6">
        <f t="shared" ca="1" si="31"/>
        <v>9.3451099268160309E-3</v>
      </c>
      <c r="AM238" s="8">
        <f t="shared" ca="1" si="26"/>
        <v>25700.961412360364</v>
      </c>
    </row>
    <row r="239" spans="2:39" ht="15">
      <c r="B239" s="6">
        <v>224</v>
      </c>
      <c r="C239" s="6">
        <f t="shared" ca="1" si="27"/>
        <v>0.89302593819510512</v>
      </c>
      <c r="D239" s="8">
        <f t="shared" ca="1" si="28"/>
        <v>5748.5564291035553</v>
      </c>
      <c r="S239" s="6">
        <v>224</v>
      </c>
      <c r="T239" s="6">
        <f t="shared" ca="1" si="29"/>
        <v>0.92235917116282817</v>
      </c>
      <c r="U239">
        <f t="shared" ca="1" si="29"/>
        <v>0.50518776642938934</v>
      </c>
      <c r="V239" s="8">
        <f t="shared" ca="1" si="30"/>
        <v>14.313875040813743</v>
      </c>
      <c r="AK239" s="6">
        <v>224</v>
      </c>
      <c r="AL239" s="6">
        <f t="shared" ca="1" si="31"/>
        <v>0.17899783536581504</v>
      </c>
      <c r="AM239" s="8">
        <f t="shared" ca="1" si="26"/>
        <v>9462.0986137860036</v>
      </c>
    </row>
    <row r="240" spans="2:39" ht="15">
      <c r="B240" s="6">
        <v>225</v>
      </c>
      <c r="C240" s="6">
        <f t="shared" ca="1" si="27"/>
        <v>0.65722234461084539</v>
      </c>
      <c r="D240" s="8">
        <f t="shared" ca="1" si="28"/>
        <v>5580.9788321442311</v>
      </c>
      <c r="S240" s="6">
        <v>225</v>
      </c>
      <c r="T240" s="6">
        <f t="shared" ca="1" si="29"/>
        <v>0.98671167602232968</v>
      </c>
      <c r="U240">
        <f t="shared" ca="1" si="29"/>
        <v>0.52036137659889647</v>
      </c>
      <c r="V240" s="8">
        <f t="shared" ca="1" si="30"/>
        <v>14.229113750702638</v>
      </c>
      <c r="AK240" s="6">
        <v>225</v>
      </c>
      <c r="AL240" s="6">
        <f t="shared" ca="1" si="31"/>
        <v>0.23769531529027554</v>
      </c>
      <c r="AM240" s="8">
        <f t="shared" ca="1" si="26"/>
        <v>7902.2108731893322</v>
      </c>
    </row>
    <row r="241" spans="2:39" ht="15">
      <c r="B241" s="6">
        <v>226</v>
      </c>
      <c r="C241" s="6">
        <f t="shared" ca="1" si="27"/>
        <v>3.6594087738991088E-2</v>
      </c>
      <c r="D241" s="8">
        <f t="shared" ca="1" si="28"/>
        <v>5141.6689106802505</v>
      </c>
      <c r="S241" s="6">
        <v>226</v>
      </c>
      <c r="T241" s="6">
        <f t="shared" ref="T241:U265" ca="1" si="32">RAND()</f>
        <v>0.40216790247206757</v>
      </c>
      <c r="U241">
        <f t="shared" ca="1" si="32"/>
        <v>0.26800380130800328</v>
      </c>
      <c r="V241" s="8">
        <f t="shared" ca="1" si="30"/>
        <v>15.858473314861751</v>
      </c>
      <c r="AK241" s="6">
        <v>226</v>
      </c>
      <c r="AL241" s="6">
        <f t="shared" ca="1" si="31"/>
        <v>0.90458466155180073</v>
      </c>
      <c r="AM241" s="8">
        <f t="shared" ca="1" si="26"/>
        <v>551.5365797594693</v>
      </c>
    </row>
    <row r="242" spans="2:39" ht="15">
      <c r="B242" s="6">
        <v>227</v>
      </c>
      <c r="C242" s="6">
        <f t="shared" ca="1" si="27"/>
        <v>0.59836849152572913</v>
      </c>
      <c r="D242" s="8">
        <f t="shared" ca="1" si="28"/>
        <v>5549.8252779089371</v>
      </c>
      <c r="S242" s="6">
        <v>227</v>
      </c>
      <c r="T242" s="6">
        <f t="shared" ca="1" si="32"/>
        <v>0.30573967264747248</v>
      </c>
      <c r="U242">
        <f t="shared" ca="1" si="32"/>
        <v>0.60891948608481972</v>
      </c>
      <c r="V242" s="8">
        <f t="shared" ca="1" si="30"/>
        <v>13.757336537228003</v>
      </c>
      <c r="AK242" s="6">
        <v>227</v>
      </c>
      <c r="AL242" s="6">
        <f t="shared" ca="1" si="31"/>
        <v>0.90767965252740723</v>
      </c>
      <c r="AM242" s="8">
        <f t="shared" ca="1" si="26"/>
        <v>532.75072519862931</v>
      </c>
    </row>
    <row r="243" spans="2:39" ht="15">
      <c r="B243" s="6">
        <v>228</v>
      </c>
      <c r="C243" s="6">
        <f t="shared" ca="1" si="27"/>
        <v>0.25934970777372346</v>
      </c>
      <c r="D243" s="8">
        <f t="shared" ca="1" si="28"/>
        <v>5370.9296968657272</v>
      </c>
      <c r="S243" s="6">
        <v>228</v>
      </c>
      <c r="T243" s="6">
        <f t="shared" ca="1" si="32"/>
        <v>0.38009239296514796</v>
      </c>
      <c r="U243">
        <f t="shared" ca="1" si="32"/>
        <v>0.72456279929587497</v>
      </c>
      <c r="V243" s="8">
        <f t="shared" ca="1" si="30"/>
        <v>13.190299628108738</v>
      </c>
      <c r="AK243" s="6">
        <v>228</v>
      </c>
      <c r="AL243" s="6">
        <f t="shared" ca="1" si="31"/>
        <v>0.12867089697590695</v>
      </c>
      <c r="AM243" s="8">
        <f t="shared" ca="1" si="26"/>
        <v>11277.735263711384</v>
      </c>
    </row>
    <row r="244" spans="2:39" ht="15">
      <c r="B244" s="6">
        <v>229</v>
      </c>
      <c r="C244" s="6">
        <f t="shared" ca="1" si="27"/>
        <v>0.86065512968334046</v>
      </c>
      <c r="D244" s="8">
        <f t="shared" ca="1" si="28"/>
        <v>5716.6534846040304</v>
      </c>
      <c r="S244" s="6">
        <v>229</v>
      </c>
      <c r="T244" s="6">
        <f t="shared" ca="1" si="32"/>
        <v>0.3038381363878655</v>
      </c>
      <c r="U244">
        <f t="shared" ca="1" si="32"/>
        <v>0.1456723027151865</v>
      </c>
      <c r="V244" s="8">
        <f t="shared" ca="1" si="30"/>
        <v>16.94663671113771</v>
      </c>
      <c r="AK244" s="6">
        <v>229</v>
      </c>
      <c r="AL244" s="6">
        <f t="shared" ca="1" si="31"/>
        <v>0.56963961129127927</v>
      </c>
      <c r="AM244" s="8">
        <f t="shared" ref="AM244:AM265" ca="1" si="33">-$AL$10*LN(AL244)</f>
        <v>3095.1325845398273</v>
      </c>
    </row>
    <row r="245" spans="2:39" ht="15">
      <c r="B245" s="6">
        <v>230</v>
      </c>
      <c r="C245" s="6">
        <f t="shared" ca="1" si="27"/>
        <v>0.64967792012150638</v>
      </c>
      <c r="D245" s="8">
        <f t="shared" ca="1" si="28"/>
        <v>5576.8902126986413</v>
      </c>
      <c r="S245" s="6">
        <v>230</v>
      </c>
      <c r="T245" s="6">
        <f t="shared" ca="1" si="32"/>
        <v>0.34308172067421272</v>
      </c>
      <c r="U245">
        <f t="shared" ca="1" si="32"/>
        <v>0.65556665877620379</v>
      </c>
      <c r="V245" s="8">
        <f t="shared" ca="1" si="30"/>
        <v>13.522634319287119</v>
      </c>
      <c r="AK245" s="6">
        <v>230</v>
      </c>
      <c r="AL245" s="6">
        <f t="shared" ca="1" si="31"/>
        <v>0.96426169140250839</v>
      </c>
      <c r="AM245" s="8">
        <f t="shared" ca="1" si="33"/>
        <v>200.15906405451133</v>
      </c>
    </row>
    <row r="246" spans="2:39" ht="15">
      <c r="B246" s="6">
        <v>231</v>
      </c>
      <c r="C246" s="6">
        <f t="shared" ca="1" si="27"/>
        <v>0.39287672323343492</v>
      </c>
      <c r="D246" s="8">
        <f t="shared" ca="1" si="28"/>
        <v>5445.6341845808911</v>
      </c>
      <c r="S246" s="6">
        <v>231</v>
      </c>
      <c r="T246" s="6">
        <f t="shared" ca="1" si="32"/>
        <v>0.87581514362716439</v>
      </c>
      <c r="U246">
        <f t="shared" ca="1" si="32"/>
        <v>0.53921248741354721</v>
      </c>
      <c r="V246" s="8">
        <f t="shared" ca="1" si="30"/>
        <v>14.125512856898313</v>
      </c>
      <c r="AK246" s="6">
        <v>231</v>
      </c>
      <c r="AL246" s="6">
        <f t="shared" ca="1" si="31"/>
        <v>0.20301865383302942</v>
      </c>
      <c r="AM246" s="8">
        <f t="shared" ca="1" si="33"/>
        <v>8769.5157734742279</v>
      </c>
    </row>
    <row r="247" spans="2:39" ht="15">
      <c r="B247" s="6">
        <v>232</v>
      </c>
      <c r="C247" s="6">
        <f t="shared" ca="1" si="27"/>
        <v>0.37455910333796616</v>
      </c>
      <c r="D247" s="8">
        <f t="shared" ca="1" si="28"/>
        <v>5436.0395407156657</v>
      </c>
      <c r="S247" s="6">
        <v>232</v>
      </c>
      <c r="T247" s="6">
        <f t="shared" ca="1" si="32"/>
        <v>0.28320598028309574</v>
      </c>
      <c r="U247">
        <f t="shared" ca="1" si="32"/>
        <v>0.18225119259158029</v>
      </c>
      <c r="V247" s="8">
        <f t="shared" ca="1" si="30"/>
        <v>16.584728952797285</v>
      </c>
      <c r="AK247" s="6">
        <v>232</v>
      </c>
      <c r="AL247" s="6">
        <f t="shared" ca="1" si="31"/>
        <v>0.67439809147841778</v>
      </c>
      <c r="AM247" s="8">
        <f t="shared" ca="1" si="33"/>
        <v>2166.6408623936572</v>
      </c>
    </row>
    <row r="248" spans="2:39" ht="15">
      <c r="B248" s="6">
        <v>233</v>
      </c>
      <c r="C248" s="6">
        <f t="shared" ca="1" si="27"/>
        <v>0.95307368419447247</v>
      </c>
      <c r="D248" s="8">
        <f t="shared" ca="1" si="28"/>
        <v>5835.0832080637038</v>
      </c>
      <c r="S248" s="6">
        <v>233</v>
      </c>
      <c r="T248" s="6">
        <f t="shared" ca="1" si="32"/>
        <v>0.47359460711686108</v>
      </c>
      <c r="U248">
        <f t="shared" ca="1" si="32"/>
        <v>0.83026800515681143</v>
      </c>
      <c r="V248" s="8">
        <f t="shared" ca="1" si="30"/>
        <v>12.710476536148887</v>
      </c>
      <c r="AK248" s="6">
        <v>233</v>
      </c>
      <c r="AL248" s="6">
        <f t="shared" ca="1" si="31"/>
        <v>3.7720665837405298E-2</v>
      </c>
      <c r="AM248" s="8">
        <f t="shared" ca="1" si="33"/>
        <v>18026.509430971539</v>
      </c>
    </row>
    <row r="249" spans="2:39" ht="15">
      <c r="B249" s="6">
        <v>234</v>
      </c>
      <c r="C249" s="6">
        <f t="shared" ca="1" si="27"/>
        <v>0.95532401758444441</v>
      </c>
      <c r="D249" s="8">
        <f t="shared" ca="1" si="28"/>
        <v>5839.7652088914465</v>
      </c>
      <c r="S249" s="6">
        <v>234</v>
      </c>
      <c r="T249" s="6">
        <f t="shared" ca="1" si="32"/>
        <v>0.66006864717844127</v>
      </c>
      <c r="U249">
        <f t="shared" ca="1" si="32"/>
        <v>0.39048083174571613</v>
      </c>
      <c r="V249" s="8">
        <f t="shared" ca="1" si="30"/>
        <v>15.000922761976383</v>
      </c>
      <c r="AK249" s="6">
        <v>234</v>
      </c>
      <c r="AL249" s="6">
        <f t="shared" ca="1" si="31"/>
        <v>0.88806251143913351</v>
      </c>
      <c r="AM249" s="8">
        <f t="shared" ca="1" si="33"/>
        <v>652.92228486563408</v>
      </c>
    </row>
    <row r="250" spans="2:39" ht="15">
      <c r="B250" s="6">
        <v>235</v>
      </c>
      <c r="C250" s="6">
        <f t="shared" ca="1" si="27"/>
        <v>0.46874047543473474</v>
      </c>
      <c r="D250" s="8">
        <f t="shared" ca="1" si="28"/>
        <v>5484.3127278380944</v>
      </c>
      <c r="S250" s="6">
        <v>235</v>
      </c>
      <c r="T250" s="6">
        <f t="shared" ca="1" si="32"/>
        <v>0.50890923567899371</v>
      </c>
      <c r="U250">
        <f t="shared" ca="1" si="32"/>
        <v>0.34396393131466951</v>
      </c>
      <c r="V250" s="8">
        <f t="shared" ca="1" si="30"/>
        <v>15.308124937283726</v>
      </c>
      <c r="AK250" s="6">
        <v>235</v>
      </c>
      <c r="AL250" s="6">
        <f t="shared" ca="1" si="31"/>
        <v>0.12238052090215057</v>
      </c>
      <c r="AM250" s="8">
        <f t="shared" ca="1" si="33"/>
        <v>11553.410354886299</v>
      </c>
    </row>
    <row r="251" spans="2:39" ht="15">
      <c r="B251" s="6">
        <v>236</v>
      </c>
      <c r="C251" s="6">
        <f t="shared" ca="1" si="27"/>
        <v>0.78643662920923574</v>
      </c>
      <c r="D251" s="8">
        <f t="shared" ca="1" si="28"/>
        <v>5658.823599334828</v>
      </c>
      <c r="S251" s="6">
        <v>236</v>
      </c>
      <c r="T251" s="6">
        <f t="shared" ca="1" si="32"/>
        <v>0.85284930898680911</v>
      </c>
      <c r="U251">
        <f t="shared" ca="1" si="32"/>
        <v>0.4043629888968322</v>
      </c>
      <c r="V251" s="8">
        <f t="shared" ca="1" si="30"/>
        <v>14.912836616600833</v>
      </c>
      <c r="AK251" s="6">
        <v>236</v>
      </c>
      <c r="AL251" s="6">
        <f t="shared" ca="1" si="31"/>
        <v>0.62690038985603724</v>
      </c>
      <c r="AM251" s="8">
        <f t="shared" ca="1" si="33"/>
        <v>2568.3219035279335</v>
      </c>
    </row>
    <row r="252" spans="2:39" ht="15">
      <c r="B252" s="6">
        <v>237</v>
      </c>
      <c r="C252" s="6">
        <f t="shared" ca="1" si="27"/>
        <v>0.39793837435579149</v>
      </c>
      <c r="D252" s="8">
        <f t="shared" ca="1" si="28"/>
        <v>5448.2625994773161</v>
      </c>
      <c r="S252" s="6">
        <v>237</v>
      </c>
      <c r="T252" s="6">
        <f t="shared" ca="1" si="32"/>
        <v>0.96493897235723913</v>
      </c>
      <c r="U252">
        <f t="shared" ca="1" si="32"/>
        <v>0.40178016002595973</v>
      </c>
      <c r="V252" s="8">
        <f t="shared" ca="1" si="30"/>
        <v>14.929109521823467</v>
      </c>
      <c r="AK252" s="6">
        <v>237</v>
      </c>
      <c r="AL252" s="6">
        <f t="shared" ca="1" si="31"/>
        <v>0.97140128275078952</v>
      </c>
      <c r="AM252" s="8">
        <f t="shared" ca="1" si="33"/>
        <v>159.585957045745</v>
      </c>
    </row>
    <row r="253" spans="2:39" ht="15">
      <c r="B253" s="6">
        <v>238</v>
      </c>
      <c r="C253" s="6">
        <f t="shared" ca="1" si="27"/>
        <v>3.2395859077007816E-2</v>
      </c>
      <c r="D253" s="8">
        <f t="shared" ca="1" si="28"/>
        <v>5130.6614984154776</v>
      </c>
      <c r="S253" s="6">
        <v>238</v>
      </c>
      <c r="T253" s="6">
        <f t="shared" ca="1" si="32"/>
        <v>0.26642547897442348</v>
      </c>
      <c r="U253">
        <f t="shared" ca="1" si="32"/>
        <v>0.56502529771465049</v>
      </c>
      <c r="V253" s="8">
        <f t="shared" ca="1" si="30"/>
        <v>13.986546827841956</v>
      </c>
      <c r="AK253" s="6">
        <v>238</v>
      </c>
      <c r="AL253" s="6">
        <f t="shared" ca="1" si="31"/>
        <v>0.26280470576140857</v>
      </c>
      <c r="AM253" s="8">
        <f t="shared" ca="1" si="33"/>
        <v>7349.8924745738223</v>
      </c>
    </row>
    <row r="254" spans="2:39" ht="15">
      <c r="B254" s="6">
        <v>239</v>
      </c>
      <c r="C254" s="6">
        <f t="shared" ca="1" si="27"/>
        <v>0.76315922205507192</v>
      </c>
      <c r="D254" s="8">
        <f t="shared" ca="1" si="28"/>
        <v>5643.3003601817445</v>
      </c>
      <c r="S254" s="6">
        <v>239</v>
      </c>
      <c r="T254" s="6">
        <f t="shared" ca="1" si="32"/>
        <v>0.95717611048017326</v>
      </c>
      <c r="U254">
        <f t="shared" ca="1" si="32"/>
        <v>0.75263086101433285</v>
      </c>
      <c r="V254" s="8">
        <f t="shared" ca="1" si="30"/>
        <v>13.059655980794806</v>
      </c>
      <c r="AK254" s="6">
        <v>239</v>
      </c>
      <c r="AL254" s="6">
        <f t="shared" ca="1" si="31"/>
        <v>0.5617546865796893</v>
      </c>
      <c r="AM254" s="8">
        <f t="shared" ca="1" si="33"/>
        <v>3171.7951382178212</v>
      </c>
    </row>
    <row r="255" spans="2:39" ht="15">
      <c r="B255" s="6">
        <v>240</v>
      </c>
      <c r="C255" s="6">
        <f t="shared" ca="1" si="27"/>
        <v>0.84633671831031498</v>
      </c>
      <c r="D255" s="8">
        <f t="shared" ca="1" si="28"/>
        <v>5704.1695558963038</v>
      </c>
      <c r="S255" s="6">
        <v>240</v>
      </c>
      <c r="T255" s="6">
        <f t="shared" ca="1" si="32"/>
        <v>0.1000118414821668</v>
      </c>
      <c r="U255">
        <f t="shared" ca="1" si="32"/>
        <v>0.49875015366916164</v>
      </c>
      <c r="V255" s="8">
        <f t="shared" ca="1" si="30"/>
        <v>11.412444906775711</v>
      </c>
      <c r="AK255" s="6">
        <v>240</v>
      </c>
      <c r="AL255" s="6">
        <f t="shared" ca="1" si="31"/>
        <v>0.55062751896125539</v>
      </c>
      <c r="AM255" s="8">
        <f t="shared" ca="1" si="33"/>
        <v>3281.8318916413796</v>
      </c>
    </row>
    <row r="256" spans="2:39" ht="15">
      <c r="B256" s="6">
        <v>241</v>
      </c>
      <c r="C256" s="6">
        <f t="shared" ca="1" si="27"/>
        <v>0.14772368468758423</v>
      </c>
      <c r="D256" s="8">
        <f t="shared" ca="1" si="28"/>
        <v>5290.7507564555908</v>
      </c>
      <c r="S256" s="6">
        <v>241</v>
      </c>
      <c r="T256" s="6">
        <f t="shared" ca="1" si="32"/>
        <v>0.53617646710893729</v>
      </c>
      <c r="U256">
        <f t="shared" ca="1" si="32"/>
        <v>0.57611497684764135</v>
      </c>
      <c r="V256" s="8">
        <f t="shared" ca="1" si="30"/>
        <v>13.927820941519506</v>
      </c>
      <c r="AK256" s="6">
        <v>241</v>
      </c>
      <c r="AL256" s="6">
        <f t="shared" ca="1" si="31"/>
        <v>0.21762270404502959</v>
      </c>
      <c r="AM256" s="8">
        <f t="shared" ca="1" si="33"/>
        <v>8387.4583705054702</v>
      </c>
    </row>
    <row r="257" spans="2:39" ht="15">
      <c r="B257" s="6">
        <v>242</v>
      </c>
      <c r="C257" s="6">
        <f t="shared" ca="1" si="27"/>
        <v>0.33484000457841467</v>
      </c>
      <c r="D257" s="8">
        <f t="shared" ca="1" si="28"/>
        <v>5414.6825563657203</v>
      </c>
      <c r="S257" s="6">
        <v>242</v>
      </c>
      <c r="T257" s="6">
        <f t="shared" ca="1" si="32"/>
        <v>0.41480266169611402</v>
      </c>
      <c r="U257">
        <f t="shared" ca="1" si="32"/>
        <v>0.48700589713350217</v>
      </c>
      <c r="V257" s="8">
        <f t="shared" ca="1" si="30"/>
        <v>14.417135375405907</v>
      </c>
      <c r="AK257" s="6">
        <v>242</v>
      </c>
      <c r="AL257" s="6">
        <f t="shared" ca="1" si="31"/>
        <v>0.1686920257938106</v>
      </c>
      <c r="AM257" s="8">
        <f t="shared" ca="1" si="33"/>
        <v>9788.2430750945714</v>
      </c>
    </row>
    <row r="258" spans="2:39" ht="15">
      <c r="B258" s="6">
        <v>243</v>
      </c>
      <c r="C258" s="6">
        <f t="shared" ca="1" si="27"/>
        <v>4.8683595183914408E-2</v>
      </c>
      <c r="D258" s="8">
        <f t="shared" ca="1" si="28"/>
        <v>5168.4492603205308</v>
      </c>
      <c r="S258" s="6">
        <v>243</v>
      </c>
      <c r="T258" s="6">
        <f t="shared" ca="1" si="32"/>
        <v>0.32838944539897352</v>
      </c>
      <c r="U258">
        <f t="shared" ca="1" si="32"/>
        <v>0.15241942862728564</v>
      </c>
      <c r="V258" s="8">
        <f t="shared" ca="1" si="30"/>
        <v>16.876725527247679</v>
      </c>
      <c r="AK258" s="6">
        <v>243</v>
      </c>
      <c r="AL258" s="6">
        <f t="shared" ca="1" si="31"/>
        <v>6.5548623395793815E-2</v>
      </c>
      <c r="AM258" s="8">
        <f t="shared" ca="1" si="33"/>
        <v>14987.296884009411</v>
      </c>
    </row>
    <row r="259" spans="2:39" ht="15">
      <c r="B259" s="6">
        <v>244</v>
      </c>
      <c r="C259" s="6">
        <f t="shared" ca="1" si="27"/>
        <v>0.3192722489227261</v>
      </c>
      <c r="D259" s="8">
        <f t="shared" ca="1" si="28"/>
        <v>5406.05303892554</v>
      </c>
      <c r="S259" s="6">
        <v>244</v>
      </c>
      <c r="T259" s="6">
        <f t="shared" ca="1" si="32"/>
        <v>0.31066896880634842</v>
      </c>
      <c r="U259">
        <f t="shared" ca="1" si="32"/>
        <v>0.73494929617790727</v>
      </c>
      <c r="V259" s="8">
        <f t="shared" ca="1" si="30"/>
        <v>13.1416652928436</v>
      </c>
      <c r="AK259" s="6">
        <v>244</v>
      </c>
      <c r="AL259" s="6">
        <f t="shared" ca="1" si="31"/>
        <v>0.45193153299188493</v>
      </c>
      <c r="AM259" s="8">
        <f t="shared" ca="1" si="33"/>
        <v>4368.2352246784685</v>
      </c>
    </row>
    <row r="260" spans="2:39" ht="15">
      <c r="B260" s="6">
        <v>245</v>
      </c>
      <c r="C260" s="6">
        <f t="shared" ca="1" si="27"/>
        <v>0.86456081553967512</v>
      </c>
      <c r="D260" s="8">
        <f t="shared" ca="1" si="28"/>
        <v>5720.2084042313581</v>
      </c>
      <c r="S260" s="6">
        <v>245</v>
      </c>
      <c r="T260" s="6">
        <f t="shared" ca="1" si="32"/>
        <v>0.77110002685126944</v>
      </c>
      <c r="U260">
        <f t="shared" ca="1" si="32"/>
        <v>0.10648480360263779</v>
      </c>
      <c r="V260" s="8">
        <f t="shared" ca="1" si="30"/>
        <v>17.389439249783905</v>
      </c>
      <c r="AK260" s="6">
        <v>245</v>
      </c>
      <c r="AL260" s="6">
        <f t="shared" ca="1" si="31"/>
        <v>0.15976765393039105</v>
      </c>
      <c r="AM260" s="8">
        <f t="shared" ca="1" si="33"/>
        <v>10087.190751516102</v>
      </c>
    </row>
    <row r="261" spans="2:39" ht="15">
      <c r="B261" s="6">
        <v>246</v>
      </c>
      <c r="C261" s="6">
        <f t="shared" ca="1" si="27"/>
        <v>0.29649933185200361</v>
      </c>
      <c r="D261" s="8">
        <f t="shared" ca="1" si="28"/>
        <v>5393.1008715736498</v>
      </c>
      <c r="S261" s="6">
        <v>246</v>
      </c>
      <c r="T261" s="6">
        <f t="shared" ca="1" si="32"/>
        <v>0.78414352179895608</v>
      </c>
      <c r="U261">
        <f t="shared" ca="1" si="32"/>
        <v>0.86458037667271959</v>
      </c>
      <c r="V261" s="8">
        <f t="shared" ca="1" si="30"/>
        <v>12.561374851018902</v>
      </c>
      <c r="AK261" s="6">
        <v>246</v>
      </c>
      <c r="AL261" s="6">
        <f t="shared" ca="1" si="31"/>
        <v>0.51482790029768788</v>
      </c>
      <c r="AM261" s="8">
        <f t="shared" ca="1" si="33"/>
        <v>3651.574345904547</v>
      </c>
    </row>
    <row r="262" spans="2:39" ht="15">
      <c r="B262" s="6">
        <v>247</v>
      </c>
      <c r="C262" s="6">
        <f t="shared" ca="1" si="27"/>
        <v>0.69804236587851276</v>
      </c>
      <c r="D262" s="8">
        <f t="shared" ca="1" si="28"/>
        <v>5603.7556840243669</v>
      </c>
      <c r="S262" s="6">
        <v>247</v>
      </c>
      <c r="T262" s="6">
        <f t="shared" ca="1" si="32"/>
        <v>0.86688156881842193</v>
      </c>
      <c r="U262">
        <f t="shared" ca="1" si="32"/>
        <v>0.48546337152968189</v>
      </c>
      <c r="V262" s="8">
        <f t="shared" ca="1" si="30"/>
        <v>14.425983873552244</v>
      </c>
      <c r="AK262" s="6">
        <v>247</v>
      </c>
      <c r="AL262" s="6">
        <f t="shared" ca="1" si="31"/>
        <v>3.6631506591792595E-2</v>
      </c>
      <c r="AM262" s="8">
        <f t="shared" ca="1" si="33"/>
        <v>18187.656151720887</v>
      </c>
    </row>
    <row r="263" spans="2:39" ht="15">
      <c r="B263" s="6">
        <v>248</v>
      </c>
      <c r="C263" s="6">
        <f t="shared" ca="1" si="27"/>
        <v>0.16266719271745023</v>
      </c>
      <c r="D263" s="8">
        <f t="shared" ca="1" si="28"/>
        <v>5303.2890102934989</v>
      </c>
      <c r="S263" s="6">
        <v>248</v>
      </c>
      <c r="T263" s="6">
        <f t="shared" ca="1" si="32"/>
        <v>0.32706587915014329</v>
      </c>
      <c r="U263">
        <f t="shared" ca="1" si="32"/>
        <v>0.72040829234510573</v>
      </c>
      <c r="V263" s="8">
        <f t="shared" ca="1" si="30"/>
        <v>13.209850464821354</v>
      </c>
      <c r="AK263" s="6">
        <v>248</v>
      </c>
      <c r="AL263" s="6">
        <f t="shared" ca="1" si="31"/>
        <v>2.7595017076977757E-2</v>
      </c>
      <c r="AM263" s="8">
        <f t="shared" ca="1" si="33"/>
        <v>19745.66034786222</v>
      </c>
    </row>
    <row r="264" spans="2:39" ht="15">
      <c r="B264" s="6">
        <v>249</v>
      </c>
      <c r="C264" s="6">
        <f t="shared" ca="1" si="27"/>
        <v>0.7298367292496023</v>
      </c>
      <c r="D264" s="8">
        <f t="shared" ca="1" si="28"/>
        <v>5622.4638543528708</v>
      </c>
      <c r="S264" s="6">
        <v>249</v>
      </c>
      <c r="T264" s="6">
        <f t="shared" ca="1" si="32"/>
        <v>0.26581558630979707</v>
      </c>
      <c r="U264">
        <f t="shared" ca="1" si="32"/>
        <v>0.55198131923717897</v>
      </c>
      <c r="V264" s="8">
        <f t="shared" ca="1" si="30"/>
        <v>14.056364375974965</v>
      </c>
      <c r="AK264" s="6">
        <v>249</v>
      </c>
      <c r="AL264" s="6">
        <f t="shared" ca="1" si="31"/>
        <v>0.70215223254729853</v>
      </c>
      <c r="AM264" s="8">
        <f t="shared" ca="1" si="33"/>
        <v>1944.8277364207706</v>
      </c>
    </row>
    <row r="265" spans="2:39" ht="15">
      <c r="B265" s="6">
        <v>250</v>
      </c>
      <c r="C265" s="6">
        <f t="shared" ca="1" si="27"/>
        <v>8.249083908889232E-3</v>
      </c>
      <c r="D265" s="8">
        <f t="shared" ca="1" si="28"/>
        <v>5020.4590957384726</v>
      </c>
      <c r="S265" s="6">
        <v>250</v>
      </c>
      <c r="T265" s="6">
        <f t="shared" ca="1" si="32"/>
        <v>0.98897408493880912</v>
      </c>
      <c r="U265">
        <f t="shared" ca="1" si="32"/>
        <v>0.87693454969708007</v>
      </c>
      <c r="V265" s="8">
        <f t="shared" ca="1" si="30"/>
        <v>12.508417311367836</v>
      </c>
      <c r="AK265" s="6">
        <v>250</v>
      </c>
      <c r="AL265" s="6">
        <f t="shared" ca="1" si="31"/>
        <v>0.44734930273579365</v>
      </c>
      <c r="AM265" s="8">
        <f t="shared" ca="1" si="33"/>
        <v>4424.2855340447804</v>
      </c>
    </row>
  </sheetData>
  <mergeCells count="2">
    <mergeCell ref="S1:Z1"/>
    <mergeCell ref="AK1:AR1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Solved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2026-04-22T11:04:40Z</dcterms:created>
  <dcterms:modified xsi:type="dcterms:W3CDTF">2026-04-22T11:04:47Z</dcterms:modified>
</cp:coreProperties>
</file>