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filterPrivacy="1" defaultThemeVersion="124226"/>
  <xr:revisionPtr revIDLastSave="0" documentId="13_ncr:1_{5DEAD98F-1049-488A-B7B9-26517B301412}" xr6:coauthVersionLast="47" xr6:coauthVersionMax="47" xr10:uidLastSave="{00000000-0000-0000-0000-000000000000}"/>
  <bookViews>
    <workbookView xWindow="-108" yWindow="-108" windowWidth="23256" windowHeight="12456" tabRatio="598" xr2:uid="{00000000-000D-0000-FFFF-FFFF00000000}"/>
  </bookViews>
  <sheets>
    <sheet name="Solved examples" sheetId="8" r:id="rId1"/>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17" i="8" l="1"/>
  <c r="AA18" i="8"/>
  <c r="AA19" i="8"/>
  <c r="AA20" i="8"/>
  <c r="AA21" i="8"/>
  <c r="AA22" i="8"/>
  <c r="AA23" i="8"/>
  <c r="AA24" i="8"/>
  <c r="AA25" i="8"/>
  <c r="AA26" i="8"/>
  <c r="AA16" i="8"/>
  <c r="U17" i="8"/>
  <c r="U18" i="8"/>
  <c r="U19" i="8"/>
  <c r="U20" i="8"/>
  <c r="U21" i="8"/>
  <c r="U22" i="8"/>
  <c r="U23" i="8"/>
  <c r="U24" i="8"/>
  <c r="U25" i="8"/>
  <c r="U26" i="8"/>
  <c r="U27" i="8"/>
  <c r="U28" i="8"/>
  <c r="U29" i="8"/>
  <c r="U30" i="8"/>
  <c r="U31" i="8"/>
  <c r="U32" i="8"/>
  <c r="U33" i="8"/>
  <c r="U34" i="8"/>
  <c r="U35" i="8"/>
  <c r="U36" i="8"/>
  <c r="U37" i="8"/>
  <c r="U38" i="8"/>
  <c r="U39" i="8"/>
  <c r="U40" i="8"/>
  <c r="U41" i="8"/>
  <c r="U42" i="8"/>
  <c r="U43" i="8"/>
  <c r="U44" i="8"/>
  <c r="U45" i="8"/>
  <c r="U46" i="8"/>
  <c r="U47" i="8"/>
  <c r="U48" i="8"/>
  <c r="U49" i="8"/>
  <c r="U50" i="8"/>
  <c r="U51" i="8"/>
  <c r="U52" i="8"/>
  <c r="U53" i="8"/>
  <c r="U54" i="8"/>
  <c r="U55" i="8"/>
  <c r="U56" i="8"/>
  <c r="U57" i="8"/>
  <c r="U58" i="8"/>
  <c r="U59" i="8"/>
  <c r="U60" i="8"/>
  <c r="U61" i="8"/>
  <c r="U62" i="8"/>
  <c r="U63" i="8"/>
  <c r="U64" i="8"/>
  <c r="U65" i="8"/>
  <c r="U66" i="8"/>
  <c r="U67" i="8"/>
  <c r="U68" i="8"/>
  <c r="U69" i="8"/>
  <c r="U70" i="8"/>
  <c r="U71" i="8"/>
  <c r="U72" i="8"/>
  <c r="U73" i="8"/>
  <c r="U74" i="8"/>
  <c r="U75" i="8"/>
  <c r="U76" i="8"/>
  <c r="U77" i="8"/>
  <c r="U78" i="8"/>
  <c r="U79" i="8"/>
  <c r="U80" i="8"/>
  <c r="U81" i="8"/>
  <c r="U82" i="8"/>
  <c r="U83" i="8"/>
  <c r="U84" i="8"/>
  <c r="U85" i="8"/>
  <c r="U86" i="8"/>
  <c r="U87" i="8"/>
  <c r="U88" i="8"/>
  <c r="U89" i="8"/>
  <c r="U90" i="8"/>
  <c r="U91" i="8"/>
  <c r="U92" i="8"/>
  <c r="U93" i="8"/>
  <c r="U94" i="8"/>
  <c r="U95" i="8"/>
  <c r="U96" i="8"/>
  <c r="U97" i="8"/>
  <c r="U98" i="8"/>
  <c r="U99" i="8"/>
  <c r="U100" i="8"/>
  <c r="U101" i="8"/>
  <c r="U102" i="8"/>
  <c r="U103" i="8"/>
  <c r="U104" i="8"/>
  <c r="U105" i="8"/>
  <c r="U106" i="8"/>
  <c r="U107" i="8"/>
  <c r="U108" i="8"/>
  <c r="U109" i="8"/>
  <c r="U110" i="8"/>
  <c r="U111" i="8"/>
  <c r="U112" i="8"/>
  <c r="U113" i="8"/>
  <c r="U114" i="8"/>
  <c r="U115" i="8"/>
  <c r="U116" i="8"/>
  <c r="U117" i="8"/>
  <c r="U118" i="8"/>
  <c r="U119" i="8"/>
  <c r="U120" i="8"/>
  <c r="U121" i="8"/>
  <c r="U122" i="8"/>
  <c r="U123" i="8"/>
  <c r="U124" i="8"/>
  <c r="U125" i="8"/>
  <c r="U126" i="8"/>
  <c r="U127" i="8"/>
  <c r="U128" i="8"/>
  <c r="U129" i="8"/>
  <c r="U130" i="8"/>
  <c r="U131" i="8"/>
  <c r="U132" i="8"/>
  <c r="U133" i="8"/>
  <c r="U134" i="8"/>
  <c r="U135" i="8"/>
  <c r="U136" i="8"/>
  <c r="U137" i="8"/>
  <c r="U138" i="8"/>
  <c r="U139" i="8"/>
  <c r="U140" i="8"/>
  <c r="U141" i="8"/>
  <c r="U142" i="8"/>
  <c r="U143" i="8"/>
  <c r="U144" i="8"/>
  <c r="U145" i="8"/>
  <c r="U146" i="8"/>
  <c r="U147" i="8"/>
  <c r="U148" i="8"/>
  <c r="U149" i="8"/>
  <c r="U150" i="8"/>
  <c r="U151" i="8"/>
  <c r="U152" i="8"/>
  <c r="U153" i="8"/>
  <c r="U154" i="8"/>
  <c r="U155" i="8"/>
  <c r="U156" i="8"/>
  <c r="U157" i="8"/>
  <c r="U158" i="8"/>
  <c r="U159" i="8"/>
  <c r="U160" i="8"/>
  <c r="U161" i="8"/>
  <c r="U162" i="8"/>
  <c r="U163" i="8"/>
  <c r="U164" i="8"/>
  <c r="U165" i="8"/>
  <c r="U166" i="8"/>
  <c r="U167" i="8"/>
  <c r="U168" i="8"/>
  <c r="U169" i="8"/>
  <c r="U170" i="8"/>
  <c r="U171" i="8"/>
  <c r="U172" i="8"/>
  <c r="U173" i="8"/>
  <c r="U174" i="8"/>
  <c r="U175" i="8"/>
  <c r="U176" i="8"/>
  <c r="U177" i="8"/>
  <c r="U178" i="8"/>
  <c r="U179" i="8"/>
  <c r="U180" i="8"/>
  <c r="U181" i="8"/>
  <c r="U182" i="8"/>
  <c r="U183" i="8"/>
  <c r="U184" i="8"/>
  <c r="U185" i="8"/>
  <c r="U186" i="8"/>
  <c r="U187" i="8"/>
  <c r="U188" i="8"/>
  <c r="U189" i="8"/>
  <c r="U190" i="8"/>
  <c r="U191" i="8"/>
  <c r="U192" i="8"/>
  <c r="U193" i="8"/>
  <c r="U194" i="8"/>
  <c r="U195" i="8"/>
  <c r="U196" i="8"/>
  <c r="U197" i="8"/>
  <c r="U198" i="8"/>
  <c r="U199" i="8"/>
  <c r="U200" i="8"/>
  <c r="U201" i="8"/>
  <c r="U202" i="8"/>
  <c r="U203" i="8"/>
  <c r="U204" i="8"/>
  <c r="U205" i="8"/>
  <c r="U206" i="8"/>
  <c r="U207" i="8"/>
  <c r="U208" i="8"/>
  <c r="U209" i="8"/>
  <c r="U210" i="8"/>
  <c r="U211" i="8"/>
  <c r="U212" i="8"/>
  <c r="U213" i="8"/>
  <c r="U214" i="8"/>
  <c r="U215" i="8"/>
  <c r="U216" i="8"/>
  <c r="U217" i="8"/>
  <c r="U218" i="8"/>
  <c r="U219" i="8"/>
  <c r="U220" i="8"/>
  <c r="U221" i="8"/>
  <c r="U222" i="8"/>
  <c r="U223" i="8"/>
  <c r="U224" i="8"/>
  <c r="U225" i="8"/>
  <c r="U226" i="8"/>
  <c r="U227" i="8"/>
  <c r="U228" i="8"/>
  <c r="U229" i="8"/>
  <c r="U230" i="8"/>
  <c r="U231" i="8"/>
  <c r="U232" i="8"/>
  <c r="U233" i="8"/>
  <c r="U234" i="8"/>
  <c r="U235" i="8"/>
  <c r="U236" i="8"/>
  <c r="U237" i="8"/>
  <c r="U238" i="8"/>
  <c r="U239" i="8"/>
  <c r="U240" i="8"/>
  <c r="U241" i="8"/>
  <c r="U242" i="8"/>
  <c r="U243" i="8"/>
  <c r="U244" i="8"/>
  <c r="U245" i="8"/>
  <c r="U246" i="8"/>
  <c r="U247" i="8"/>
  <c r="U248" i="8"/>
  <c r="U249" i="8"/>
  <c r="U250" i="8"/>
  <c r="U251" i="8"/>
  <c r="U252" i="8"/>
  <c r="U253" i="8"/>
  <c r="U254" i="8"/>
  <c r="U255" i="8"/>
  <c r="U256" i="8"/>
  <c r="U257" i="8"/>
  <c r="U258" i="8"/>
  <c r="U259" i="8"/>
  <c r="U260" i="8"/>
  <c r="U261" i="8"/>
  <c r="U262" i="8"/>
  <c r="U263" i="8"/>
  <c r="U264" i="8"/>
  <c r="U265" i="8"/>
  <c r="U16" i="8"/>
  <c r="V17" i="8"/>
  <c r="V18" i="8"/>
  <c r="V19" i="8"/>
  <c r="V20" i="8"/>
  <c r="V21" i="8"/>
  <c r="V22" i="8"/>
  <c r="V23" i="8"/>
  <c r="V24" i="8"/>
  <c r="V25" i="8"/>
  <c r="V26" i="8"/>
  <c r="V27" i="8"/>
  <c r="V28" i="8"/>
  <c r="V29" i="8"/>
  <c r="V30" i="8"/>
  <c r="V31" i="8"/>
  <c r="V32" i="8"/>
  <c r="V33" i="8"/>
  <c r="V34" i="8"/>
  <c r="V35" i="8"/>
  <c r="V36" i="8"/>
  <c r="V37" i="8"/>
  <c r="V38" i="8"/>
  <c r="V39" i="8"/>
  <c r="V40" i="8"/>
  <c r="V41" i="8"/>
  <c r="V42" i="8"/>
  <c r="V43" i="8"/>
  <c r="V44" i="8"/>
  <c r="V45" i="8"/>
  <c r="V46" i="8"/>
  <c r="V47" i="8"/>
  <c r="V48" i="8"/>
  <c r="V49" i="8"/>
  <c r="V50" i="8"/>
  <c r="V51" i="8"/>
  <c r="V52" i="8"/>
  <c r="V53" i="8"/>
  <c r="V54" i="8"/>
  <c r="V55" i="8"/>
  <c r="V56" i="8"/>
  <c r="V57" i="8"/>
  <c r="V58" i="8"/>
  <c r="V59" i="8"/>
  <c r="V60" i="8"/>
  <c r="V61" i="8"/>
  <c r="V62" i="8"/>
  <c r="V63" i="8"/>
  <c r="V64" i="8"/>
  <c r="V65" i="8"/>
  <c r="V66" i="8"/>
  <c r="V67" i="8"/>
  <c r="V68" i="8"/>
  <c r="V69" i="8"/>
  <c r="V70" i="8"/>
  <c r="V71" i="8"/>
  <c r="V72" i="8"/>
  <c r="V73" i="8"/>
  <c r="V74" i="8"/>
  <c r="V75" i="8"/>
  <c r="V76" i="8"/>
  <c r="V77" i="8"/>
  <c r="V78" i="8"/>
  <c r="V79" i="8"/>
  <c r="V80" i="8"/>
  <c r="V81" i="8"/>
  <c r="V82" i="8"/>
  <c r="V83" i="8"/>
  <c r="V84" i="8"/>
  <c r="V85" i="8"/>
  <c r="V86" i="8"/>
  <c r="V87" i="8"/>
  <c r="V88" i="8"/>
  <c r="V89" i="8"/>
  <c r="V90" i="8"/>
  <c r="V91" i="8"/>
  <c r="V92" i="8"/>
  <c r="V93" i="8"/>
  <c r="V94" i="8"/>
  <c r="V95" i="8"/>
  <c r="V96" i="8"/>
  <c r="V97" i="8"/>
  <c r="V98" i="8"/>
  <c r="V99" i="8"/>
  <c r="V100" i="8"/>
  <c r="V101" i="8"/>
  <c r="V102" i="8"/>
  <c r="V103" i="8"/>
  <c r="V104" i="8"/>
  <c r="V105" i="8"/>
  <c r="V106" i="8"/>
  <c r="V107" i="8"/>
  <c r="V108" i="8"/>
  <c r="V109" i="8"/>
  <c r="V110" i="8"/>
  <c r="V111" i="8"/>
  <c r="V112" i="8"/>
  <c r="V113" i="8"/>
  <c r="V114" i="8"/>
  <c r="V115" i="8"/>
  <c r="V116" i="8"/>
  <c r="V117" i="8"/>
  <c r="V118" i="8"/>
  <c r="V119" i="8"/>
  <c r="V120" i="8"/>
  <c r="V121" i="8"/>
  <c r="V122" i="8"/>
  <c r="V123" i="8"/>
  <c r="V124" i="8"/>
  <c r="V125" i="8"/>
  <c r="V126" i="8"/>
  <c r="V127" i="8"/>
  <c r="V128" i="8"/>
  <c r="V129" i="8"/>
  <c r="V130" i="8"/>
  <c r="V131" i="8"/>
  <c r="V132" i="8"/>
  <c r="V133" i="8"/>
  <c r="V134" i="8"/>
  <c r="V135" i="8"/>
  <c r="V136" i="8"/>
  <c r="V137" i="8"/>
  <c r="V138" i="8"/>
  <c r="V139" i="8"/>
  <c r="V140" i="8"/>
  <c r="V141" i="8"/>
  <c r="V142" i="8"/>
  <c r="V143" i="8"/>
  <c r="V144" i="8"/>
  <c r="V145" i="8"/>
  <c r="V146" i="8"/>
  <c r="V147" i="8"/>
  <c r="V148" i="8"/>
  <c r="V149" i="8"/>
  <c r="V150" i="8"/>
  <c r="V151" i="8"/>
  <c r="V152" i="8"/>
  <c r="V153" i="8"/>
  <c r="V154" i="8"/>
  <c r="V155" i="8"/>
  <c r="V156" i="8"/>
  <c r="V157" i="8"/>
  <c r="V158" i="8"/>
  <c r="V159" i="8"/>
  <c r="V160" i="8"/>
  <c r="V161" i="8"/>
  <c r="V162" i="8"/>
  <c r="V163" i="8"/>
  <c r="V164" i="8"/>
  <c r="V165" i="8"/>
  <c r="V166" i="8"/>
  <c r="V167" i="8"/>
  <c r="V168" i="8"/>
  <c r="V169" i="8"/>
  <c r="V170" i="8"/>
  <c r="V171" i="8"/>
  <c r="V172" i="8"/>
  <c r="V173" i="8"/>
  <c r="V174" i="8"/>
  <c r="V175" i="8"/>
  <c r="V176" i="8"/>
  <c r="V177" i="8"/>
  <c r="V178" i="8"/>
  <c r="V179" i="8"/>
  <c r="V180" i="8"/>
  <c r="V181" i="8"/>
  <c r="V182" i="8"/>
  <c r="V183" i="8"/>
  <c r="V184" i="8"/>
  <c r="V185" i="8"/>
  <c r="V186" i="8"/>
  <c r="V187" i="8"/>
  <c r="V188" i="8"/>
  <c r="V189" i="8"/>
  <c r="V190" i="8"/>
  <c r="V191" i="8"/>
  <c r="V192" i="8"/>
  <c r="V193" i="8"/>
  <c r="V194" i="8"/>
  <c r="V195" i="8"/>
  <c r="V196" i="8"/>
  <c r="V197" i="8"/>
  <c r="V198" i="8"/>
  <c r="V199" i="8"/>
  <c r="V200" i="8"/>
  <c r="V201" i="8"/>
  <c r="V202" i="8"/>
  <c r="V203" i="8"/>
  <c r="V204" i="8"/>
  <c r="V205" i="8"/>
  <c r="V206" i="8"/>
  <c r="V207" i="8"/>
  <c r="V208" i="8"/>
  <c r="V209" i="8"/>
  <c r="V210" i="8"/>
  <c r="V211" i="8"/>
  <c r="V212" i="8"/>
  <c r="V213" i="8"/>
  <c r="V214" i="8"/>
  <c r="V215" i="8"/>
  <c r="V216" i="8"/>
  <c r="V217" i="8"/>
  <c r="V218" i="8"/>
  <c r="V219" i="8"/>
  <c r="V220" i="8"/>
  <c r="V221" i="8"/>
  <c r="V222" i="8"/>
  <c r="V223" i="8"/>
  <c r="V224" i="8"/>
  <c r="V225" i="8"/>
  <c r="V226" i="8"/>
  <c r="V227" i="8"/>
  <c r="V228" i="8"/>
  <c r="V229" i="8"/>
  <c r="V230" i="8"/>
  <c r="V231" i="8"/>
  <c r="V232" i="8"/>
  <c r="V233" i="8"/>
  <c r="V234" i="8"/>
  <c r="V235" i="8"/>
  <c r="V236" i="8"/>
  <c r="V237" i="8"/>
  <c r="V238" i="8"/>
  <c r="V239" i="8"/>
  <c r="V240" i="8"/>
  <c r="V241" i="8"/>
  <c r="V242" i="8"/>
  <c r="V243" i="8"/>
  <c r="V244" i="8"/>
  <c r="V245" i="8"/>
  <c r="V246" i="8"/>
  <c r="V247" i="8"/>
  <c r="V248" i="8"/>
  <c r="V249" i="8"/>
  <c r="V250" i="8"/>
  <c r="V251" i="8"/>
  <c r="V252" i="8"/>
  <c r="V253" i="8"/>
  <c r="V254" i="8"/>
  <c r="V255" i="8"/>
  <c r="V256" i="8"/>
  <c r="V257" i="8"/>
  <c r="V258" i="8"/>
  <c r="V259" i="8"/>
  <c r="V260" i="8"/>
  <c r="V261" i="8"/>
  <c r="V262" i="8"/>
  <c r="V263" i="8"/>
  <c r="V264" i="8"/>
  <c r="V265" i="8"/>
  <c r="V16" i="8"/>
  <c r="H17" i="8"/>
  <c r="H18" i="8"/>
  <c r="H19" i="8"/>
  <c r="H20" i="8"/>
  <c r="H21" i="8"/>
  <c r="H22" i="8"/>
  <c r="H23" i="8"/>
  <c r="H24" i="8"/>
  <c r="H25" i="8"/>
  <c r="H26" i="8"/>
  <c r="H27" i="8"/>
  <c r="H16" i="8"/>
  <c r="B17" i="8"/>
  <c r="C17" i="8" s="1"/>
  <c r="B18" i="8"/>
  <c r="C18" i="8" s="1"/>
  <c r="B19" i="8"/>
  <c r="C19" i="8" s="1"/>
  <c r="B20" i="8"/>
  <c r="C20" i="8" s="1"/>
  <c r="B21" i="8"/>
  <c r="C21" i="8" s="1"/>
  <c r="B22" i="8"/>
  <c r="C22" i="8" s="1"/>
  <c r="B23" i="8"/>
  <c r="C23" i="8" s="1"/>
  <c r="B24" i="8"/>
  <c r="C24" i="8" s="1"/>
  <c r="B25" i="8"/>
  <c r="C25" i="8" s="1"/>
  <c r="B26" i="8"/>
  <c r="C26" i="8" s="1"/>
  <c r="B27" i="8"/>
  <c r="C27" i="8" s="1"/>
  <c r="B28" i="8"/>
  <c r="C28" i="8" s="1"/>
  <c r="B29" i="8"/>
  <c r="C29" i="8" s="1"/>
  <c r="B30" i="8"/>
  <c r="C30" i="8" s="1"/>
  <c r="B31" i="8"/>
  <c r="C31" i="8" s="1"/>
  <c r="B32" i="8"/>
  <c r="C32" i="8" s="1"/>
  <c r="B33" i="8"/>
  <c r="C33" i="8" s="1"/>
  <c r="B34" i="8"/>
  <c r="C34" i="8" s="1"/>
  <c r="B35" i="8"/>
  <c r="C35" i="8" s="1"/>
  <c r="B36" i="8"/>
  <c r="C36" i="8" s="1"/>
  <c r="B37" i="8"/>
  <c r="C37" i="8" s="1"/>
  <c r="B38" i="8"/>
  <c r="C38" i="8" s="1"/>
  <c r="B39" i="8"/>
  <c r="C39" i="8" s="1"/>
  <c r="B40" i="8"/>
  <c r="C40" i="8" s="1"/>
  <c r="B41" i="8"/>
  <c r="C41" i="8" s="1"/>
  <c r="B42" i="8"/>
  <c r="C42" i="8" s="1"/>
  <c r="B43" i="8"/>
  <c r="C43" i="8" s="1"/>
  <c r="B44" i="8"/>
  <c r="C44" i="8" s="1"/>
  <c r="B45" i="8"/>
  <c r="C45" i="8" s="1"/>
  <c r="B46" i="8"/>
  <c r="C46" i="8" s="1"/>
  <c r="B47" i="8"/>
  <c r="C47" i="8" s="1"/>
  <c r="B48" i="8"/>
  <c r="C48" i="8" s="1"/>
  <c r="B49" i="8"/>
  <c r="C49" i="8" s="1"/>
  <c r="B50" i="8"/>
  <c r="C50" i="8" s="1"/>
  <c r="B51" i="8"/>
  <c r="C51" i="8" s="1"/>
  <c r="B52" i="8"/>
  <c r="C52" i="8" s="1"/>
  <c r="B53" i="8"/>
  <c r="C53" i="8" s="1"/>
  <c r="B54" i="8"/>
  <c r="C54" i="8" s="1"/>
  <c r="B55" i="8"/>
  <c r="C55" i="8" s="1"/>
  <c r="B56" i="8"/>
  <c r="C56" i="8" s="1"/>
  <c r="B57" i="8"/>
  <c r="C57" i="8" s="1"/>
  <c r="B58" i="8"/>
  <c r="C58" i="8" s="1"/>
  <c r="B59" i="8"/>
  <c r="C59" i="8" s="1"/>
  <c r="B60" i="8"/>
  <c r="C60" i="8" s="1"/>
  <c r="B61" i="8"/>
  <c r="C61" i="8" s="1"/>
  <c r="B62" i="8"/>
  <c r="C62" i="8" s="1"/>
  <c r="B63" i="8"/>
  <c r="C63" i="8" s="1"/>
  <c r="B64" i="8"/>
  <c r="C64" i="8" s="1"/>
  <c r="B65" i="8"/>
  <c r="C65" i="8" s="1"/>
  <c r="B66" i="8"/>
  <c r="C66" i="8" s="1"/>
  <c r="B67" i="8"/>
  <c r="C67" i="8" s="1"/>
  <c r="B68" i="8"/>
  <c r="C68" i="8" s="1"/>
  <c r="B69" i="8"/>
  <c r="C69" i="8" s="1"/>
  <c r="B70" i="8"/>
  <c r="C70" i="8" s="1"/>
  <c r="B71" i="8"/>
  <c r="C71" i="8" s="1"/>
  <c r="B72" i="8"/>
  <c r="C72" i="8" s="1"/>
  <c r="B73" i="8"/>
  <c r="C73" i="8" s="1"/>
  <c r="B74" i="8"/>
  <c r="C74" i="8" s="1"/>
  <c r="B75" i="8"/>
  <c r="C75" i="8" s="1"/>
  <c r="B76" i="8"/>
  <c r="C76" i="8" s="1"/>
  <c r="B77" i="8"/>
  <c r="C77" i="8" s="1"/>
  <c r="B78" i="8"/>
  <c r="C78" i="8" s="1"/>
  <c r="B79" i="8"/>
  <c r="C79" i="8" s="1"/>
  <c r="B80" i="8"/>
  <c r="C80" i="8" s="1"/>
  <c r="B81" i="8"/>
  <c r="C81" i="8" s="1"/>
  <c r="B82" i="8"/>
  <c r="C82" i="8" s="1"/>
  <c r="B83" i="8"/>
  <c r="C83" i="8" s="1"/>
  <c r="B84" i="8"/>
  <c r="C84" i="8" s="1"/>
  <c r="B85" i="8"/>
  <c r="C85" i="8" s="1"/>
  <c r="B86" i="8"/>
  <c r="C86" i="8" s="1"/>
  <c r="B87" i="8"/>
  <c r="C87" i="8" s="1"/>
  <c r="B88" i="8"/>
  <c r="C88" i="8" s="1"/>
  <c r="B89" i="8"/>
  <c r="C89" i="8" s="1"/>
  <c r="B90" i="8"/>
  <c r="C90" i="8" s="1"/>
  <c r="B91" i="8"/>
  <c r="C91" i="8" s="1"/>
  <c r="B92" i="8"/>
  <c r="C92" i="8" s="1"/>
  <c r="B93" i="8"/>
  <c r="C93" i="8" s="1"/>
  <c r="B94" i="8"/>
  <c r="C94" i="8" s="1"/>
  <c r="B95" i="8"/>
  <c r="C95" i="8" s="1"/>
  <c r="B96" i="8"/>
  <c r="C96" i="8" s="1"/>
  <c r="B97" i="8"/>
  <c r="C97" i="8" s="1"/>
  <c r="B98" i="8"/>
  <c r="C98" i="8" s="1"/>
  <c r="B99" i="8"/>
  <c r="C99" i="8" s="1"/>
  <c r="B100" i="8"/>
  <c r="C100" i="8" s="1"/>
  <c r="B101" i="8"/>
  <c r="C101" i="8" s="1"/>
  <c r="B102" i="8"/>
  <c r="C102" i="8" s="1"/>
  <c r="B103" i="8"/>
  <c r="C103" i="8" s="1"/>
  <c r="B104" i="8"/>
  <c r="C104" i="8" s="1"/>
  <c r="B105" i="8"/>
  <c r="C105" i="8" s="1"/>
  <c r="B106" i="8"/>
  <c r="C106" i="8" s="1"/>
  <c r="B107" i="8"/>
  <c r="C107" i="8" s="1"/>
  <c r="B108" i="8"/>
  <c r="C108" i="8" s="1"/>
  <c r="B109" i="8"/>
  <c r="C109" i="8" s="1"/>
  <c r="B110" i="8"/>
  <c r="C110" i="8" s="1"/>
  <c r="B111" i="8"/>
  <c r="C111" i="8" s="1"/>
  <c r="B112" i="8"/>
  <c r="C112" i="8" s="1"/>
  <c r="B113" i="8"/>
  <c r="C113" i="8" s="1"/>
  <c r="B114" i="8"/>
  <c r="C114" i="8" s="1"/>
  <c r="B115" i="8"/>
  <c r="C115" i="8" s="1"/>
  <c r="B116" i="8"/>
  <c r="C116" i="8" s="1"/>
  <c r="B117" i="8"/>
  <c r="C117" i="8" s="1"/>
  <c r="B118" i="8"/>
  <c r="C118" i="8" s="1"/>
  <c r="B119" i="8"/>
  <c r="C119" i="8" s="1"/>
  <c r="B120" i="8"/>
  <c r="C120" i="8" s="1"/>
  <c r="B121" i="8"/>
  <c r="C121" i="8" s="1"/>
  <c r="B122" i="8"/>
  <c r="C122" i="8" s="1"/>
  <c r="B123" i="8"/>
  <c r="C123" i="8" s="1"/>
  <c r="B124" i="8"/>
  <c r="C124" i="8" s="1"/>
  <c r="B125" i="8"/>
  <c r="C125" i="8" s="1"/>
  <c r="B126" i="8"/>
  <c r="C126" i="8" s="1"/>
  <c r="B127" i="8"/>
  <c r="C127" i="8" s="1"/>
  <c r="B128" i="8"/>
  <c r="C128" i="8" s="1"/>
  <c r="B129" i="8"/>
  <c r="C129" i="8" s="1"/>
  <c r="B130" i="8"/>
  <c r="C130" i="8" s="1"/>
  <c r="B131" i="8"/>
  <c r="C131" i="8" s="1"/>
  <c r="B132" i="8"/>
  <c r="C132" i="8" s="1"/>
  <c r="B133" i="8"/>
  <c r="C133" i="8" s="1"/>
  <c r="B134" i="8"/>
  <c r="C134" i="8" s="1"/>
  <c r="B135" i="8"/>
  <c r="C135" i="8" s="1"/>
  <c r="B136" i="8"/>
  <c r="C136" i="8" s="1"/>
  <c r="B137" i="8"/>
  <c r="C137" i="8" s="1"/>
  <c r="B138" i="8"/>
  <c r="C138" i="8" s="1"/>
  <c r="B139" i="8"/>
  <c r="C139" i="8" s="1"/>
  <c r="B140" i="8"/>
  <c r="C140" i="8" s="1"/>
  <c r="B141" i="8"/>
  <c r="C141" i="8" s="1"/>
  <c r="B142" i="8"/>
  <c r="C142" i="8" s="1"/>
  <c r="B143" i="8"/>
  <c r="C143" i="8" s="1"/>
  <c r="B144" i="8"/>
  <c r="C144" i="8" s="1"/>
  <c r="B145" i="8"/>
  <c r="C145" i="8" s="1"/>
  <c r="B146" i="8"/>
  <c r="C146" i="8" s="1"/>
  <c r="B147" i="8"/>
  <c r="C147" i="8" s="1"/>
  <c r="B148" i="8"/>
  <c r="C148" i="8" s="1"/>
  <c r="B149" i="8"/>
  <c r="C149" i="8" s="1"/>
  <c r="B150" i="8"/>
  <c r="C150" i="8" s="1"/>
  <c r="B151" i="8"/>
  <c r="C151" i="8" s="1"/>
  <c r="B152" i="8"/>
  <c r="C152" i="8" s="1"/>
  <c r="B153" i="8"/>
  <c r="C153" i="8" s="1"/>
  <c r="B154" i="8"/>
  <c r="C154" i="8" s="1"/>
  <c r="B155" i="8"/>
  <c r="C155" i="8" s="1"/>
  <c r="B156" i="8"/>
  <c r="C156" i="8" s="1"/>
  <c r="B157" i="8"/>
  <c r="C157" i="8" s="1"/>
  <c r="B158" i="8"/>
  <c r="C158" i="8" s="1"/>
  <c r="B159" i="8"/>
  <c r="C159" i="8" s="1"/>
  <c r="B160" i="8"/>
  <c r="C160" i="8" s="1"/>
  <c r="B161" i="8"/>
  <c r="C161" i="8" s="1"/>
  <c r="B162" i="8"/>
  <c r="C162" i="8" s="1"/>
  <c r="B163" i="8"/>
  <c r="C163" i="8" s="1"/>
  <c r="B164" i="8"/>
  <c r="C164" i="8" s="1"/>
  <c r="B165" i="8"/>
  <c r="C165" i="8" s="1"/>
  <c r="B166" i="8"/>
  <c r="C166" i="8" s="1"/>
  <c r="B167" i="8"/>
  <c r="C167" i="8" s="1"/>
  <c r="B168" i="8"/>
  <c r="C168" i="8" s="1"/>
  <c r="B169" i="8"/>
  <c r="C169" i="8" s="1"/>
  <c r="B170" i="8"/>
  <c r="C170" i="8" s="1"/>
  <c r="B171" i="8"/>
  <c r="C171" i="8" s="1"/>
  <c r="B172" i="8"/>
  <c r="C172" i="8" s="1"/>
  <c r="B173" i="8"/>
  <c r="C173" i="8" s="1"/>
  <c r="B174" i="8"/>
  <c r="C174" i="8" s="1"/>
  <c r="B175" i="8"/>
  <c r="C175" i="8" s="1"/>
  <c r="B176" i="8"/>
  <c r="C176" i="8" s="1"/>
  <c r="B177" i="8"/>
  <c r="C177" i="8" s="1"/>
  <c r="B178" i="8"/>
  <c r="C178" i="8" s="1"/>
  <c r="B179" i="8"/>
  <c r="C179" i="8" s="1"/>
  <c r="B180" i="8"/>
  <c r="C180" i="8" s="1"/>
  <c r="B181" i="8"/>
  <c r="C181" i="8" s="1"/>
  <c r="B182" i="8"/>
  <c r="C182" i="8" s="1"/>
  <c r="B183" i="8"/>
  <c r="C183" i="8" s="1"/>
  <c r="B184" i="8"/>
  <c r="C184" i="8" s="1"/>
  <c r="B185" i="8"/>
  <c r="C185" i="8" s="1"/>
  <c r="B186" i="8"/>
  <c r="C186" i="8" s="1"/>
  <c r="B187" i="8"/>
  <c r="C187" i="8" s="1"/>
  <c r="B188" i="8"/>
  <c r="C188" i="8" s="1"/>
  <c r="B189" i="8"/>
  <c r="C189" i="8" s="1"/>
  <c r="B190" i="8"/>
  <c r="C190" i="8" s="1"/>
  <c r="B191" i="8"/>
  <c r="C191" i="8" s="1"/>
  <c r="B192" i="8"/>
  <c r="C192" i="8" s="1"/>
  <c r="B193" i="8"/>
  <c r="C193" i="8" s="1"/>
  <c r="B194" i="8"/>
  <c r="C194" i="8" s="1"/>
  <c r="B195" i="8"/>
  <c r="C195" i="8" s="1"/>
  <c r="B196" i="8"/>
  <c r="C196" i="8" s="1"/>
  <c r="B197" i="8"/>
  <c r="C197" i="8" s="1"/>
  <c r="B198" i="8"/>
  <c r="C198" i="8" s="1"/>
  <c r="B199" i="8"/>
  <c r="C199" i="8" s="1"/>
  <c r="B200" i="8"/>
  <c r="C200" i="8" s="1"/>
  <c r="B201" i="8"/>
  <c r="C201" i="8" s="1"/>
  <c r="B202" i="8"/>
  <c r="C202" i="8" s="1"/>
  <c r="B203" i="8"/>
  <c r="C203" i="8" s="1"/>
  <c r="B204" i="8"/>
  <c r="C204" i="8" s="1"/>
  <c r="B205" i="8"/>
  <c r="C205" i="8" s="1"/>
  <c r="B206" i="8"/>
  <c r="C206" i="8" s="1"/>
  <c r="B207" i="8"/>
  <c r="C207" i="8" s="1"/>
  <c r="B208" i="8"/>
  <c r="C208" i="8" s="1"/>
  <c r="B209" i="8"/>
  <c r="C209" i="8" s="1"/>
  <c r="B210" i="8"/>
  <c r="C210" i="8" s="1"/>
  <c r="B211" i="8"/>
  <c r="C211" i="8" s="1"/>
  <c r="B212" i="8"/>
  <c r="C212" i="8" s="1"/>
  <c r="B213" i="8"/>
  <c r="C213" i="8" s="1"/>
  <c r="B214" i="8"/>
  <c r="C214" i="8" s="1"/>
  <c r="B215" i="8"/>
  <c r="C215" i="8" s="1"/>
  <c r="B216" i="8"/>
  <c r="C216" i="8" s="1"/>
  <c r="B217" i="8"/>
  <c r="C217" i="8" s="1"/>
  <c r="B218" i="8"/>
  <c r="C218" i="8" s="1"/>
  <c r="B219" i="8"/>
  <c r="C219" i="8" s="1"/>
  <c r="B220" i="8"/>
  <c r="C220" i="8" s="1"/>
  <c r="B221" i="8"/>
  <c r="C221" i="8" s="1"/>
  <c r="B222" i="8"/>
  <c r="C222" i="8" s="1"/>
  <c r="B223" i="8"/>
  <c r="C223" i="8" s="1"/>
  <c r="B224" i="8"/>
  <c r="C224" i="8" s="1"/>
  <c r="B225" i="8"/>
  <c r="C225" i="8" s="1"/>
  <c r="B226" i="8"/>
  <c r="C226" i="8" s="1"/>
  <c r="B227" i="8"/>
  <c r="C227" i="8" s="1"/>
  <c r="B228" i="8"/>
  <c r="C228" i="8" s="1"/>
  <c r="B229" i="8"/>
  <c r="C229" i="8" s="1"/>
  <c r="B230" i="8"/>
  <c r="C230" i="8" s="1"/>
  <c r="B231" i="8"/>
  <c r="C231" i="8" s="1"/>
  <c r="B232" i="8"/>
  <c r="C232" i="8" s="1"/>
  <c r="B233" i="8"/>
  <c r="C233" i="8" s="1"/>
  <c r="B234" i="8"/>
  <c r="C234" i="8" s="1"/>
  <c r="B235" i="8"/>
  <c r="C235" i="8" s="1"/>
  <c r="B236" i="8"/>
  <c r="C236" i="8" s="1"/>
  <c r="B237" i="8"/>
  <c r="C237" i="8" s="1"/>
  <c r="B238" i="8"/>
  <c r="C238" i="8" s="1"/>
  <c r="B239" i="8"/>
  <c r="C239" i="8" s="1"/>
  <c r="B240" i="8"/>
  <c r="C240" i="8" s="1"/>
  <c r="B241" i="8"/>
  <c r="C241" i="8" s="1"/>
  <c r="B242" i="8"/>
  <c r="C242" i="8" s="1"/>
  <c r="B243" i="8"/>
  <c r="C243" i="8" s="1"/>
  <c r="B244" i="8"/>
  <c r="C244" i="8" s="1"/>
  <c r="B245" i="8"/>
  <c r="C245" i="8" s="1"/>
  <c r="B246" i="8"/>
  <c r="C246" i="8" s="1"/>
  <c r="B247" i="8"/>
  <c r="C247" i="8" s="1"/>
  <c r="B248" i="8"/>
  <c r="C248" i="8" s="1"/>
  <c r="B249" i="8"/>
  <c r="C249" i="8" s="1"/>
  <c r="B250" i="8"/>
  <c r="C250" i="8" s="1"/>
  <c r="B251" i="8"/>
  <c r="C251" i="8" s="1"/>
  <c r="B252" i="8"/>
  <c r="C252" i="8" s="1"/>
  <c r="B253" i="8"/>
  <c r="C253" i="8" s="1"/>
  <c r="B254" i="8"/>
  <c r="C254" i="8" s="1"/>
  <c r="B255" i="8"/>
  <c r="C255" i="8" s="1"/>
  <c r="B256" i="8"/>
  <c r="C256" i="8" s="1"/>
  <c r="B257" i="8"/>
  <c r="C257" i="8" s="1"/>
  <c r="B258" i="8"/>
  <c r="C258" i="8" s="1"/>
  <c r="B259" i="8"/>
  <c r="C259" i="8" s="1"/>
  <c r="B260" i="8"/>
  <c r="C260" i="8" s="1"/>
  <c r="B261" i="8"/>
  <c r="C261" i="8" s="1"/>
  <c r="B262" i="8"/>
  <c r="C262" i="8" s="1"/>
  <c r="B263" i="8"/>
  <c r="C263" i="8" s="1"/>
  <c r="B264" i="8"/>
  <c r="C264" i="8" s="1"/>
  <c r="B265" i="8"/>
  <c r="C265" i="8" s="1"/>
  <c r="B16" i="8"/>
  <c r="C16" i="8" s="1"/>
  <c r="Y16" i="8"/>
  <c r="Y17" i="8" s="1"/>
  <c r="Y18" i="8" s="1"/>
  <c r="Y19" i="8" s="1"/>
  <c r="Y20" i="8" s="1"/>
  <c r="Y21" i="8" s="1"/>
  <c r="Y22" i="8" s="1"/>
  <c r="Y23" i="8" s="1"/>
  <c r="Y24" i="8" s="1"/>
  <c r="Y25" i="8" s="1"/>
  <c r="Y26" i="8" s="1"/>
  <c r="G16" i="8" l="1" a="1"/>
  <c r="G16" i="8" s="1"/>
  <c r="W251" i="8"/>
  <c r="W235" i="8"/>
  <c r="W219" i="8"/>
  <c r="W203" i="8"/>
  <c r="W187" i="8"/>
  <c r="W171" i="8"/>
  <c r="W155" i="8"/>
  <c r="W139" i="8"/>
  <c r="W123" i="8"/>
  <c r="W107" i="8"/>
  <c r="W91" i="8"/>
  <c r="W75" i="8"/>
  <c r="W59" i="8"/>
  <c r="W43" i="8"/>
  <c r="W27" i="8"/>
  <c r="W188" i="8"/>
  <c r="W261" i="8"/>
  <c r="W245" i="8"/>
  <c r="W229" i="8"/>
  <c r="W213" i="8"/>
  <c r="W197" i="8"/>
  <c r="W181" i="8"/>
  <c r="W165" i="8"/>
  <c r="W149" i="8"/>
  <c r="W133" i="8"/>
  <c r="W117" i="8"/>
  <c r="W101" i="8"/>
  <c r="W60" i="8"/>
  <c r="W96" i="8"/>
  <c r="W85" i="8"/>
  <c r="W69" i="8"/>
  <c r="W53" i="8"/>
  <c r="W37" i="8"/>
  <c r="W21" i="8"/>
  <c r="W262" i="8"/>
  <c r="W246" i="8"/>
  <c r="W230" i="8"/>
  <c r="W214" i="8"/>
  <c r="W198" i="8"/>
  <c r="W182" i="8"/>
  <c r="W166" i="8"/>
  <c r="W150" i="8"/>
  <c r="W134" i="8"/>
  <c r="W118" i="8"/>
  <c r="W102" i="8"/>
  <c r="W86" i="8"/>
  <c r="W70" i="8"/>
  <c r="W54" i="8"/>
  <c r="W38" i="8"/>
  <c r="W22" i="8"/>
  <c r="W260" i="8"/>
  <c r="W244" i="8"/>
  <c r="W228" i="8"/>
  <c r="W212" i="8"/>
  <c r="W196" i="8"/>
  <c r="W180" i="8"/>
  <c r="W164" i="8"/>
  <c r="W148" i="8"/>
  <c r="W132" i="8"/>
  <c r="W116" i="8"/>
  <c r="W100" i="8"/>
  <c r="W84" i="8"/>
  <c r="W68" i="8"/>
  <c r="W52" i="8"/>
  <c r="W36" i="8"/>
  <c r="W20" i="8"/>
  <c r="W94" i="8"/>
  <c r="W173" i="8"/>
  <c r="W61" i="8"/>
  <c r="W172" i="8"/>
  <c r="W95" i="8"/>
  <c r="W174" i="8"/>
  <c r="W62" i="8"/>
  <c r="W236" i="8"/>
  <c r="W92" i="8"/>
  <c r="W243" i="8"/>
  <c r="W211" i="8"/>
  <c r="W195" i="8"/>
  <c r="W163" i="8"/>
  <c r="W131" i="8"/>
  <c r="W99" i="8"/>
  <c r="W67" i="8"/>
  <c r="W35" i="8"/>
  <c r="W258" i="8"/>
  <c r="W226" i="8"/>
  <c r="W194" i="8"/>
  <c r="W162" i="8"/>
  <c r="W130" i="8"/>
  <c r="W98" i="8"/>
  <c r="W66" i="8"/>
  <c r="W34" i="8"/>
  <c r="W257" i="8"/>
  <c r="W241" i="8"/>
  <c r="W225" i="8"/>
  <c r="W209" i="8"/>
  <c r="W193" i="8"/>
  <c r="W177" i="8"/>
  <c r="W161" i="8"/>
  <c r="W145" i="8"/>
  <c r="W129" i="8"/>
  <c r="W113" i="8"/>
  <c r="W97" i="8"/>
  <c r="W81" i="8"/>
  <c r="W65" i="8"/>
  <c r="W49" i="8"/>
  <c r="W33" i="8"/>
  <c r="W17" i="8"/>
  <c r="W175" i="8"/>
  <c r="W93" i="8"/>
  <c r="W259" i="8"/>
  <c r="W227" i="8"/>
  <c r="W179" i="8"/>
  <c r="W147" i="8"/>
  <c r="W115" i="8"/>
  <c r="W83" i="8"/>
  <c r="W51" i="8"/>
  <c r="W19" i="8"/>
  <c r="W242" i="8"/>
  <c r="W210" i="8"/>
  <c r="W178" i="8"/>
  <c r="W146" i="8"/>
  <c r="W114" i="8"/>
  <c r="W82" i="8"/>
  <c r="W50" i="8"/>
  <c r="W18" i="8"/>
  <c r="W256" i="8"/>
  <c r="W240" i="8"/>
  <c r="W224" i="8"/>
  <c r="W208" i="8"/>
  <c r="W192" i="8"/>
  <c r="W176" i="8"/>
  <c r="W160" i="8"/>
  <c r="W144" i="8"/>
  <c r="W128" i="8"/>
  <c r="W112" i="8"/>
  <c r="W80" i="8"/>
  <c r="W64" i="8"/>
  <c r="W48" i="8"/>
  <c r="W32" i="8"/>
  <c r="W202" i="8"/>
  <c r="W106" i="8"/>
  <c r="W247" i="8"/>
  <c r="W55" i="8"/>
  <c r="W250" i="8"/>
  <c r="W170" i="8"/>
  <c r="W74" i="8"/>
  <c r="W233" i="8"/>
  <c r="W137" i="8"/>
  <c r="W232" i="8"/>
  <c r="W184" i="8"/>
  <c r="W88" i="8"/>
  <c r="W231" i="8"/>
  <c r="W167" i="8"/>
  <c r="W87" i="8"/>
  <c r="W255" i="8"/>
  <c r="W239" i="8"/>
  <c r="W223" i="8"/>
  <c r="W207" i="8"/>
  <c r="W191" i="8"/>
  <c r="W159" i="8"/>
  <c r="W143" i="8"/>
  <c r="W127" i="8"/>
  <c r="W111" i="8"/>
  <c r="W79" i="8"/>
  <c r="W63" i="8"/>
  <c r="W47" i="8"/>
  <c r="W31" i="8"/>
  <c r="W218" i="8"/>
  <c r="W138" i="8"/>
  <c r="W58" i="8"/>
  <c r="W185" i="8"/>
  <c r="W264" i="8"/>
  <c r="W216" i="8"/>
  <c r="W168" i="8"/>
  <c r="W136" i="8"/>
  <c r="W104" i="8"/>
  <c r="W72" i="8"/>
  <c r="W40" i="8"/>
  <c r="W263" i="8"/>
  <c r="W199" i="8"/>
  <c r="W135" i="8"/>
  <c r="W103" i="8"/>
  <c r="W39" i="8"/>
  <c r="W254" i="8"/>
  <c r="W238" i="8"/>
  <c r="W222" i="8"/>
  <c r="W206" i="8"/>
  <c r="W190" i="8"/>
  <c r="W158" i="8"/>
  <c r="W142" i="8"/>
  <c r="W126" i="8"/>
  <c r="W110" i="8"/>
  <c r="W78" i="8"/>
  <c r="W46" i="8"/>
  <c r="W30" i="8"/>
  <c r="W234" i="8"/>
  <c r="W154" i="8"/>
  <c r="W90" i="8"/>
  <c r="W26" i="8"/>
  <c r="W249" i="8"/>
  <c r="W201" i="8"/>
  <c r="W153" i="8"/>
  <c r="W105" i="8"/>
  <c r="W89" i="8"/>
  <c r="W41" i="8"/>
  <c r="W151" i="8"/>
  <c r="W253" i="8"/>
  <c r="W237" i="8"/>
  <c r="W221" i="8"/>
  <c r="W205" i="8"/>
  <c r="W189" i="8"/>
  <c r="W157" i="8"/>
  <c r="W141" i="8"/>
  <c r="W125" i="8"/>
  <c r="W109" i="8"/>
  <c r="W77" i="8"/>
  <c r="W45" i="8"/>
  <c r="W29" i="8"/>
  <c r="W16" i="8"/>
  <c r="W186" i="8"/>
  <c r="W122" i="8"/>
  <c r="W42" i="8"/>
  <c r="W265" i="8"/>
  <c r="W217" i="8"/>
  <c r="W169" i="8"/>
  <c r="W121" i="8"/>
  <c r="W73" i="8"/>
  <c r="W57" i="8"/>
  <c r="W25" i="8"/>
  <c r="W248" i="8"/>
  <c r="W200" i="8"/>
  <c r="W152" i="8"/>
  <c r="W120" i="8"/>
  <c r="W56" i="8"/>
  <c r="W24" i="8"/>
  <c r="W215" i="8"/>
  <c r="W183" i="8"/>
  <c r="W119" i="8"/>
  <c r="W71" i="8"/>
  <c r="W23" i="8"/>
  <c r="W252" i="8"/>
  <c r="W220" i="8"/>
  <c r="W204" i="8"/>
  <c r="W156" i="8"/>
  <c r="W140" i="8"/>
  <c r="W124" i="8"/>
  <c r="W108" i="8"/>
  <c r="W76" i="8"/>
  <c r="W44" i="8"/>
  <c r="W28" i="8"/>
  <c r="H34" i="8"/>
  <c r="H36" i="8" s="1"/>
  <c r="H37" i="8" s="1"/>
  <c r="H35" i="8"/>
  <c r="F16" i="8"/>
  <c r="F17" i="8" s="1"/>
  <c r="F18" i="8" s="1"/>
  <c r="F19" i="8" s="1"/>
  <c r="F20" i="8" s="1"/>
  <c r="F21" i="8" s="1"/>
  <c r="F22" i="8" s="1"/>
  <c r="F23" i="8" s="1"/>
  <c r="F24" i="8" s="1"/>
  <c r="F25" i="8" s="1"/>
  <c r="F26" i="8" s="1"/>
  <c r="F27" i="8" s="1"/>
  <c r="Z16" i="8" l="1" a="1"/>
  <c r="Z16" i="8" s="1"/>
  <c r="AA35" i="8"/>
  <c r="AA34" i="8"/>
  <c r="H38" i="8"/>
  <c r="AA36" i="8" l="1"/>
  <c r="AA38" i="8" s="1"/>
  <c r="AA37" i="8"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<sst xmlns="http://schemas.openxmlformats.org/spreadsheetml/2006/main" count="28" uniqueCount="19">
  <si>
    <t>a [%]</t>
  </si>
  <si>
    <t>c [%]</t>
  </si>
  <si>
    <t>a [zł/m2]</t>
  </si>
  <si>
    <t>b [%]</t>
  </si>
  <si>
    <t>b [zł/m2]</t>
  </si>
  <si>
    <t>Uniform distribution</t>
  </si>
  <si>
    <t>rent/square meter</t>
  </si>
  <si>
    <t>RAND()</t>
  </si>
  <si>
    <t>UNIFORM()</t>
  </si>
  <si>
    <t>Frequency</t>
  </si>
  <si>
    <t>Average</t>
  </si>
  <si>
    <t>Std dev</t>
  </si>
  <si>
    <t>Confidence</t>
  </si>
  <si>
    <t>Lower limit</t>
  </si>
  <si>
    <t>Upper limit</t>
  </si>
  <si>
    <t>Rate of return</t>
  </si>
  <si>
    <t>TRIANGULAR</t>
  </si>
  <si>
    <t>Triangular symmetrical</t>
  </si>
  <si>
    <t>Density function f(x)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</si>
</sst>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9">
    <font>
      <sz val="11"/>
      <color theme="1"/>
      <name val="Czcionka tekstu podstawowego"/>
      <family val="2"/>
    </font>
    <font>
      <sz val="11"/>
      <color theme="0"/>
      <name val="Czcionka tekstu podstawowego"/>
      <family val="2"/>
    </font>
    <font>
      <sz val="24"/>
      <color theme="0"/>
      <name val="Czcionka tekstu podstawowego"/>
      <family val="2"/>
    </font>
    <font>
      <b/>
      <sz val="12"/>
      <color theme="1"/>
      <name val="Czcionka tekstu podstawowego"/>
    </font>
    <font>
      <b/>
      <sz val="11"/>
      <color theme="1"/>
      <name val="Czcionka tekstu podstawowego"/>
    </font>
    <font>
      <b/>
      <sz val="20"/>
      <color rgb="FF000000"/>
      <name val="Arial"/>
      <family val="2"/>
      <charset val="238"/>
    </font>
    <font>
      <sz val="12"/>
      <color theme="1"/>
      <name val="Czcionka tekstu podstawowego"/>
      <family val="2"/>
    </font>
    <font>
      <b/>
      <sz val="14"/>
      <color theme="1"/>
      <name val="Czcionka tekstu podstawowego"/>
    </font>
    <font>
      <b/>
      <sz val="10"/>
      <color theme="1"/>
      <name val="Czcionka tekstu podstawowego"/>
    </font>
  </fonts>
  <fills count="4">
    <fill>
      <patternFill patternType="none"/>
    </fill>
    <fill>
      <patternFill patternType="gray125"/>
    </fill>
    <fill>
      <patternFill patternType="solid">
        <fgColor theme="0" tint="-0.499984740745262"/>
        <bgColor indexed="64"/>
      </patternFill>
    </fill>
    <fill>
      <patternFill patternType="solid">
        <fgColor theme="9"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s>
  <cellStyleXfs count="1">
    <xf numFmtId="0" fontId="0" fillId="0" borderId="0"/>
  </cellStyleXfs>
  <cellXfs count="26">
    <xf numFmtId="0" fontId="0" fillId="0" borderId="0" xfId="0"/>
    <xf numFmtId="0" fontId="2" fillId="2" borderId="0" xfId="0" applyFont="1" applyFill="1"/>
    <xf numFmtId="0" fontId="1" fillId="2" borderId="0" xfId="0" applyFont="1" applyFill="1"/>
    <xf numFmtId="0" fontId="0" fillId="2" borderId="0" xfId="0" applyFill="1"/>
    <xf numFmtId="0" fontId="5" fillId="0" borderId="0" xfId="0" applyFont="1"/>
    <xf numFmtId="0" fontId="3" fillId="0" borderId="0" xfId="0" applyFont="1"/>
    <xf numFmtId="0" fontId="6" fillId="0" borderId="0" xfId="0" applyFont="1"/>
    <xf numFmtId="0" fontId="4" fillId="0" borderId="0" xfId="0" applyFont="1"/>
    <xf numFmtId="164" fontId="6" fillId="0" borderId="0" xfId="0" applyNumberFormat="1" applyFont="1"/>
    <xf numFmtId="0" fontId="3" fillId="3" borderId="2" xfId="0" applyFont="1" applyFill="1" applyBorder="1"/>
    <xf numFmtId="0" fontId="7" fillId="3" borderId="3" xfId="0" applyFont="1" applyFill="1" applyBorder="1"/>
    <xf numFmtId="0" fontId="7" fillId="3" borderId="1" xfId="0" applyFont="1" applyFill="1" applyBorder="1"/>
    <xf numFmtId="164" fontId="7" fillId="3" borderId="1" xfId="0" applyNumberFormat="1" applyFont="1" applyFill="1" applyBorder="1"/>
    <xf numFmtId="0" fontId="0" fillId="0" borderId="4" xfId="0" applyBorder="1"/>
    <xf numFmtId="0" fontId="4" fillId="0" borderId="5" xfId="0" applyFont="1" applyBorder="1"/>
    <xf numFmtId="0" fontId="4" fillId="0" borderId="6" xfId="0" applyFont="1" applyBorder="1" applyAlignment="1">
      <alignment wrapText="1"/>
    </xf>
    <xf numFmtId="0" fontId="0" fillId="0" borderId="7" xfId="0" applyBorder="1"/>
    <xf numFmtId="0" fontId="0" fillId="0" borderId="8" xfId="0" applyBorder="1"/>
    <xf numFmtId="0" fontId="0" fillId="0" borderId="9" xfId="0" applyBorder="1"/>
    <xf numFmtId="0" fontId="0" fillId="3" borderId="4" xfId="0" applyFill="1" applyBorder="1"/>
    <xf numFmtId="0" fontId="8" fillId="3" borderId="5" xfId="0" applyFont="1" applyFill="1" applyBorder="1"/>
    <xf numFmtId="0" fontId="8" fillId="0" borderId="6" xfId="0" applyFont="1" applyBorder="1" applyAlignment="1">
      <alignment wrapText="1"/>
    </xf>
    <xf numFmtId="0" fontId="0" fillId="3" borderId="7" xfId="0" applyFill="1" applyBorder="1"/>
    <xf numFmtId="0" fontId="0" fillId="3" borderId="0" xfId="0" applyFill="1"/>
    <xf numFmtId="0" fontId="0" fillId="3" borderId="9" xfId="0" applyFill="1" applyBorder="1"/>
    <xf numFmtId="0" fontId="2" fillId="2"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pl-PL"/>
              <a:t>TRIA</a:t>
            </a:r>
          </a:p>
        </c:rich>
      </c:tx>
      <c:overlay val="0"/>
    </c:title>
    <c:autoTitleDeleted val="0"/>
    <c:plotArea>
      <c:layout/>
      <c:barChart>
        <c:barDir val="col"/>
        <c:grouping val="clustered"/>
        <c:varyColors val="0"/>
        <c:ser>
          <c:idx val="0"/>
          <c:order val="0"/>
          <c:tx>
            <c:strRef>
              <c:f>'Solved examples'!$Z$15</c:f>
              <c:strCache>
                <c:ptCount val="1"/>
                <c:pt idx="0">
                  <c:v>Frequency</c:v>
                </c:pt>
              </c:strCache>
            </c:strRef>
          </c:tx>
          <c:spPr>
            <a:solidFill>
              <a:schemeClr val="accent2">
                <a:lumMod val="75000"/>
              </a:schemeClr>
            </a:solidFill>
            <a:ln>
              <a:solidFill>
                <a:schemeClr val="tx1"/>
              </a:solidFill>
            </a:ln>
          </c:spPr>
          <c:invertIfNegative val="0"/>
          <c:cat>
            <c:numRef>
              <c:f>'Solved examples'!$Y$16:$Y$26</c:f>
              <c:numCache>
                <c:formatCode>General</c:formatCode>
                <c:ptCount val="11"/>
                <c:pt idx="0">
                  <c:v>10</c:v>
                </c:pt>
                <c:pt idx="1">
                  <c:v>10.5</c:v>
                </c:pt>
                <c:pt idx="2">
                  <c:v>11</c:v>
                </c:pt>
                <c:pt idx="3">
                  <c:v>11.5</c:v>
                </c:pt>
                <c:pt idx="4">
                  <c:v>12</c:v>
                </c:pt>
                <c:pt idx="5">
                  <c:v>12.5</c:v>
                </c:pt>
                <c:pt idx="6">
                  <c:v>13</c:v>
                </c:pt>
                <c:pt idx="7">
                  <c:v>13.5</c:v>
                </c:pt>
                <c:pt idx="8">
                  <c:v>14</c:v>
                </c:pt>
                <c:pt idx="9">
                  <c:v>14.5</c:v>
                </c:pt>
                <c:pt idx="10">
                  <c:v>15</c:v>
                </c:pt>
              </c:numCache>
            </c:numRef>
          </c:cat>
          <c:val>
            <c:numRef>
              <c:f>'Solved examples'!$Z$16:$Z$26</c:f>
              <c:numCache>
                <c:formatCode>General</c:formatCode>
                <c:ptCount val="11"/>
                <c:pt idx="0">
                  <c:v>0</c:v>
                </c:pt>
                <c:pt idx="1">
                  <c:v>9</c:v>
                </c:pt>
                <c:pt idx="2">
                  <c:v>22</c:v>
                </c:pt>
                <c:pt idx="3">
                  <c:v>38</c:v>
                </c:pt>
                <c:pt idx="4">
                  <c:v>66</c:v>
                </c:pt>
                <c:pt idx="5">
                  <c:v>50</c:v>
                </c:pt>
                <c:pt idx="6">
                  <c:v>32</c:v>
                </c:pt>
                <c:pt idx="7">
                  <c:v>22</c:v>
                </c:pt>
                <c:pt idx="8">
                  <c:v>11</c:v>
                </c:pt>
                <c:pt idx="9">
                  <c:v>0</c:v>
                </c:pt>
                <c:pt idx="10">
                  <c:v>0</c:v>
                </c:pt>
              </c:numCache>
            </c:numRef>
          </c:val>
          <c:extLst>
            <c:ext xmlns:c16="http://schemas.microsoft.com/office/drawing/2014/chart" uri="{C3380CC4-5D6E-409C-BE32-E72D297353CC}">
              <c16:uniqueId val="{00000000-2328-4858-B865-EDE30394EDCD}"/>
            </c:ext>
          </c:extLst>
        </c:ser>
        <c:dLbls>
          <c:showLegendKey val="0"/>
          <c:showVal val="0"/>
          <c:showCatName val="0"/>
          <c:showSerName val="0"/>
          <c:showPercent val="0"/>
          <c:showBubbleSize val="0"/>
        </c:dLbls>
        <c:gapWidth val="0"/>
        <c:axId val="484918344"/>
        <c:axId val="484917952"/>
      </c:barChart>
      <c:lineChart>
        <c:grouping val="standard"/>
        <c:varyColors val="0"/>
        <c:ser>
          <c:idx val="1"/>
          <c:order val="1"/>
          <c:tx>
            <c:strRef>
              <c:f>'Solved examples'!$AA$15</c:f>
              <c:strCache>
                <c:ptCount val="1"/>
                <c:pt idx="0">
                  <c:v>Density function f(x)</c:v>
                </c:pt>
              </c:strCache>
            </c:strRef>
          </c:tx>
          <c:spPr>
            <a:ln>
              <a:solidFill>
                <a:srgbClr val="0070C0"/>
              </a:solidFill>
            </a:ln>
          </c:spPr>
          <c:marker>
            <c:symbol val="none"/>
          </c:marker>
          <c:cat>
            <c:numRef>
              <c:f>'Solved examples'!$Y$16:$Y$26</c:f>
              <c:numCache>
                <c:formatCode>General</c:formatCode>
                <c:ptCount val="11"/>
                <c:pt idx="0">
                  <c:v>10</c:v>
                </c:pt>
                <c:pt idx="1">
                  <c:v>10.5</c:v>
                </c:pt>
                <c:pt idx="2">
                  <c:v>11</c:v>
                </c:pt>
                <c:pt idx="3">
                  <c:v>11.5</c:v>
                </c:pt>
                <c:pt idx="4">
                  <c:v>12</c:v>
                </c:pt>
                <c:pt idx="5">
                  <c:v>12.5</c:v>
                </c:pt>
                <c:pt idx="6">
                  <c:v>13</c:v>
                </c:pt>
                <c:pt idx="7">
                  <c:v>13.5</c:v>
                </c:pt>
                <c:pt idx="8">
                  <c:v>14</c:v>
                </c:pt>
                <c:pt idx="9">
                  <c:v>14.5</c:v>
                </c:pt>
                <c:pt idx="10">
                  <c:v>15</c:v>
                </c:pt>
              </c:numCache>
            </c:numRef>
          </c:cat>
          <c:val>
            <c:numRef>
              <c:f>'Solved examples'!$AA$16:$AA$26</c:f>
              <c:numCache>
                <c:formatCode>General</c:formatCode>
                <c:ptCount val="11"/>
                <c:pt idx="0">
                  <c:v>0</c:v>
                </c:pt>
                <c:pt idx="1">
                  <c:v>0.125</c:v>
                </c:pt>
                <c:pt idx="2">
                  <c:v>0.25</c:v>
                </c:pt>
                <c:pt idx="3">
                  <c:v>0.375</c:v>
                </c:pt>
                <c:pt idx="4">
                  <c:v>0.5</c:v>
                </c:pt>
                <c:pt idx="5">
                  <c:v>0.375</c:v>
                </c:pt>
                <c:pt idx="6">
                  <c:v>0.25</c:v>
                </c:pt>
                <c:pt idx="7">
                  <c:v>0.125</c:v>
                </c:pt>
                <c:pt idx="8">
                  <c:v>0</c:v>
                </c:pt>
                <c:pt idx="9">
                  <c:v>0</c:v>
                </c:pt>
                <c:pt idx="10">
                  <c:v>0</c:v>
                </c:pt>
              </c:numCache>
            </c:numRef>
          </c:val>
          <c:smooth val="0"/>
          <c:extLst>
            <c:ext xmlns:c16="http://schemas.microsoft.com/office/drawing/2014/chart" uri="{C3380CC4-5D6E-409C-BE32-E72D297353CC}">
              <c16:uniqueId val="{00000000-671E-43DF-881C-30F7B41EA75C}"/>
            </c:ext>
          </c:extLst>
        </c:ser>
        <c:dLbls>
          <c:showLegendKey val="0"/>
          <c:showVal val="0"/>
          <c:showCatName val="0"/>
          <c:showSerName val="0"/>
          <c:showPercent val="0"/>
          <c:showBubbleSize val="0"/>
        </c:dLbls>
        <c:marker val="1"/>
        <c:smooth val="0"/>
        <c:axId val="871408783"/>
        <c:axId val="1475840063"/>
      </c:lineChart>
      <c:catAx>
        <c:axId val="484918344"/>
        <c:scaling>
          <c:orientation val="minMax"/>
        </c:scaling>
        <c:delete val="0"/>
        <c:axPos val="b"/>
        <c:title>
          <c:tx>
            <c:rich>
              <a:bodyPr/>
              <a:lstStyle/>
              <a:p>
                <a:pPr>
                  <a:defRPr/>
                </a:pPr>
                <a:r>
                  <a:rPr lang="en-US"/>
                  <a:t>Wartość</a:t>
                </a:r>
              </a:p>
            </c:rich>
          </c:tx>
          <c:overlay val="0"/>
        </c:title>
        <c:numFmt formatCode="General" sourceLinked="1"/>
        <c:majorTickMark val="out"/>
        <c:minorTickMark val="none"/>
        <c:tickLblPos val="nextTo"/>
        <c:crossAx val="484917952"/>
        <c:crosses val="autoZero"/>
        <c:auto val="1"/>
        <c:lblAlgn val="ctr"/>
        <c:lblOffset val="100"/>
        <c:noMultiLvlLbl val="0"/>
      </c:catAx>
      <c:valAx>
        <c:axId val="484917952"/>
        <c:scaling>
          <c:orientation val="minMax"/>
        </c:scaling>
        <c:delete val="0"/>
        <c:axPos val="l"/>
        <c:majorGridlines/>
        <c:title>
          <c:tx>
            <c:rich>
              <a:bodyPr rot="-5400000" vert="horz"/>
              <a:lstStyle/>
              <a:p>
                <a:pPr>
                  <a:defRPr/>
                </a:pPr>
                <a:r>
                  <a:rPr lang="pl-PL"/>
                  <a:t>Frequency</a:t>
                </a:r>
                <a:endParaRPr lang="en-US"/>
              </a:p>
            </c:rich>
          </c:tx>
          <c:overlay val="0"/>
        </c:title>
        <c:numFmt formatCode="General" sourceLinked="1"/>
        <c:majorTickMark val="out"/>
        <c:minorTickMark val="none"/>
        <c:tickLblPos val="nextTo"/>
        <c:crossAx val="484918344"/>
        <c:crosses val="autoZero"/>
        <c:crossBetween val="between"/>
      </c:valAx>
      <c:valAx>
        <c:axId val="1475840063"/>
        <c:scaling>
          <c:orientation val="minMax"/>
        </c:scaling>
        <c:delete val="0"/>
        <c:axPos val="r"/>
        <c:numFmt formatCode="General" sourceLinked="1"/>
        <c:majorTickMark val="out"/>
        <c:minorTickMark val="none"/>
        <c:tickLblPos val="nextTo"/>
        <c:crossAx val="871408783"/>
        <c:crosses val="max"/>
        <c:crossBetween val="between"/>
      </c:valAx>
      <c:catAx>
        <c:axId val="871408783"/>
        <c:scaling>
          <c:orientation val="minMax"/>
        </c:scaling>
        <c:delete val="1"/>
        <c:axPos val="b"/>
        <c:numFmt formatCode="General" sourceLinked="1"/>
        <c:majorTickMark val="out"/>
        <c:minorTickMark val="none"/>
        <c:tickLblPos val="nextTo"/>
        <c:crossAx val="1475840063"/>
        <c:crosses val="autoZero"/>
        <c:auto val="1"/>
        <c:lblAlgn val="ctr"/>
        <c:lblOffset val="100"/>
        <c:noMultiLvlLbl val="0"/>
      </c:cat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pl-PL"/>
              <a:t>UNIF</a:t>
            </a:r>
            <a:endParaRPr lang="en-US"/>
          </a:p>
        </c:rich>
      </c:tx>
      <c:layout>
        <c:manualLayout>
          <c:xMode val="edge"/>
          <c:yMode val="edge"/>
          <c:x val="0.46139045578303273"/>
          <c:y val="3.3214790723570996E-2"/>
        </c:manualLayout>
      </c:layout>
      <c:overlay val="0"/>
    </c:title>
    <c:autoTitleDeleted val="0"/>
    <c:plotArea>
      <c:layout/>
      <c:barChart>
        <c:barDir val="col"/>
        <c:grouping val="clustered"/>
        <c:varyColors val="0"/>
        <c:ser>
          <c:idx val="1"/>
          <c:order val="0"/>
          <c:spPr>
            <a:ln>
              <a:solidFill>
                <a:schemeClr val="tx1"/>
              </a:solidFill>
            </a:ln>
          </c:spPr>
          <c:invertIfNegative val="0"/>
          <c:cat>
            <c:numRef>
              <c:f>'Solved examples'!$F$16:$F$27</c:f>
              <c:numCache>
                <c:formatCode>General</c:formatCode>
                <c:ptCount val="12"/>
                <c:pt idx="0">
                  <c:v>5000</c:v>
                </c:pt>
                <c:pt idx="1">
                  <c:v>5100</c:v>
                </c:pt>
                <c:pt idx="2">
                  <c:v>5200</c:v>
                </c:pt>
                <c:pt idx="3">
                  <c:v>5300</c:v>
                </c:pt>
                <c:pt idx="4">
                  <c:v>5400</c:v>
                </c:pt>
                <c:pt idx="5">
                  <c:v>5500</c:v>
                </c:pt>
                <c:pt idx="6">
                  <c:v>5600</c:v>
                </c:pt>
                <c:pt idx="7">
                  <c:v>5700</c:v>
                </c:pt>
                <c:pt idx="8">
                  <c:v>5800</c:v>
                </c:pt>
                <c:pt idx="9">
                  <c:v>5900</c:v>
                </c:pt>
                <c:pt idx="10">
                  <c:v>6000</c:v>
                </c:pt>
                <c:pt idx="11">
                  <c:v>6100</c:v>
                </c:pt>
              </c:numCache>
            </c:numRef>
          </c:cat>
          <c:val>
            <c:numRef>
              <c:f>'Solved examples'!$G$16:$G$27</c:f>
              <c:numCache>
                <c:formatCode>General</c:formatCode>
                <c:ptCount val="12"/>
                <c:pt idx="0">
                  <c:v>0</c:v>
                </c:pt>
                <c:pt idx="1">
                  <c:v>31</c:v>
                </c:pt>
                <c:pt idx="2">
                  <c:v>21</c:v>
                </c:pt>
                <c:pt idx="3">
                  <c:v>28</c:v>
                </c:pt>
                <c:pt idx="4">
                  <c:v>32</c:v>
                </c:pt>
                <c:pt idx="5">
                  <c:v>20</c:v>
                </c:pt>
                <c:pt idx="6">
                  <c:v>24</c:v>
                </c:pt>
                <c:pt idx="7">
                  <c:v>24</c:v>
                </c:pt>
                <c:pt idx="8">
                  <c:v>25</c:v>
                </c:pt>
                <c:pt idx="9">
                  <c:v>16</c:v>
                </c:pt>
                <c:pt idx="10">
                  <c:v>29</c:v>
                </c:pt>
                <c:pt idx="11">
                  <c:v>0</c:v>
                </c:pt>
              </c:numCache>
            </c:numRef>
          </c:val>
          <c:extLst>
            <c:ext xmlns:c16="http://schemas.microsoft.com/office/drawing/2014/chart" uri="{C3380CC4-5D6E-409C-BE32-E72D297353CC}">
              <c16:uniqueId val="{00000000-0873-43F0-BED3-AA74B6AEBFC1}"/>
            </c:ext>
          </c:extLst>
        </c:ser>
        <c:dLbls>
          <c:showLegendKey val="0"/>
          <c:showVal val="0"/>
          <c:showCatName val="0"/>
          <c:showSerName val="0"/>
          <c:showPercent val="0"/>
          <c:showBubbleSize val="0"/>
        </c:dLbls>
        <c:gapWidth val="0"/>
        <c:axId val="484916776"/>
        <c:axId val="485404800"/>
      </c:barChart>
      <c:lineChart>
        <c:grouping val="standard"/>
        <c:varyColors val="0"/>
        <c:ser>
          <c:idx val="0"/>
          <c:order val="1"/>
          <c:marker>
            <c:symbol val="none"/>
          </c:marker>
          <c:cat>
            <c:numRef>
              <c:f>'Solved examples'!$F$16:$F$27</c:f>
              <c:numCache>
                <c:formatCode>General</c:formatCode>
                <c:ptCount val="12"/>
                <c:pt idx="0">
                  <c:v>5000</c:v>
                </c:pt>
                <c:pt idx="1">
                  <c:v>5100</c:v>
                </c:pt>
                <c:pt idx="2">
                  <c:v>5200</c:v>
                </c:pt>
                <c:pt idx="3">
                  <c:v>5300</c:v>
                </c:pt>
                <c:pt idx="4">
                  <c:v>5400</c:v>
                </c:pt>
                <c:pt idx="5">
                  <c:v>5500</c:v>
                </c:pt>
                <c:pt idx="6">
                  <c:v>5600</c:v>
                </c:pt>
                <c:pt idx="7">
                  <c:v>5700</c:v>
                </c:pt>
                <c:pt idx="8">
                  <c:v>5800</c:v>
                </c:pt>
                <c:pt idx="9">
                  <c:v>5900</c:v>
                </c:pt>
                <c:pt idx="10">
                  <c:v>6000</c:v>
                </c:pt>
                <c:pt idx="11">
                  <c:v>6100</c:v>
                </c:pt>
              </c:numCache>
            </c:numRef>
          </c:cat>
          <c:val>
            <c:numRef>
              <c:f>'Solved examples'!$H$16:$H$27</c:f>
              <c:numCache>
                <c:formatCode>General</c:formatCode>
                <c:ptCount val="12"/>
                <c:pt idx="0">
                  <c:v>1E-3</c:v>
                </c:pt>
                <c:pt idx="1">
                  <c:v>1E-3</c:v>
                </c:pt>
                <c:pt idx="2">
                  <c:v>1E-3</c:v>
                </c:pt>
                <c:pt idx="3">
                  <c:v>1E-3</c:v>
                </c:pt>
                <c:pt idx="4">
                  <c:v>1E-3</c:v>
                </c:pt>
                <c:pt idx="5">
                  <c:v>1E-3</c:v>
                </c:pt>
                <c:pt idx="6">
                  <c:v>1E-3</c:v>
                </c:pt>
                <c:pt idx="7">
                  <c:v>1E-3</c:v>
                </c:pt>
                <c:pt idx="8">
                  <c:v>1E-3</c:v>
                </c:pt>
                <c:pt idx="9">
                  <c:v>1E-3</c:v>
                </c:pt>
                <c:pt idx="10">
                  <c:v>1E-3</c:v>
                </c:pt>
                <c:pt idx="11">
                  <c:v>1E-3</c:v>
                </c:pt>
              </c:numCache>
            </c:numRef>
          </c:val>
          <c:smooth val="0"/>
          <c:extLst>
            <c:ext xmlns:c16="http://schemas.microsoft.com/office/drawing/2014/chart" uri="{C3380CC4-5D6E-409C-BE32-E72D297353CC}">
              <c16:uniqueId val="{00000000-E591-460E-B6EA-82F81ADA949D}"/>
            </c:ext>
          </c:extLst>
        </c:ser>
        <c:dLbls>
          <c:showLegendKey val="0"/>
          <c:showVal val="0"/>
          <c:showCatName val="0"/>
          <c:showSerName val="0"/>
          <c:showPercent val="0"/>
          <c:showBubbleSize val="0"/>
        </c:dLbls>
        <c:marker val="1"/>
        <c:smooth val="0"/>
        <c:axId val="1682780383"/>
        <c:axId val="1547680655"/>
      </c:lineChart>
      <c:catAx>
        <c:axId val="484916776"/>
        <c:scaling>
          <c:orientation val="minMax"/>
        </c:scaling>
        <c:delete val="0"/>
        <c:axPos val="b"/>
        <c:title>
          <c:tx>
            <c:rich>
              <a:bodyPr/>
              <a:lstStyle/>
              <a:p>
                <a:pPr>
                  <a:defRPr/>
                </a:pPr>
                <a:r>
                  <a:rPr lang="pl-PL"/>
                  <a:t>value</a:t>
                </a:r>
                <a:endParaRPr lang="en-US"/>
              </a:p>
            </c:rich>
          </c:tx>
          <c:overlay val="0"/>
        </c:title>
        <c:numFmt formatCode="General" sourceLinked="1"/>
        <c:majorTickMark val="out"/>
        <c:minorTickMark val="none"/>
        <c:tickLblPos val="nextTo"/>
        <c:crossAx val="485404800"/>
        <c:crosses val="autoZero"/>
        <c:auto val="1"/>
        <c:lblAlgn val="ctr"/>
        <c:lblOffset val="100"/>
        <c:noMultiLvlLbl val="0"/>
      </c:catAx>
      <c:valAx>
        <c:axId val="485404800"/>
        <c:scaling>
          <c:orientation val="minMax"/>
        </c:scaling>
        <c:delete val="0"/>
        <c:axPos val="l"/>
        <c:majorGridlines/>
        <c:title>
          <c:tx>
            <c:rich>
              <a:bodyPr rot="-5400000" vert="horz"/>
              <a:lstStyle/>
              <a:p>
                <a:pPr>
                  <a:defRPr/>
                </a:pPr>
                <a:r>
                  <a:rPr lang="en-US"/>
                  <a:t>Frequency</a:t>
                </a:r>
              </a:p>
            </c:rich>
          </c:tx>
          <c:layout>
            <c:manualLayout>
              <c:xMode val="edge"/>
              <c:yMode val="edge"/>
              <c:x val="2.5355461978513742E-2"/>
              <c:y val="0.42713203794680865"/>
            </c:manualLayout>
          </c:layout>
          <c:overlay val="0"/>
        </c:title>
        <c:numFmt formatCode="General" sourceLinked="1"/>
        <c:majorTickMark val="out"/>
        <c:minorTickMark val="none"/>
        <c:tickLblPos val="nextTo"/>
        <c:crossAx val="484916776"/>
        <c:crosses val="autoZero"/>
        <c:crossBetween val="between"/>
      </c:valAx>
      <c:valAx>
        <c:axId val="1547680655"/>
        <c:scaling>
          <c:orientation val="minMax"/>
        </c:scaling>
        <c:delete val="0"/>
        <c:axPos val="r"/>
        <c:numFmt formatCode="General" sourceLinked="1"/>
        <c:majorTickMark val="out"/>
        <c:minorTickMark val="none"/>
        <c:tickLblPos val="nextTo"/>
        <c:crossAx val="1682780383"/>
        <c:crosses val="max"/>
        <c:crossBetween val="between"/>
      </c:valAx>
      <c:catAx>
        <c:axId val="1682780383"/>
        <c:scaling>
          <c:orientation val="minMax"/>
        </c:scaling>
        <c:delete val="1"/>
        <c:axPos val="b"/>
        <c:numFmt formatCode="General" sourceLinked="1"/>
        <c:majorTickMark val="out"/>
        <c:minorTickMark val="none"/>
        <c:tickLblPos val="nextTo"/>
        <c:crossAx val="1547680655"/>
        <c:crosses val="autoZero"/>
        <c:auto val="1"/>
        <c:lblAlgn val="ctr"/>
        <c:lblOffset val="100"/>
        <c:noMultiLvlLbl val="0"/>
      </c:cat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2</xdr:row>
      <xdr:rowOff>0</xdr:rowOff>
    </xdr:from>
    <xdr:to>
      <xdr:col>9</xdr:col>
      <xdr:colOff>363876</xdr:colOff>
      <xdr:row>6</xdr:row>
      <xdr:rowOff>135562</xdr:rowOff>
    </xdr:to>
    <xdr:sp macro="" textlink="">
      <xdr:nvSpPr>
        <xdr:cNvPr id="2" name="pole tekstowe 8">
          <a:extLst>
            <a:ext uri="{FF2B5EF4-FFF2-40B4-BE49-F238E27FC236}">
              <a16:creationId xmlns:a16="http://schemas.microsoft.com/office/drawing/2014/main" id="{00000000-0008-0000-0000-000002000000}"/>
            </a:ext>
          </a:extLst>
        </xdr:cNvPr>
        <xdr:cNvSpPr txBox="1"/>
      </xdr:nvSpPr>
      <xdr:spPr>
        <a:xfrm>
          <a:off x="0" y="556517"/>
          <a:ext cx="6392809" cy="849045"/>
        </a:xfrm>
        <a:prstGeom prst="rect">
          <a:avLst/>
        </a:prstGeom>
        <a:solidFill>
          <a:schemeClr val="accent6">
            <a:lumMod val="40000"/>
            <a:lumOff val="60000"/>
          </a:schemeClr>
        </a:solidFill>
      </xdr:spPr>
      <xdr:txBody>
        <a:bodyPr wrap="square" rtlCol="0">
          <a:noAutofit/>
        </a:bodyPr>
        <a:lstStyle>
          <a:defPPr>
            <a:defRPr lang="pl-PL"/>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marL="0" marR="0" lvl="0" indent="0" algn="l" defTabSz="914400" rtl="0" eaLnBrk="1" fontAlgn="base" latinLnBrk="0" hangingPunct="1">
            <a:lnSpc>
              <a:spcPct val="100000"/>
            </a:lnSpc>
            <a:spcBef>
              <a:spcPct val="0"/>
            </a:spcBef>
            <a:spcAft>
              <a:spcPct val="0"/>
            </a:spcAft>
            <a:buClrTx/>
            <a:buSzTx/>
            <a:buFontTx/>
            <a:buNone/>
            <a:tabLst/>
            <a:defRPr/>
          </a:pPr>
          <a:r>
            <a:rPr lang="pl-PL" sz="1100" u="sng" kern="1200">
              <a:solidFill>
                <a:schemeClr val="tx1"/>
              </a:solidFill>
              <a:effectLst/>
              <a:latin typeface="Arial" charset="0"/>
              <a:ea typeface="+mn-ea"/>
              <a:cs typeface="+mn-cs"/>
            </a:rPr>
            <a:t>Example 1</a:t>
          </a:r>
          <a:r>
            <a:rPr lang="pl-PL" sz="1100" kern="1200">
              <a:solidFill>
                <a:schemeClr val="tx1"/>
              </a:solidFill>
              <a:effectLst/>
              <a:latin typeface="Arial" charset="0"/>
              <a:ea typeface="+mn-ea"/>
              <a:cs typeface="+mn-cs"/>
            </a:rPr>
            <a:t>: An investor would like to estimate the total after-tax income from the investment of building and leasing an office building. One of the most important elements of such analysis is the amount of future rent per square meter of office space. The investor believes that the future rent price will range between 5000 PLN/m2 and 6000 PLN/m2.</a:t>
          </a:r>
          <a:endParaRPr lang="en-US" sz="1400">
            <a:effectLst/>
          </a:endParaRPr>
        </a:p>
        <a:p>
          <a:endParaRPr lang="pl-PL" sz="1400" b="1"/>
        </a:p>
      </xdr:txBody>
    </xdr:sp>
    <xdr:clientData/>
  </xdr:twoCellAnchor>
  <xdr:twoCellAnchor>
    <xdr:from>
      <xdr:col>10</xdr:col>
      <xdr:colOff>47697</xdr:colOff>
      <xdr:row>5</xdr:row>
      <xdr:rowOff>97712</xdr:rowOff>
    </xdr:from>
    <xdr:to>
      <xdr:col>14</xdr:col>
      <xdr:colOff>238197</xdr:colOff>
      <xdr:row>12</xdr:row>
      <xdr:rowOff>14270</xdr:rowOff>
    </xdr:to>
    <xdr:sp macro="" textlink="">
      <xdr:nvSpPr>
        <xdr:cNvPr id="3" name="pole tekstowe 2">
          <a:extLst>
            <a:ext uri="{FF2B5EF4-FFF2-40B4-BE49-F238E27FC236}">
              <a16:creationId xmlns:a16="http://schemas.microsoft.com/office/drawing/2014/main" id="{00000000-0008-0000-0000-000003000000}"/>
            </a:ext>
          </a:extLst>
        </xdr:cNvPr>
        <xdr:cNvSpPr txBox="1"/>
      </xdr:nvSpPr>
      <xdr:spPr>
        <a:xfrm>
          <a:off x="6740169" y="1189341"/>
          <a:ext cx="2844657" cy="123650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2400" b="1">
              <a:solidFill>
                <a:schemeClr val="dk1"/>
              </a:solidFill>
              <a:latin typeface="+mn-lt"/>
              <a:ea typeface="+mn-ea"/>
              <a:cs typeface="+mn-cs"/>
            </a:rPr>
            <a:t>X = a + (b−a)*</a:t>
          </a:r>
          <a:r>
            <a:rPr lang="pl-PL" sz="2400" b="1">
              <a:solidFill>
                <a:schemeClr val="dk1"/>
              </a:solidFill>
              <a:latin typeface="+mn-lt"/>
              <a:ea typeface="+mn-ea"/>
              <a:cs typeface="+mn-cs"/>
            </a:rPr>
            <a:t>RAND</a:t>
          </a:r>
          <a:r>
            <a:rPr lang="en-US" sz="2400" b="1">
              <a:solidFill>
                <a:schemeClr val="dk1"/>
              </a:solidFill>
              <a:latin typeface="+mn-lt"/>
              <a:ea typeface="+mn-ea"/>
              <a:cs typeface="+mn-cs"/>
            </a:rPr>
            <a:t>()</a:t>
          </a:r>
          <a:endParaRPr lang="pl-PL" sz="2400" b="1">
            <a:solidFill>
              <a:schemeClr val="dk1"/>
            </a:solidFill>
            <a:latin typeface="+mn-lt"/>
            <a:ea typeface="+mn-ea"/>
            <a:cs typeface="+mn-cs"/>
          </a:endParaRPr>
        </a:p>
        <a:p>
          <a:r>
            <a:rPr lang="pl-PL" sz="2400" b="1">
              <a:solidFill>
                <a:schemeClr val="dk1"/>
              </a:solidFill>
              <a:latin typeface="+mn-lt"/>
              <a:ea typeface="+mn-ea"/>
              <a:cs typeface="+mn-cs"/>
            </a:rPr>
            <a:t>f(x)=1/(b-a)</a:t>
          </a:r>
          <a:endParaRPr lang="pl-PL" sz="2400"/>
        </a:p>
      </xdr:txBody>
    </xdr:sp>
    <xdr:clientData/>
  </xdr:twoCellAnchor>
  <xdr:twoCellAnchor>
    <xdr:from>
      <xdr:col>19</xdr:col>
      <xdr:colOff>0</xdr:colOff>
      <xdr:row>2</xdr:row>
      <xdr:rowOff>0</xdr:rowOff>
    </xdr:from>
    <xdr:to>
      <xdr:col>27</xdr:col>
      <xdr:colOff>419100</xdr:colOff>
      <xdr:row>7</xdr:row>
      <xdr:rowOff>66675</xdr:rowOff>
    </xdr:to>
    <xdr:sp macro="" textlink="">
      <xdr:nvSpPr>
        <xdr:cNvPr id="8" name="pole tekstowe 7">
          <a:extLst>
            <a:ext uri="{FF2B5EF4-FFF2-40B4-BE49-F238E27FC236}">
              <a16:creationId xmlns:a16="http://schemas.microsoft.com/office/drawing/2014/main" id="{00000000-0008-0000-0000-000008000000}"/>
            </a:ext>
          </a:extLst>
        </xdr:cNvPr>
        <xdr:cNvSpPr txBox="1"/>
      </xdr:nvSpPr>
      <xdr:spPr>
        <a:xfrm>
          <a:off x="21355050" y="561975"/>
          <a:ext cx="5924550" cy="971550"/>
        </a:xfrm>
        <a:prstGeom prst="rect">
          <a:avLst/>
        </a:prstGeom>
        <a:solidFill>
          <a:schemeClr val="accent6">
            <a:lumMod val="40000"/>
            <a:lumOff val="60000"/>
          </a:schemeClr>
        </a:solidFill>
      </xdr:spPr>
      <xdr:txBody>
        <a:bodyPr wrap="square" rtlCol="0">
          <a:noAutofit/>
        </a:bodyPr>
        <a:lstStyle>
          <a:defPPr>
            <a:defRPr lang="pl-PL"/>
          </a:defPPr>
          <a:lvl1pPr algn="l" rtl="0" fontAlgn="base">
            <a:spcBef>
              <a:spcPct val="0"/>
            </a:spcBef>
            <a:spcAft>
              <a:spcPct val="0"/>
            </a:spcAft>
            <a:defRPr kern="1200">
              <a:solidFill>
                <a:schemeClr val="tx1"/>
              </a:solidFill>
              <a:latin typeface="Arial" charset="0"/>
              <a:ea typeface="+mn-ea"/>
              <a:cs typeface="+mn-cs"/>
            </a:defRPr>
          </a:lvl1pPr>
          <a:lvl2pPr marL="457200" algn="l" rtl="0" fontAlgn="base">
            <a:spcBef>
              <a:spcPct val="0"/>
            </a:spcBef>
            <a:spcAft>
              <a:spcPct val="0"/>
            </a:spcAft>
            <a:defRPr kern="1200">
              <a:solidFill>
                <a:schemeClr val="tx1"/>
              </a:solidFill>
              <a:latin typeface="Arial" charset="0"/>
              <a:ea typeface="+mn-ea"/>
              <a:cs typeface="+mn-cs"/>
            </a:defRPr>
          </a:lvl2pPr>
          <a:lvl3pPr marL="914400" algn="l" rtl="0" fontAlgn="base">
            <a:spcBef>
              <a:spcPct val="0"/>
            </a:spcBef>
            <a:spcAft>
              <a:spcPct val="0"/>
            </a:spcAft>
            <a:defRPr kern="1200">
              <a:solidFill>
                <a:schemeClr val="tx1"/>
              </a:solidFill>
              <a:latin typeface="Arial" charset="0"/>
              <a:ea typeface="+mn-ea"/>
              <a:cs typeface="+mn-cs"/>
            </a:defRPr>
          </a:lvl3pPr>
          <a:lvl4pPr marL="1371600" algn="l" rtl="0" fontAlgn="base">
            <a:spcBef>
              <a:spcPct val="0"/>
            </a:spcBef>
            <a:spcAft>
              <a:spcPct val="0"/>
            </a:spcAft>
            <a:defRPr kern="1200">
              <a:solidFill>
                <a:schemeClr val="tx1"/>
              </a:solidFill>
              <a:latin typeface="Arial" charset="0"/>
              <a:ea typeface="+mn-ea"/>
              <a:cs typeface="+mn-cs"/>
            </a:defRPr>
          </a:lvl4pPr>
          <a:lvl5pPr marL="1828800" algn="l" rtl="0" fontAlgn="base">
            <a:spcBef>
              <a:spcPct val="0"/>
            </a:spcBef>
            <a:spcAft>
              <a:spcPct val="0"/>
            </a:spcAft>
            <a:defRPr kern="1200">
              <a:solidFill>
                <a:schemeClr val="tx1"/>
              </a:solidFill>
              <a:latin typeface="Arial" charset="0"/>
              <a:ea typeface="+mn-ea"/>
              <a:cs typeface="+mn-cs"/>
            </a:defRPr>
          </a:lvl5pPr>
          <a:lvl6pPr marL="2286000" algn="l" defTabSz="914400" rtl="0" eaLnBrk="1" latinLnBrk="0" hangingPunct="1">
            <a:defRPr kern="1200">
              <a:solidFill>
                <a:schemeClr val="tx1"/>
              </a:solidFill>
              <a:latin typeface="Arial" charset="0"/>
              <a:ea typeface="+mn-ea"/>
              <a:cs typeface="+mn-cs"/>
            </a:defRPr>
          </a:lvl6pPr>
          <a:lvl7pPr marL="2743200" algn="l" defTabSz="914400" rtl="0" eaLnBrk="1" latinLnBrk="0" hangingPunct="1">
            <a:defRPr kern="1200">
              <a:solidFill>
                <a:schemeClr val="tx1"/>
              </a:solidFill>
              <a:latin typeface="Arial" charset="0"/>
              <a:ea typeface="+mn-ea"/>
              <a:cs typeface="+mn-cs"/>
            </a:defRPr>
          </a:lvl7pPr>
          <a:lvl8pPr marL="3200400" algn="l" defTabSz="914400" rtl="0" eaLnBrk="1" latinLnBrk="0" hangingPunct="1">
            <a:defRPr kern="1200">
              <a:solidFill>
                <a:schemeClr val="tx1"/>
              </a:solidFill>
              <a:latin typeface="Arial" charset="0"/>
              <a:ea typeface="+mn-ea"/>
              <a:cs typeface="+mn-cs"/>
            </a:defRPr>
          </a:lvl8pPr>
          <a:lvl9pPr marL="3657600" algn="l" defTabSz="914400" rtl="0" eaLnBrk="1" latinLnBrk="0" hangingPunct="1">
            <a:defRPr kern="1200">
              <a:solidFill>
                <a:schemeClr val="tx1"/>
              </a:solidFill>
              <a:latin typeface="Arial" charset="0"/>
              <a:ea typeface="+mn-ea"/>
              <a:cs typeface="+mn-cs"/>
            </a:defRPr>
          </a:lvl9pPr>
        </a:lstStyle>
        <a:p>
          <a:pPr rtl="0" eaLnBrk="1" fontAlgn="base" latinLnBrk="0" hangingPunct="1"/>
          <a:r>
            <a:rPr lang="pl-PL" sz="1100" u="sng" kern="1200">
              <a:solidFill>
                <a:schemeClr val="tx1"/>
              </a:solidFill>
              <a:effectLst/>
              <a:latin typeface="Arial" charset="0"/>
              <a:ea typeface="+mn-ea"/>
              <a:cs typeface="+mn-cs"/>
            </a:rPr>
            <a:t>Example 2</a:t>
          </a:r>
          <a:r>
            <a:rPr lang="pl-PL" sz="1100" kern="1200">
              <a:solidFill>
                <a:schemeClr val="tx1"/>
              </a:solidFill>
              <a:effectLst/>
              <a:latin typeface="Arial" charset="0"/>
              <a:ea typeface="+mn-ea"/>
              <a:cs typeface="+mn-cs"/>
            </a:rPr>
            <a:t>: We invest on the stock market. The stock we have chosen is currently valued at 100 PLN. We expect that the next year's rate of return will be at least 10% (a), we are counting most on 12% (c), we also anticipate the possibility of obtaining 14% (b). </a:t>
          </a:r>
          <a:endParaRPr lang="en-US" sz="1400">
            <a:effectLst/>
          </a:endParaRPr>
        </a:p>
      </xdr:txBody>
    </xdr:sp>
    <xdr:clientData/>
  </xdr:twoCellAnchor>
  <xdr:twoCellAnchor>
    <xdr:from>
      <xdr:col>21</xdr:col>
      <xdr:colOff>656404</xdr:colOff>
      <xdr:row>7</xdr:row>
      <xdr:rowOff>78483</xdr:rowOff>
    </xdr:from>
    <xdr:to>
      <xdr:col>29</xdr:col>
      <xdr:colOff>271944</xdr:colOff>
      <xdr:row>10</xdr:row>
      <xdr:rowOff>178371</xdr:rowOff>
    </xdr:to>
    <xdr:sp macro="" textlink="">
      <xdr:nvSpPr>
        <xdr:cNvPr id="3073" name="pole tekstowe 3072">
          <a:extLst>
            <a:ext uri="{FF2B5EF4-FFF2-40B4-BE49-F238E27FC236}">
              <a16:creationId xmlns:a16="http://schemas.microsoft.com/office/drawing/2014/main" id="{00000000-0008-0000-0000-0000010C0000}"/>
            </a:ext>
          </a:extLst>
        </xdr:cNvPr>
        <xdr:cNvSpPr txBox="1"/>
      </xdr:nvSpPr>
      <xdr:spPr>
        <a:xfrm>
          <a:off x="24030112" y="1526854"/>
          <a:ext cx="4966663" cy="66353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n-US" sz="2400" b="1">
              <a:solidFill>
                <a:schemeClr val="dk1"/>
              </a:solidFill>
              <a:latin typeface="+mn-lt"/>
              <a:ea typeface="+mn-ea"/>
              <a:cs typeface="+mn-cs"/>
            </a:rPr>
            <a:t>X = a + (b−a)</a:t>
          </a:r>
          <a:r>
            <a:rPr lang="pl-PL" sz="2400" b="1">
              <a:solidFill>
                <a:schemeClr val="dk1"/>
              </a:solidFill>
              <a:latin typeface="+mn-lt"/>
              <a:ea typeface="+mn-ea"/>
              <a:cs typeface="+mn-cs"/>
            </a:rPr>
            <a:t>/2</a:t>
          </a:r>
          <a:r>
            <a:rPr lang="en-US" sz="2400" b="1">
              <a:solidFill>
                <a:schemeClr val="dk1"/>
              </a:solidFill>
              <a:latin typeface="+mn-lt"/>
              <a:ea typeface="+mn-ea"/>
              <a:cs typeface="+mn-cs"/>
            </a:rPr>
            <a:t>*</a:t>
          </a:r>
          <a:r>
            <a:rPr lang="pl-PL" sz="2400" b="1">
              <a:solidFill>
                <a:schemeClr val="dk1"/>
              </a:solidFill>
              <a:latin typeface="+mn-lt"/>
              <a:ea typeface="+mn-ea"/>
              <a:cs typeface="+mn-cs"/>
            </a:rPr>
            <a:t>(RAND</a:t>
          </a:r>
          <a:r>
            <a:rPr lang="en-US" sz="2400" b="1">
              <a:solidFill>
                <a:schemeClr val="dk1"/>
              </a:solidFill>
              <a:latin typeface="+mn-lt"/>
              <a:ea typeface="+mn-ea"/>
              <a:cs typeface="+mn-cs"/>
            </a:rPr>
            <a:t>()</a:t>
          </a:r>
          <a:r>
            <a:rPr lang="pl-PL" sz="2400" b="1">
              <a:solidFill>
                <a:schemeClr val="dk1"/>
              </a:solidFill>
              <a:latin typeface="+mn-lt"/>
              <a:ea typeface="+mn-ea"/>
              <a:cs typeface="+mn-cs"/>
            </a:rPr>
            <a:t>+RAND())</a:t>
          </a:r>
          <a:endParaRPr lang="pl-PL" sz="2400"/>
        </a:p>
      </xdr:txBody>
    </xdr:sp>
    <xdr:clientData/>
  </xdr:twoCellAnchor>
  <xdr:twoCellAnchor>
    <xdr:from>
      <xdr:col>27</xdr:col>
      <xdr:colOff>180975</xdr:colOff>
      <xdr:row>14</xdr:row>
      <xdr:rowOff>171450</xdr:rowOff>
    </xdr:from>
    <xdr:to>
      <xdr:col>33</xdr:col>
      <xdr:colOff>638175</xdr:colOff>
      <xdr:row>29</xdr:row>
      <xdr:rowOff>57150</xdr:rowOff>
    </xdr:to>
    <xdr:graphicFrame macro="">
      <xdr:nvGraphicFramePr>
        <xdr:cNvPr id="12" name="Wykres 11">
          <a:extLst>
            <a:ext uri="{FF2B5EF4-FFF2-40B4-BE49-F238E27FC236}">
              <a16:creationId xmlns:a16="http://schemas.microsoft.com/office/drawing/2014/main" id="{00000000-0008-0000-00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55508</xdr:colOff>
      <xdr:row>13</xdr:row>
      <xdr:rowOff>176122</xdr:rowOff>
    </xdr:from>
    <xdr:to>
      <xdr:col>18</xdr:col>
      <xdr:colOff>0</xdr:colOff>
      <xdr:row>31</xdr:row>
      <xdr:rowOff>64214</xdr:rowOff>
    </xdr:to>
    <xdr:graphicFrame macro="">
      <xdr:nvGraphicFramePr>
        <xdr:cNvPr id="14" name="Wykres 13">
          <a:extLst>
            <a:ext uri="{FF2B5EF4-FFF2-40B4-BE49-F238E27FC236}">
              <a16:creationId xmlns:a16="http://schemas.microsoft.com/office/drawing/2014/main" id="{00000000-0008-0000-00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29</xdr:col>
      <xdr:colOff>549382</xdr:colOff>
      <xdr:row>0</xdr:row>
      <xdr:rowOff>349606</xdr:rowOff>
    </xdr:from>
    <xdr:to>
      <xdr:col>34</xdr:col>
      <xdr:colOff>128426</xdr:colOff>
      <xdr:row>2</xdr:row>
      <xdr:rowOff>171235</xdr:rowOff>
    </xdr:to>
    <xdr:sp macro="" textlink="">
      <xdr:nvSpPr>
        <xdr:cNvPr id="15" name="pole tekstowe 14">
          <a:extLst>
            <a:ext uri="{FF2B5EF4-FFF2-40B4-BE49-F238E27FC236}">
              <a16:creationId xmlns:a16="http://schemas.microsoft.com/office/drawing/2014/main" id="{00000000-0008-0000-0000-00000F000000}"/>
            </a:ext>
          </a:extLst>
        </xdr:cNvPr>
        <xdr:cNvSpPr txBox="1"/>
      </xdr:nvSpPr>
      <xdr:spPr>
        <a:xfrm>
          <a:off x="29274213" y="349606"/>
          <a:ext cx="2896741" cy="37814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200" b="1"/>
            <a:t>density function of triangular distribution</a:t>
          </a:r>
        </a:p>
      </xdr:txBody>
    </xdr:sp>
    <xdr:clientData/>
  </xdr:twoCellAnchor>
  <xdr:twoCellAnchor editAs="oneCell">
    <xdr:from>
      <xdr:col>29</xdr:col>
      <xdr:colOff>606460</xdr:colOff>
      <xdr:row>3</xdr:row>
      <xdr:rowOff>28540</xdr:rowOff>
    </xdr:from>
    <xdr:to>
      <xdr:col>36</xdr:col>
      <xdr:colOff>161417</xdr:colOff>
      <xdr:row>9</xdr:row>
      <xdr:rowOff>142696</xdr:rowOff>
    </xdr:to>
    <xdr:pic>
      <xdr:nvPicPr>
        <xdr:cNvPr id="3085" name="Obraz 3084">
          <a:extLst>
            <a:ext uri="{FF2B5EF4-FFF2-40B4-BE49-F238E27FC236}">
              <a16:creationId xmlns:a16="http://schemas.microsoft.com/office/drawing/2014/main" id="{00000000-0008-0000-0000-00000D0C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9331291" y="763428"/>
          <a:ext cx="4199734" cy="12129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A265"/>
  <sheetViews>
    <sheetView tabSelected="1" zoomScale="62" zoomScaleNormal="62" workbookViewId="0">
      <selection activeCell="G12" sqref="G12"/>
    </sheetView>
  </sheetViews>
  <sheetFormatPr defaultRowHeight="13.8"/>
  <cols>
    <col min="3" max="3" width="10.69921875" customWidth="1"/>
    <col min="7" max="7" width="9.3984375" customWidth="1"/>
    <col min="8" max="8" width="10.5" customWidth="1"/>
    <col min="22" max="22" width="9.19921875" bestFit="1" customWidth="1"/>
    <col min="26" max="26" width="13.5" customWidth="1"/>
    <col min="27" max="27" width="11.09765625" customWidth="1"/>
  </cols>
  <sheetData>
    <row r="1" spans="1:27" ht="30">
      <c r="A1" s="1" t="s">
        <v>5</v>
      </c>
      <c r="B1" s="2"/>
      <c r="C1" s="2"/>
      <c r="D1" s="3"/>
      <c r="E1" s="3"/>
      <c r="T1" s="25" t="s">
        <v>17</v>
      </c>
      <c r="U1" s="25"/>
      <c r="V1" s="25"/>
      <c r="W1" s="25"/>
      <c r="X1" s="25"/>
      <c r="Y1" s="25"/>
      <c r="Z1" s="25"/>
      <c r="AA1" s="25"/>
    </row>
    <row r="9" spans="1:27" ht="16.5" customHeight="1">
      <c r="C9" s="4"/>
      <c r="T9" s="5" t="s">
        <v>15</v>
      </c>
      <c r="V9" s="4"/>
    </row>
    <row r="10" spans="1:27">
      <c r="T10" t="s">
        <v>0</v>
      </c>
      <c r="U10">
        <v>10</v>
      </c>
    </row>
    <row r="11" spans="1:27" ht="15.6">
      <c r="A11" s="5" t="s">
        <v>6</v>
      </c>
      <c r="T11" s="6" t="s">
        <v>1</v>
      </c>
      <c r="U11" s="6">
        <v>12</v>
      </c>
    </row>
    <row r="12" spans="1:27" ht="15">
      <c r="A12" s="6" t="s">
        <v>2</v>
      </c>
      <c r="B12" s="6">
        <v>5000</v>
      </c>
      <c r="T12" s="6" t="s">
        <v>3</v>
      </c>
      <c r="U12" s="6">
        <v>14</v>
      </c>
    </row>
    <row r="13" spans="1:27" ht="15">
      <c r="A13" s="6" t="s">
        <v>4</v>
      </c>
      <c r="B13" s="6">
        <v>6000</v>
      </c>
    </row>
    <row r="15" spans="1:27" ht="41.4">
      <c r="B15" s="7" t="s">
        <v>7</v>
      </c>
      <c r="C15" s="7" t="s">
        <v>8</v>
      </c>
      <c r="D15" s="7"/>
      <c r="F15" s="19"/>
      <c r="G15" s="20" t="s">
        <v>9</v>
      </c>
      <c r="H15" s="21" t="s">
        <v>18</v>
      </c>
      <c r="U15" s="7" t="s">
        <v>7</v>
      </c>
      <c r="V15" s="7" t="s">
        <v>7</v>
      </c>
      <c r="W15" s="7" t="s">
        <v>16</v>
      </c>
      <c r="Y15" s="13"/>
      <c r="Z15" s="14" t="s">
        <v>9</v>
      </c>
      <c r="AA15" s="15" t="s">
        <v>18</v>
      </c>
    </row>
    <row r="16" spans="1:27" ht="15">
      <c r="A16" s="6">
        <v>1</v>
      </c>
      <c r="B16" s="6">
        <f ca="1">RAND()</f>
        <v>2.6080916580082159E-2</v>
      </c>
      <c r="C16" s="8">
        <f ca="1">$B$12+($B$13-$B$12)*B16</f>
        <v>5026.080916580082</v>
      </c>
      <c r="F16" s="22">
        <f>B12</f>
        <v>5000</v>
      </c>
      <c r="G16" s="23" cm="1">
        <f t="array" aca="1" ref="G16:G28" ca="1">FREQUENCY(C16:C265,F16:F27)</f>
        <v>0</v>
      </c>
      <c r="H16" s="17">
        <f>1/($B$13-$B$12)</f>
        <v>1E-3</v>
      </c>
      <c r="T16" s="6">
        <v>1</v>
      </c>
      <c r="U16" s="6">
        <f ca="1">RAND()</f>
        <v>0.65319853818086637</v>
      </c>
      <c r="V16">
        <f ca="1">RAND()</f>
        <v>8.837406551264182E-2</v>
      </c>
      <c r="W16" s="8">
        <f ca="1">$U$10+($U$12-$U$10)/2*(U16+V16)</f>
        <v>11.483145207387016</v>
      </c>
      <c r="Y16" s="16">
        <f>U10</f>
        <v>10</v>
      </c>
      <c r="Z16" cm="1">
        <f t="array" aca="1" ref="Z16:Z27" ca="1">FREQUENCY(W16:W265,Y16:Y26)</f>
        <v>0</v>
      </c>
      <c r="AA16" s="17">
        <f>IF(AND(Y16&gt;=$U$10, Y16&lt;=$U$11),(2*(Y16-$U$10))/(($U$12-$U$10)*($U$12-$U$11)),IF(AND(Y16&gt;=$U$11,Y16&lt;=$U$12),((2*($U$12-Y16))/(($U$12-$U$10)*($U$12-$U$11))),"FALSE"))</f>
        <v>0</v>
      </c>
    </row>
    <row r="17" spans="1:27" ht="15">
      <c r="A17" s="6">
        <v>2</v>
      </c>
      <c r="B17" s="6">
        <f t="shared" ref="B17:B80" ca="1" si="0">RAND()</f>
        <v>0.55601676622171814</v>
      </c>
      <c r="C17" s="8">
        <f t="shared" ref="C17:C80" ca="1" si="1">$B$12+($B$13-$B$12)*B17</f>
        <v>5556.0167662217182</v>
      </c>
      <c r="F17" s="22">
        <f>F16+100</f>
        <v>5100</v>
      </c>
      <c r="G17" s="23">
        <f ca="1"/>
        <v>31</v>
      </c>
      <c r="H17" s="17">
        <f t="shared" ref="H17:H27" si="2">1/($B$13-$B$12)</f>
        <v>1E-3</v>
      </c>
      <c r="T17" s="6">
        <v>2</v>
      </c>
      <c r="U17" s="6">
        <f t="shared" ref="U17:U80" ca="1" si="3">RAND()</f>
        <v>0.26203553733117835</v>
      </c>
      <c r="V17">
        <f t="shared" ref="V17:V80" ca="1" si="4">RAND()</f>
        <v>0.9810911895029667</v>
      </c>
      <c r="W17" s="8">
        <f t="shared" ref="W17:W80" ca="1" si="5">$U$10+($U$12-$U$10)/2*(U17+V17)</f>
        <v>12.48625345366829</v>
      </c>
      <c r="Y17" s="16">
        <f>Y16+0.5</f>
        <v>10.5</v>
      </c>
      <c r="Z17">
        <f ca="1"/>
        <v>9</v>
      </c>
      <c r="AA17" s="17">
        <f t="shared" ref="AA17:AA26" si="6">IF(AND(Y17&gt;=$U$10, Y17&lt;=$U$11),(2*(Y17-$U$10))/(($U$12-$U$10)*($U$12-$U$11)),IF(AND(Y17&gt;=$U$11,Y17&lt;=$U$12),((2*($U$12-Y17))/(($U$12-$U$10)*($U$12-$U$11))),"FALSE"))</f>
        <v>0.125</v>
      </c>
    </row>
    <row r="18" spans="1:27" ht="15">
      <c r="A18" s="6">
        <v>3</v>
      </c>
      <c r="B18" s="6">
        <f t="shared" ca="1" si="0"/>
        <v>0.8931415030394686</v>
      </c>
      <c r="C18" s="8">
        <f t="shared" ca="1" si="1"/>
        <v>5893.1415030394683</v>
      </c>
      <c r="F18" s="22">
        <f t="shared" ref="F18:F27" si="7">F17+100</f>
        <v>5200</v>
      </c>
      <c r="G18" s="23">
        <f ca="1"/>
        <v>21</v>
      </c>
      <c r="H18" s="17">
        <f t="shared" si="2"/>
        <v>1E-3</v>
      </c>
      <c r="T18" s="6">
        <v>3</v>
      </c>
      <c r="U18" s="6">
        <f t="shared" ca="1" si="3"/>
        <v>0.3002433834075694</v>
      </c>
      <c r="V18">
        <f t="shared" ca="1" si="4"/>
        <v>6.6763441966802284E-2</v>
      </c>
      <c r="W18" s="8">
        <f t="shared" ca="1" si="5"/>
        <v>10.734013650748743</v>
      </c>
      <c r="Y18" s="16">
        <f t="shared" ref="Y18:Y26" si="8">Y17+0.5</f>
        <v>11</v>
      </c>
      <c r="Z18">
        <f ca="1"/>
        <v>22</v>
      </c>
      <c r="AA18" s="17">
        <f t="shared" si="6"/>
        <v>0.25</v>
      </c>
    </row>
    <row r="19" spans="1:27" ht="15">
      <c r="A19" s="6">
        <v>4</v>
      </c>
      <c r="B19" s="6">
        <f t="shared" ca="1" si="0"/>
        <v>0.73797447197634636</v>
      </c>
      <c r="C19" s="8">
        <f t="shared" ca="1" si="1"/>
        <v>5737.9744719763466</v>
      </c>
      <c r="F19" s="22">
        <f t="shared" si="7"/>
        <v>5300</v>
      </c>
      <c r="G19" s="23">
        <f ca="1"/>
        <v>28</v>
      </c>
      <c r="H19" s="17">
        <f t="shared" si="2"/>
        <v>1E-3</v>
      </c>
      <c r="T19" s="6">
        <v>4</v>
      </c>
      <c r="U19" s="6">
        <f t="shared" ca="1" si="3"/>
        <v>3.0939384916673918E-2</v>
      </c>
      <c r="V19">
        <f t="shared" ca="1" si="4"/>
        <v>0.73890347069362061</v>
      </c>
      <c r="W19" s="8">
        <f t="shared" ca="1" si="5"/>
        <v>11.539685711220589</v>
      </c>
      <c r="Y19" s="16">
        <f t="shared" si="8"/>
        <v>11.5</v>
      </c>
      <c r="Z19">
        <f ca="1"/>
        <v>38</v>
      </c>
      <c r="AA19" s="17">
        <f t="shared" si="6"/>
        <v>0.375</v>
      </c>
    </row>
    <row r="20" spans="1:27" ht="15">
      <c r="A20" s="6">
        <v>5</v>
      </c>
      <c r="B20" s="6">
        <f t="shared" ca="1" si="0"/>
        <v>0.19962086341594232</v>
      </c>
      <c r="C20" s="8">
        <f t="shared" ca="1" si="1"/>
        <v>5199.620863415942</v>
      </c>
      <c r="F20" s="22">
        <f t="shared" si="7"/>
        <v>5400</v>
      </c>
      <c r="G20" s="23">
        <f ca="1"/>
        <v>32</v>
      </c>
      <c r="H20" s="17">
        <f t="shared" si="2"/>
        <v>1E-3</v>
      </c>
      <c r="T20" s="6">
        <v>5</v>
      </c>
      <c r="U20" s="6">
        <f t="shared" ca="1" si="3"/>
        <v>0.10466921349134528</v>
      </c>
      <c r="V20">
        <f t="shared" ca="1" si="4"/>
        <v>2.320347369272413E-2</v>
      </c>
      <c r="W20" s="8">
        <f t="shared" ca="1" si="5"/>
        <v>10.255745374368139</v>
      </c>
      <c r="Y20" s="16">
        <f t="shared" si="8"/>
        <v>12</v>
      </c>
      <c r="Z20">
        <f ca="1"/>
        <v>66</v>
      </c>
      <c r="AA20" s="17">
        <f t="shared" si="6"/>
        <v>0.5</v>
      </c>
    </row>
    <row r="21" spans="1:27" ht="15">
      <c r="A21" s="6">
        <v>6</v>
      </c>
      <c r="B21" s="6">
        <f t="shared" ca="1" si="0"/>
        <v>0.42987366023711537</v>
      </c>
      <c r="C21" s="8">
        <f t="shared" ca="1" si="1"/>
        <v>5429.8736602371155</v>
      </c>
      <c r="F21" s="22">
        <f t="shared" si="7"/>
        <v>5500</v>
      </c>
      <c r="G21" s="23">
        <f ca="1"/>
        <v>20</v>
      </c>
      <c r="H21" s="17">
        <f t="shared" si="2"/>
        <v>1E-3</v>
      </c>
      <c r="T21" s="6">
        <v>6</v>
      </c>
      <c r="U21" s="6">
        <f t="shared" ca="1" si="3"/>
        <v>0.9938830628692894</v>
      </c>
      <c r="V21">
        <f t="shared" ca="1" si="4"/>
        <v>0.14009355364268117</v>
      </c>
      <c r="W21" s="8">
        <f t="shared" ca="1" si="5"/>
        <v>12.267953233023942</v>
      </c>
      <c r="Y21" s="16">
        <f t="shared" si="8"/>
        <v>12.5</v>
      </c>
      <c r="Z21">
        <f ca="1"/>
        <v>50</v>
      </c>
      <c r="AA21" s="17">
        <f t="shared" si="6"/>
        <v>0.375</v>
      </c>
    </row>
    <row r="22" spans="1:27" ht="15">
      <c r="A22" s="6">
        <v>7</v>
      </c>
      <c r="B22" s="6">
        <f t="shared" ca="1" si="0"/>
        <v>2.3247287323386878E-3</v>
      </c>
      <c r="C22" s="8">
        <f t="shared" ca="1" si="1"/>
        <v>5002.3247287323384</v>
      </c>
      <c r="F22" s="22">
        <f t="shared" si="7"/>
        <v>5600</v>
      </c>
      <c r="G22" s="23">
        <f ca="1"/>
        <v>24</v>
      </c>
      <c r="H22" s="17">
        <f t="shared" si="2"/>
        <v>1E-3</v>
      </c>
      <c r="T22" s="6">
        <v>7</v>
      </c>
      <c r="U22" s="6">
        <f t="shared" ca="1" si="3"/>
        <v>0.41457697862490284</v>
      </c>
      <c r="V22">
        <f t="shared" ca="1" si="4"/>
        <v>0.76329527236560091</v>
      </c>
      <c r="W22" s="8">
        <f t="shared" ca="1" si="5"/>
        <v>12.355744501981007</v>
      </c>
      <c r="Y22" s="16">
        <f t="shared" si="8"/>
        <v>13</v>
      </c>
      <c r="Z22">
        <f ca="1"/>
        <v>32</v>
      </c>
      <c r="AA22" s="17">
        <f t="shared" si="6"/>
        <v>0.25</v>
      </c>
    </row>
    <row r="23" spans="1:27" ht="15">
      <c r="A23" s="6">
        <v>8</v>
      </c>
      <c r="B23" s="6">
        <f t="shared" ca="1" si="0"/>
        <v>0.70251961107335548</v>
      </c>
      <c r="C23" s="8">
        <f t="shared" ca="1" si="1"/>
        <v>5702.5196110733559</v>
      </c>
      <c r="F23" s="22">
        <f t="shared" si="7"/>
        <v>5700</v>
      </c>
      <c r="G23" s="23">
        <f ca="1"/>
        <v>24</v>
      </c>
      <c r="H23" s="17">
        <f t="shared" si="2"/>
        <v>1E-3</v>
      </c>
      <c r="T23" s="6">
        <v>8</v>
      </c>
      <c r="U23" s="6">
        <f t="shared" ca="1" si="3"/>
        <v>0.77926353133842396</v>
      </c>
      <c r="V23">
        <f t="shared" ca="1" si="4"/>
        <v>0.32109031075635608</v>
      </c>
      <c r="W23" s="8">
        <f t="shared" ca="1" si="5"/>
        <v>12.20070768418956</v>
      </c>
      <c r="Y23" s="16">
        <f t="shared" si="8"/>
        <v>13.5</v>
      </c>
      <c r="Z23">
        <f ca="1"/>
        <v>22</v>
      </c>
      <c r="AA23" s="17">
        <f t="shared" si="6"/>
        <v>0.125</v>
      </c>
    </row>
    <row r="24" spans="1:27" ht="15">
      <c r="A24" s="6">
        <v>9</v>
      </c>
      <c r="B24" s="6">
        <f t="shared" ca="1" si="0"/>
        <v>0.35796796861431468</v>
      </c>
      <c r="C24" s="8">
        <f t="shared" ca="1" si="1"/>
        <v>5357.9679686143145</v>
      </c>
      <c r="F24" s="22">
        <f t="shared" si="7"/>
        <v>5800</v>
      </c>
      <c r="G24" s="23">
        <f ca="1"/>
        <v>25</v>
      </c>
      <c r="H24" s="17">
        <f t="shared" si="2"/>
        <v>1E-3</v>
      </c>
      <c r="T24" s="6">
        <v>9</v>
      </c>
      <c r="U24" s="6">
        <f t="shared" ca="1" si="3"/>
        <v>0.41466908791299339</v>
      </c>
      <c r="V24">
        <f t="shared" ca="1" si="4"/>
        <v>0.98530275822747304</v>
      </c>
      <c r="W24" s="8">
        <f t="shared" ca="1" si="5"/>
        <v>12.799943692280934</v>
      </c>
      <c r="Y24" s="16">
        <f t="shared" si="8"/>
        <v>14</v>
      </c>
      <c r="Z24">
        <f ca="1"/>
        <v>11</v>
      </c>
      <c r="AA24" s="17">
        <f t="shared" si="6"/>
        <v>0</v>
      </c>
    </row>
    <row r="25" spans="1:27" ht="15">
      <c r="A25" s="6">
        <v>10</v>
      </c>
      <c r="B25" s="6">
        <f t="shared" ca="1" si="0"/>
        <v>0.35162896730714155</v>
      </c>
      <c r="C25" s="8">
        <f t="shared" ca="1" si="1"/>
        <v>5351.6289673071415</v>
      </c>
      <c r="F25" s="22">
        <f t="shared" si="7"/>
        <v>5900</v>
      </c>
      <c r="G25" s="23">
        <f ca="1"/>
        <v>16</v>
      </c>
      <c r="H25" s="17">
        <f t="shared" si="2"/>
        <v>1E-3</v>
      </c>
      <c r="T25" s="6">
        <v>10</v>
      </c>
      <c r="U25" s="6">
        <f t="shared" ca="1" si="3"/>
        <v>0.74909730379017669</v>
      </c>
      <c r="V25">
        <f t="shared" ca="1" si="4"/>
        <v>0.34615184119715092</v>
      </c>
      <c r="W25" s="8">
        <f t="shared" ca="1" si="5"/>
        <v>12.190498289974656</v>
      </c>
      <c r="Y25" s="16">
        <f t="shared" si="8"/>
        <v>14.5</v>
      </c>
      <c r="Z25">
        <f ca="1"/>
        <v>0</v>
      </c>
      <c r="AA25" s="17" t="str">
        <f t="shared" si="6"/>
        <v>FALSE</v>
      </c>
    </row>
    <row r="26" spans="1:27" ht="15">
      <c r="A26" s="6">
        <v>11</v>
      </c>
      <c r="B26" s="6">
        <f t="shared" ca="1" si="0"/>
        <v>7.1547213139834365E-2</v>
      </c>
      <c r="C26" s="8">
        <f t="shared" ca="1" si="1"/>
        <v>5071.5472131398346</v>
      </c>
      <c r="F26" s="22">
        <f t="shared" si="7"/>
        <v>6000</v>
      </c>
      <c r="G26" s="23">
        <f ca="1"/>
        <v>29</v>
      </c>
      <c r="H26" s="17">
        <f t="shared" si="2"/>
        <v>1E-3</v>
      </c>
      <c r="T26" s="6">
        <v>11</v>
      </c>
      <c r="U26" s="6">
        <f t="shared" ca="1" si="3"/>
        <v>7.9250340792587526E-2</v>
      </c>
      <c r="V26">
        <f t="shared" ca="1" si="4"/>
        <v>0.69376702182613137</v>
      </c>
      <c r="W26" s="8">
        <f t="shared" ca="1" si="5"/>
        <v>11.546034725237437</v>
      </c>
      <c r="Y26" s="18">
        <f t="shared" si="8"/>
        <v>15</v>
      </c>
      <c r="Z26">
        <f ca="1"/>
        <v>0</v>
      </c>
      <c r="AA26" s="17" t="str">
        <f t="shared" si="6"/>
        <v>FALSE</v>
      </c>
    </row>
    <row r="27" spans="1:27" ht="15">
      <c r="A27" s="6">
        <v>12</v>
      </c>
      <c r="B27" s="6">
        <f t="shared" ca="1" si="0"/>
        <v>0.7022000906633421</v>
      </c>
      <c r="C27" s="8">
        <f t="shared" ca="1" si="1"/>
        <v>5702.2000906633421</v>
      </c>
      <c r="F27" s="24">
        <f t="shared" si="7"/>
        <v>6100</v>
      </c>
      <c r="G27" s="23">
        <f ca="1"/>
        <v>0</v>
      </c>
      <c r="H27" s="17">
        <f t="shared" si="2"/>
        <v>1E-3</v>
      </c>
      <c r="T27" s="6">
        <v>12</v>
      </c>
      <c r="U27" s="6">
        <f t="shared" ca="1" si="3"/>
        <v>0.96816823180149802</v>
      </c>
      <c r="V27">
        <f t="shared" ca="1" si="4"/>
        <v>0.70251370624371834</v>
      </c>
      <c r="W27" s="8">
        <f t="shared" ca="1" si="5"/>
        <v>13.341363876090433</v>
      </c>
      <c r="Z27">
        <f ca="1"/>
        <v>0</v>
      </c>
    </row>
    <row r="28" spans="1:27" ht="15">
      <c r="A28" s="6">
        <v>13</v>
      </c>
      <c r="B28" s="6">
        <f t="shared" ca="1" si="0"/>
        <v>0.10991949884448182</v>
      </c>
      <c r="C28" s="8">
        <f t="shared" ca="1" si="1"/>
        <v>5109.9194988444815</v>
      </c>
      <c r="G28" s="23">
        <f ca="1"/>
        <v>0</v>
      </c>
      <c r="T28" s="6">
        <v>13</v>
      </c>
      <c r="U28" s="6">
        <f t="shared" ca="1" si="3"/>
        <v>0.32937672585951272</v>
      </c>
      <c r="V28">
        <f t="shared" ca="1" si="4"/>
        <v>0.65146603995670371</v>
      </c>
      <c r="W28" s="8">
        <f t="shared" ca="1" si="5"/>
        <v>11.961685531632433</v>
      </c>
    </row>
    <row r="29" spans="1:27" ht="15">
      <c r="A29" s="6">
        <v>14</v>
      </c>
      <c r="B29" s="6">
        <f t="shared" ca="1" si="0"/>
        <v>0.5261147774100714</v>
      </c>
      <c r="C29" s="8">
        <f t="shared" ca="1" si="1"/>
        <v>5526.1147774100718</v>
      </c>
      <c r="T29" s="6">
        <v>14</v>
      </c>
      <c r="U29" s="6">
        <f t="shared" ca="1" si="3"/>
        <v>4.2091886325220318E-2</v>
      </c>
      <c r="V29">
        <f t="shared" ca="1" si="4"/>
        <v>0.25923964522053489</v>
      </c>
      <c r="W29" s="8">
        <f t="shared" ca="1" si="5"/>
        <v>10.60266306309151</v>
      </c>
    </row>
    <row r="30" spans="1:27" ht="15">
      <c r="A30" s="6">
        <v>15</v>
      </c>
      <c r="B30" s="6">
        <f t="shared" ca="1" si="0"/>
        <v>0.64160733594702735</v>
      </c>
      <c r="C30" s="8">
        <f t="shared" ca="1" si="1"/>
        <v>5641.6073359470274</v>
      </c>
      <c r="T30" s="6">
        <v>15</v>
      </c>
      <c r="U30" s="6">
        <f t="shared" ca="1" si="3"/>
        <v>0.59286526918370519</v>
      </c>
      <c r="V30">
        <f t="shared" ca="1" si="4"/>
        <v>0.60782316898337918</v>
      </c>
      <c r="W30" s="8">
        <f t="shared" ca="1" si="5"/>
        <v>12.401376876334169</v>
      </c>
    </row>
    <row r="31" spans="1:27" ht="15">
      <c r="A31" s="6">
        <v>16</v>
      </c>
      <c r="B31" s="6">
        <f t="shared" ca="1" si="0"/>
        <v>9.9705388417141827E-2</v>
      </c>
      <c r="C31" s="8">
        <f t="shared" ca="1" si="1"/>
        <v>5099.7053884171419</v>
      </c>
      <c r="T31" s="6">
        <v>16</v>
      </c>
      <c r="U31" s="6">
        <f t="shared" ca="1" si="3"/>
        <v>0.95436300809240637</v>
      </c>
      <c r="V31">
        <f t="shared" ca="1" si="4"/>
        <v>0.52981103229591586</v>
      </c>
      <c r="W31" s="8">
        <f t="shared" ca="1" si="5"/>
        <v>12.968348080776645</v>
      </c>
    </row>
    <row r="32" spans="1:27" ht="15">
      <c r="A32" s="6">
        <v>17</v>
      </c>
      <c r="B32" s="6">
        <f t="shared" ca="1" si="0"/>
        <v>0.89421111272181042</v>
      </c>
      <c r="C32" s="8">
        <f t="shared" ca="1" si="1"/>
        <v>5894.2111127218104</v>
      </c>
      <c r="T32" s="6">
        <v>17</v>
      </c>
      <c r="U32" s="6">
        <f t="shared" ca="1" si="3"/>
        <v>0.71634439627281576</v>
      </c>
      <c r="V32">
        <f t="shared" ca="1" si="4"/>
        <v>0.11514172693989955</v>
      </c>
      <c r="W32" s="8">
        <f t="shared" ca="1" si="5"/>
        <v>11.662972246425431</v>
      </c>
    </row>
    <row r="33" spans="1:27" ht="15">
      <c r="A33" s="6">
        <v>18</v>
      </c>
      <c r="B33" s="6">
        <f t="shared" ca="1" si="0"/>
        <v>0.56168135596825597</v>
      </c>
      <c r="C33" s="8">
        <f t="shared" ca="1" si="1"/>
        <v>5561.681355968256</v>
      </c>
      <c r="T33" s="6">
        <v>18</v>
      </c>
      <c r="U33" s="6">
        <f t="shared" ca="1" si="3"/>
        <v>0.58268127598548392</v>
      </c>
      <c r="V33">
        <f t="shared" ca="1" si="4"/>
        <v>0.7783054180052158</v>
      </c>
      <c r="W33" s="8">
        <f t="shared" ca="1" si="5"/>
        <v>12.7219733879814</v>
      </c>
    </row>
    <row r="34" spans="1:27" ht="17.399999999999999">
      <c r="A34" s="6">
        <v>19</v>
      </c>
      <c r="B34" s="6">
        <f t="shared" ca="1" si="0"/>
        <v>0.10463649772282912</v>
      </c>
      <c r="C34" s="8">
        <f t="shared" ca="1" si="1"/>
        <v>5104.6364977228295</v>
      </c>
      <c r="F34" s="9" t="s">
        <v>10</v>
      </c>
      <c r="G34" s="10"/>
      <c r="H34" s="12">
        <f ca="1">AVERAGE(C16:C265)</f>
        <v>5482.3664838290106</v>
      </c>
      <c r="T34" s="6">
        <v>19</v>
      </c>
      <c r="U34" s="6">
        <f t="shared" ca="1" si="3"/>
        <v>8.4395144999872551E-3</v>
      </c>
      <c r="V34">
        <f t="shared" ca="1" si="4"/>
        <v>0.49421555179652088</v>
      </c>
      <c r="W34" s="8">
        <f t="shared" ca="1" si="5"/>
        <v>11.005310132593017</v>
      </c>
      <c r="Y34" s="9" t="s">
        <v>10</v>
      </c>
      <c r="Z34" s="10"/>
      <c r="AA34" s="12">
        <f ca="1">AVERAGE(W16:W265)</f>
        <v>11.979917137464875</v>
      </c>
    </row>
    <row r="35" spans="1:27" ht="17.399999999999999">
      <c r="A35" s="6">
        <v>20</v>
      </c>
      <c r="B35" s="6">
        <f t="shared" ca="1" si="0"/>
        <v>0.21396605903962396</v>
      </c>
      <c r="C35" s="8">
        <f t="shared" ca="1" si="1"/>
        <v>5213.9660590396243</v>
      </c>
      <c r="F35" s="9" t="s">
        <v>11</v>
      </c>
      <c r="G35" s="10"/>
      <c r="H35" s="11">
        <f ca="1">_xlfn.STDEV.S(C16:C265)</f>
        <v>295.43020872425876</v>
      </c>
      <c r="T35" s="6">
        <v>20</v>
      </c>
      <c r="U35" s="6">
        <f t="shared" ca="1" si="3"/>
        <v>0.28330526480328144</v>
      </c>
      <c r="V35">
        <f t="shared" ca="1" si="4"/>
        <v>0.35551049790224798</v>
      </c>
      <c r="W35" s="8">
        <f t="shared" ca="1" si="5"/>
        <v>11.277631525411058</v>
      </c>
      <c r="Y35" s="9" t="s">
        <v>11</v>
      </c>
      <c r="Z35" s="10"/>
      <c r="AA35" s="12">
        <f ca="1">_xlfn.STDEV.S(W16:W265)</f>
        <v>0.81960251929633521</v>
      </c>
    </row>
    <row r="36" spans="1:27" ht="17.399999999999999">
      <c r="A36" s="6">
        <v>21</v>
      </c>
      <c r="B36" s="6">
        <f t="shared" ca="1" si="0"/>
        <v>0.25291583248581262</v>
      </c>
      <c r="C36" s="8">
        <f t="shared" ca="1" si="1"/>
        <v>5252.9158324858126</v>
      </c>
      <c r="F36" s="9" t="s">
        <v>12</v>
      </c>
      <c r="G36" s="10"/>
      <c r="H36" s="11">
        <f ca="1">_xlfn.CONFIDENCE.T(0.05,H34,250)</f>
        <v>682.907958894545</v>
      </c>
      <c r="T36" s="6">
        <v>21</v>
      </c>
      <c r="U36" s="6">
        <f t="shared" ca="1" si="3"/>
        <v>0.73373173028928063</v>
      </c>
      <c r="V36">
        <f t="shared" ca="1" si="4"/>
        <v>0.62424705127842295</v>
      </c>
      <c r="W36" s="8">
        <f t="shared" ca="1" si="5"/>
        <v>12.715957563135408</v>
      </c>
      <c r="Y36" s="9" t="s">
        <v>12</v>
      </c>
      <c r="Z36" s="10"/>
      <c r="AA36" s="12">
        <f ca="1">_xlfn.CONFIDENCE.T(0.05,AA34,250)</f>
        <v>1.4922717742791236</v>
      </c>
    </row>
    <row r="37" spans="1:27" ht="17.399999999999999">
      <c r="A37" s="6">
        <v>22</v>
      </c>
      <c r="B37" s="6">
        <f t="shared" ca="1" si="0"/>
        <v>0.57112889348125007</v>
      </c>
      <c r="C37" s="8">
        <f t="shared" ca="1" si="1"/>
        <v>5571.1288934812501</v>
      </c>
      <c r="F37" s="9" t="s">
        <v>13</v>
      </c>
      <c r="G37" s="10"/>
      <c r="H37" s="12">
        <f ca="1">H34-H36</f>
        <v>4799.4585249344655</v>
      </c>
      <c r="T37" s="6">
        <v>22</v>
      </c>
      <c r="U37" s="6">
        <f t="shared" ca="1" si="3"/>
        <v>0.1802245261017521</v>
      </c>
      <c r="V37">
        <f t="shared" ca="1" si="4"/>
        <v>0.19071850002956203</v>
      </c>
      <c r="W37" s="8">
        <f t="shared" ca="1" si="5"/>
        <v>10.741886052262629</v>
      </c>
      <c r="Y37" s="9" t="s">
        <v>13</v>
      </c>
      <c r="Z37" s="10"/>
      <c r="AA37" s="12">
        <f ca="1">AA34-AA36</f>
        <v>10.487645363185752</v>
      </c>
    </row>
    <row r="38" spans="1:27" ht="17.399999999999999">
      <c r="A38" s="6">
        <v>23</v>
      </c>
      <c r="B38" s="6">
        <f t="shared" ca="1" si="0"/>
        <v>0.31572439764367599</v>
      </c>
      <c r="C38" s="8">
        <f t="shared" ca="1" si="1"/>
        <v>5315.7243976436757</v>
      </c>
      <c r="F38" s="9" t="s">
        <v>14</v>
      </c>
      <c r="G38" s="10"/>
      <c r="H38" s="12">
        <f ca="1">H34+H36</f>
        <v>6165.2744427235557</v>
      </c>
      <c r="T38" s="6">
        <v>23</v>
      </c>
      <c r="U38" s="6">
        <f t="shared" ca="1" si="3"/>
        <v>0.76283161147749157</v>
      </c>
      <c r="V38">
        <f t="shared" ca="1" si="4"/>
        <v>0.50921385709583356</v>
      </c>
      <c r="W38" s="8">
        <f t="shared" ca="1" si="5"/>
        <v>12.544090937146651</v>
      </c>
      <c r="Y38" s="9" t="s">
        <v>14</v>
      </c>
      <c r="Z38" s="10"/>
      <c r="AA38" s="12">
        <f ca="1">AA34+AA36</f>
        <v>13.472188911743999</v>
      </c>
    </row>
    <row r="39" spans="1:27" ht="15">
      <c r="A39" s="6">
        <v>24</v>
      </c>
      <c r="B39" s="6">
        <f t="shared" ca="1" si="0"/>
        <v>0.47956507939363913</v>
      </c>
      <c r="C39" s="8">
        <f t="shared" ca="1" si="1"/>
        <v>5479.5650793936393</v>
      </c>
      <c r="T39" s="6">
        <v>24</v>
      </c>
      <c r="U39" s="6">
        <f t="shared" ca="1" si="3"/>
        <v>0.53347910579686753</v>
      </c>
      <c r="V39">
        <f t="shared" ca="1" si="4"/>
        <v>0.36911177404466355</v>
      </c>
      <c r="W39" s="8">
        <f t="shared" ca="1" si="5"/>
        <v>11.805181759683062</v>
      </c>
    </row>
    <row r="40" spans="1:27" ht="15">
      <c r="A40" s="6">
        <v>25</v>
      </c>
      <c r="B40" s="6">
        <f t="shared" ca="1" si="0"/>
        <v>0.41758390814481794</v>
      </c>
      <c r="C40" s="8">
        <f t="shared" ca="1" si="1"/>
        <v>5417.5839081448175</v>
      </c>
      <c r="T40" s="6">
        <v>25</v>
      </c>
      <c r="U40" s="6">
        <f t="shared" ca="1" si="3"/>
        <v>0.95537971775703168</v>
      </c>
      <c r="V40">
        <f t="shared" ca="1" si="4"/>
        <v>7.0119856037423878E-3</v>
      </c>
      <c r="W40" s="8">
        <f t="shared" ca="1" si="5"/>
        <v>11.924783406721549</v>
      </c>
    </row>
    <row r="41" spans="1:27" ht="15">
      <c r="A41" s="6">
        <v>26</v>
      </c>
      <c r="B41" s="6">
        <f t="shared" ca="1" si="0"/>
        <v>0.46230594705337225</v>
      </c>
      <c r="C41" s="8">
        <f t="shared" ca="1" si="1"/>
        <v>5462.3059470533726</v>
      </c>
      <c r="T41" s="6">
        <v>26</v>
      </c>
      <c r="U41" s="6">
        <f t="shared" ca="1" si="3"/>
        <v>8.5254719705973758E-2</v>
      </c>
      <c r="V41">
        <f t="shared" ca="1" si="4"/>
        <v>0.97557675475255656</v>
      </c>
      <c r="W41" s="8">
        <f t="shared" ca="1" si="5"/>
        <v>12.121662948917061</v>
      </c>
    </row>
    <row r="42" spans="1:27" ht="15">
      <c r="A42" s="6">
        <v>27</v>
      </c>
      <c r="B42" s="6">
        <f t="shared" ca="1" si="0"/>
        <v>0.91702605304387996</v>
      </c>
      <c r="C42" s="8">
        <f t="shared" ca="1" si="1"/>
        <v>5917.02605304388</v>
      </c>
      <c r="T42" s="6">
        <v>27</v>
      </c>
      <c r="U42" s="6">
        <f t="shared" ca="1" si="3"/>
        <v>0.34062442226486256</v>
      </c>
      <c r="V42">
        <f t="shared" ca="1" si="4"/>
        <v>0.32812939197899438</v>
      </c>
      <c r="W42" s="8">
        <f t="shared" ca="1" si="5"/>
        <v>11.337507628487714</v>
      </c>
    </row>
    <row r="43" spans="1:27" ht="15">
      <c r="A43" s="6">
        <v>28</v>
      </c>
      <c r="B43" s="6">
        <f t="shared" ca="1" si="0"/>
        <v>0.90927424574361215</v>
      </c>
      <c r="C43" s="8">
        <f t="shared" ca="1" si="1"/>
        <v>5909.2742457436125</v>
      </c>
      <c r="T43" s="6">
        <v>28</v>
      </c>
      <c r="U43" s="6">
        <f t="shared" ca="1" si="3"/>
        <v>0.11162502455161805</v>
      </c>
      <c r="V43">
        <f t="shared" ca="1" si="4"/>
        <v>0.13197883855854786</v>
      </c>
      <c r="W43" s="8">
        <f t="shared" ca="1" si="5"/>
        <v>10.487207726220332</v>
      </c>
    </row>
    <row r="44" spans="1:27" ht="15">
      <c r="A44" s="6">
        <v>29</v>
      </c>
      <c r="B44" s="6">
        <f t="shared" ca="1" si="0"/>
        <v>0.97862918891722206</v>
      </c>
      <c r="C44" s="8">
        <f t="shared" ca="1" si="1"/>
        <v>5978.6291889172226</v>
      </c>
      <c r="T44" s="6">
        <v>29</v>
      </c>
      <c r="U44" s="6">
        <f t="shared" ca="1" si="3"/>
        <v>0.59869886202630485</v>
      </c>
      <c r="V44">
        <f t="shared" ca="1" si="4"/>
        <v>0.65890683040023046</v>
      </c>
      <c r="W44" s="8">
        <f t="shared" ca="1" si="5"/>
        <v>12.515211384853071</v>
      </c>
    </row>
    <row r="45" spans="1:27" ht="15">
      <c r="A45" s="6">
        <v>30</v>
      </c>
      <c r="B45" s="6">
        <f t="shared" ca="1" si="0"/>
        <v>0.44692088284040787</v>
      </c>
      <c r="C45" s="8">
        <f t="shared" ca="1" si="1"/>
        <v>5446.920882840408</v>
      </c>
      <c r="T45" s="6">
        <v>30</v>
      </c>
      <c r="U45" s="6">
        <f t="shared" ca="1" si="3"/>
        <v>0.1556867910760269</v>
      </c>
      <c r="V45">
        <f t="shared" ca="1" si="4"/>
        <v>0.29202410799121448</v>
      </c>
      <c r="W45" s="8">
        <f t="shared" ca="1" si="5"/>
        <v>10.895421798134482</v>
      </c>
    </row>
    <row r="46" spans="1:27" ht="15">
      <c r="A46" s="6">
        <v>31</v>
      </c>
      <c r="B46" s="6">
        <f t="shared" ca="1" si="0"/>
        <v>0.4700667052293932</v>
      </c>
      <c r="C46" s="8">
        <f t="shared" ca="1" si="1"/>
        <v>5470.0667052293929</v>
      </c>
      <c r="T46" s="6">
        <v>31</v>
      </c>
      <c r="U46" s="6">
        <f t="shared" ca="1" si="3"/>
        <v>0.46439154636167779</v>
      </c>
      <c r="V46">
        <f t="shared" ca="1" si="4"/>
        <v>0.67707849371119999</v>
      </c>
      <c r="W46" s="8">
        <f t="shared" ca="1" si="5"/>
        <v>12.282940080145757</v>
      </c>
    </row>
    <row r="47" spans="1:27" ht="15">
      <c r="A47" s="6">
        <v>32</v>
      </c>
      <c r="B47" s="6">
        <f t="shared" ca="1" si="0"/>
        <v>0.3400631366716933</v>
      </c>
      <c r="C47" s="8">
        <f t="shared" ca="1" si="1"/>
        <v>5340.0631366716934</v>
      </c>
      <c r="T47" s="6">
        <v>32</v>
      </c>
      <c r="U47" s="6">
        <f t="shared" ca="1" si="3"/>
        <v>0.10619961934456523</v>
      </c>
      <c r="V47">
        <f t="shared" ca="1" si="4"/>
        <v>0.86024348412277929</v>
      </c>
      <c r="W47" s="8">
        <f t="shared" ca="1" si="5"/>
        <v>11.93288620693469</v>
      </c>
    </row>
    <row r="48" spans="1:27" ht="15">
      <c r="A48" s="6">
        <v>33</v>
      </c>
      <c r="B48" s="6">
        <f t="shared" ca="1" si="0"/>
        <v>4.1085826320310659E-3</v>
      </c>
      <c r="C48" s="8">
        <f t="shared" ca="1" si="1"/>
        <v>5004.1085826320314</v>
      </c>
      <c r="T48" s="6">
        <v>33</v>
      </c>
      <c r="U48" s="6">
        <f t="shared" ca="1" si="3"/>
        <v>0.38672799384594259</v>
      </c>
      <c r="V48">
        <f t="shared" ca="1" si="4"/>
        <v>0.62341875069160135</v>
      </c>
      <c r="W48" s="8">
        <f t="shared" ca="1" si="5"/>
        <v>12.020293489075087</v>
      </c>
    </row>
    <row r="49" spans="1:23" ht="15">
      <c r="A49" s="6">
        <v>34</v>
      </c>
      <c r="B49" s="6">
        <f t="shared" ca="1" si="0"/>
        <v>0.94000023437788749</v>
      </c>
      <c r="C49" s="8">
        <f t="shared" ca="1" si="1"/>
        <v>5940.0002343778879</v>
      </c>
      <c r="T49" s="6">
        <v>34</v>
      </c>
      <c r="U49" s="6">
        <f t="shared" ca="1" si="3"/>
        <v>0.59948844983260408</v>
      </c>
      <c r="V49">
        <f t="shared" ca="1" si="4"/>
        <v>0.83189660866585469</v>
      </c>
      <c r="W49" s="8">
        <f t="shared" ca="1" si="5"/>
        <v>12.862770116996916</v>
      </c>
    </row>
    <row r="50" spans="1:23" ht="15">
      <c r="A50" s="6">
        <v>35</v>
      </c>
      <c r="B50" s="6">
        <f t="shared" ca="1" si="0"/>
        <v>0.15744330908295046</v>
      </c>
      <c r="C50" s="8">
        <f t="shared" ca="1" si="1"/>
        <v>5157.4433090829507</v>
      </c>
      <c r="T50" s="6">
        <v>35</v>
      </c>
      <c r="U50" s="6">
        <f t="shared" ca="1" si="3"/>
        <v>0.19446563924409255</v>
      </c>
      <c r="V50">
        <f t="shared" ca="1" si="4"/>
        <v>0.39410453883147112</v>
      </c>
      <c r="W50" s="8">
        <f t="shared" ca="1" si="5"/>
        <v>11.177140356151128</v>
      </c>
    </row>
    <row r="51" spans="1:23" ht="15">
      <c r="A51" s="6">
        <v>36</v>
      </c>
      <c r="B51" s="6">
        <f t="shared" ca="1" si="0"/>
        <v>0.96047271235867027</v>
      </c>
      <c r="C51" s="8">
        <f t="shared" ca="1" si="1"/>
        <v>5960.4727123586699</v>
      </c>
      <c r="T51" s="6">
        <v>36</v>
      </c>
      <c r="U51" s="6">
        <f t="shared" ca="1" si="3"/>
        <v>0.64076016015136272</v>
      </c>
      <c r="V51">
        <f t="shared" ca="1" si="4"/>
        <v>0.96146317640605017</v>
      </c>
      <c r="W51" s="8">
        <f t="shared" ca="1" si="5"/>
        <v>13.204446673114827</v>
      </c>
    </row>
    <row r="52" spans="1:23" ht="15">
      <c r="A52" s="6">
        <v>37</v>
      </c>
      <c r="B52" s="6">
        <f t="shared" ca="1" si="0"/>
        <v>0.71724599913632714</v>
      </c>
      <c r="C52" s="8">
        <f t="shared" ca="1" si="1"/>
        <v>5717.2459991363266</v>
      </c>
      <c r="T52" s="6">
        <v>37</v>
      </c>
      <c r="U52" s="6">
        <f t="shared" ca="1" si="3"/>
        <v>0.93378568894747727</v>
      </c>
      <c r="V52">
        <f t="shared" ca="1" si="4"/>
        <v>0.62977237572313371</v>
      </c>
      <c r="W52" s="8">
        <f t="shared" ca="1" si="5"/>
        <v>13.127116129341221</v>
      </c>
    </row>
    <row r="53" spans="1:23" ht="15">
      <c r="A53" s="6">
        <v>38</v>
      </c>
      <c r="B53" s="6">
        <f t="shared" ca="1" si="0"/>
        <v>0.99250442463933042</v>
      </c>
      <c r="C53" s="8">
        <f t="shared" ca="1" si="1"/>
        <v>5992.50442463933</v>
      </c>
      <c r="T53" s="6">
        <v>38</v>
      </c>
      <c r="U53" s="6">
        <f t="shared" ca="1" si="3"/>
        <v>0.44548982084382494</v>
      </c>
      <c r="V53">
        <f t="shared" ca="1" si="4"/>
        <v>0.1264430871524721</v>
      </c>
      <c r="W53" s="8">
        <f t="shared" ca="1" si="5"/>
        <v>11.143865815992594</v>
      </c>
    </row>
    <row r="54" spans="1:23" ht="15">
      <c r="A54" s="6">
        <v>39</v>
      </c>
      <c r="B54" s="6">
        <f t="shared" ca="1" si="0"/>
        <v>0.18491630885493815</v>
      </c>
      <c r="C54" s="8">
        <f t="shared" ca="1" si="1"/>
        <v>5184.9163088549385</v>
      </c>
      <c r="T54" s="6">
        <v>39</v>
      </c>
      <c r="U54" s="6">
        <f t="shared" ca="1" si="3"/>
        <v>0.91499420923758779</v>
      </c>
      <c r="V54">
        <f t="shared" ca="1" si="4"/>
        <v>0.66771531926873873</v>
      </c>
      <c r="W54" s="8">
        <f t="shared" ca="1" si="5"/>
        <v>13.165419057012652</v>
      </c>
    </row>
    <row r="55" spans="1:23" ht="15">
      <c r="A55" s="6">
        <v>40</v>
      </c>
      <c r="B55" s="6">
        <f t="shared" ca="1" si="0"/>
        <v>0.87917852140616515</v>
      </c>
      <c r="C55" s="8">
        <f t="shared" ca="1" si="1"/>
        <v>5879.1785214061656</v>
      </c>
      <c r="T55" s="6">
        <v>40</v>
      </c>
      <c r="U55" s="6">
        <f t="shared" ca="1" si="3"/>
        <v>0.15451448800864775</v>
      </c>
      <c r="V55">
        <f t="shared" ca="1" si="4"/>
        <v>0.17216752253715273</v>
      </c>
      <c r="W55" s="8">
        <f t="shared" ca="1" si="5"/>
        <v>10.653364021091601</v>
      </c>
    </row>
    <row r="56" spans="1:23" ht="15">
      <c r="A56" s="6">
        <v>41</v>
      </c>
      <c r="B56" s="6">
        <f t="shared" ca="1" si="0"/>
        <v>0.17837972789248169</v>
      </c>
      <c r="C56" s="8">
        <f t="shared" ca="1" si="1"/>
        <v>5178.3797278924812</v>
      </c>
      <c r="T56" s="6">
        <v>41</v>
      </c>
      <c r="U56" s="6">
        <f t="shared" ca="1" si="3"/>
        <v>0.8848054398803894</v>
      </c>
      <c r="V56">
        <f t="shared" ca="1" si="4"/>
        <v>0.38263449905910474</v>
      </c>
      <c r="W56" s="8">
        <f t="shared" ca="1" si="5"/>
        <v>12.534879877878989</v>
      </c>
    </row>
    <row r="57" spans="1:23" ht="15">
      <c r="A57" s="6">
        <v>42</v>
      </c>
      <c r="B57" s="6">
        <f t="shared" ca="1" si="0"/>
        <v>0.78594646846587257</v>
      </c>
      <c r="C57" s="8">
        <f t="shared" ca="1" si="1"/>
        <v>5785.9464684658724</v>
      </c>
      <c r="T57" s="6">
        <v>42</v>
      </c>
      <c r="U57" s="6">
        <f t="shared" ca="1" si="3"/>
        <v>0.58463419082440604</v>
      </c>
      <c r="V57">
        <f t="shared" ca="1" si="4"/>
        <v>0.37609569745144367</v>
      </c>
      <c r="W57" s="8">
        <f t="shared" ca="1" si="5"/>
        <v>11.9214597765517</v>
      </c>
    </row>
    <row r="58" spans="1:23" ht="15">
      <c r="A58" s="6">
        <v>43</v>
      </c>
      <c r="B58" s="6">
        <f t="shared" ca="1" si="0"/>
        <v>0.21943571436779363</v>
      </c>
      <c r="C58" s="8">
        <f t="shared" ca="1" si="1"/>
        <v>5219.4357143677935</v>
      </c>
      <c r="T58" s="6">
        <v>43</v>
      </c>
      <c r="U58" s="6">
        <f t="shared" ca="1" si="3"/>
        <v>0.46587020698774662</v>
      </c>
      <c r="V58">
        <f t="shared" ca="1" si="4"/>
        <v>0.66388008927747044</v>
      </c>
      <c r="W58" s="8">
        <f t="shared" ca="1" si="5"/>
        <v>12.259500592530435</v>
      </c>
    </row>
    <row r="59" spans="1:23" ht="15">
      <c r="A59" s="6">
        <v>44</v>
      </c>
      <c r="B59" s="6">
        <f t="shared" ca="1" si="0"/>
        <v>0.53532284208625891</v>
      </c>
      <c r="C59" s="8">
        <f t="shared" ca="1" si="1"/>
        <v>5535.3228420862588</v>
      </c>
      <c r="T59" s="6">
        <v>44</v>
      </c>
      <c r="U59" s="6">
        <f t="shared" ca="1" si="3"/>
        <v>0.91715103095645001</v>
      </c>
      <c r="V59">
        <f t="shared" ca="1" si="4"/>
        <v>0.91729985124725189</v>
      </c>
      <c r="W59" s="8">
        <f t="shared" ca="1" si="5"/>
        <v>13.668901764407405</v>
      </c>
    </row>
    <row r="60" spans="1:23" ht="15">
      <c r="A60" s="6">
        <v>45</v>
      </c>
      <c r="B60" s="6">
        <f t="shared" ca="1" si="0"/>
        <v>0.22017063225403022</v>
      </c>
      <c r="C60" s="8">
        <f t="shared" ca="1" si="1"/>
        <v>5220.1706322540304</v>
      </c>
      <c r="T60" s="6">
        <v>45</v>
      </c>
      <c r="U60" s="6">
        <f t="shared" ca="1" si="3"/>
        <v>6.7982521801450702E-2</v>
      </c>
      <c r="V60">
        <f t="shared" ca="1" si="4"/>
        <v>0.64104317443029257</v>
      </c>
      <c r="W60" s="8">
        <f t="shared" ca="1" si="5"/>
        <v>11.418051392463486</v>
      </c>
    </row>
    <row r="61" spans="1:23" ht="15">
      <c r="A61" s="6">
        <v>46</v>
      </c>
      <c r="B61" s="6">
        <f t="shared" ca="1" si="0"/>
        <v>9.2013599699898863E-2</v>
      </c>
      <c r="C61" s="8">
        <f t="shared" ca="1" si="1"/>
        <v>5092.0135996998988</v>
      </c>
      <c r="T61" s="6">
        <v>46</v>
      </c>
      <c r="U61" s="6">
        <f t="shared" ca="1" si="3"/>
        <v>0.71191859687998571</v>
      </c>
      <c r="V61">
        <f t="shared" ca="1" si="4"/>
        <v>0.27188892192776304</v>
      </c>
      <c r="W61" s="8">
        <f t="shared" ca="1" si="5"/>
        <v>11.967615037615497</v>
      </c>
    </row>
    <row r="62" spans="1:23" ht="15">
      <c r="A62" s="6">
        <v>47</v>
      </c>
      <c r="B62" s="6">
        <f t="shared" ca="1" si="0"/>
        <v>8.2902910901615945E-2</v>
      </c>
      <c r="C62" s="8">
        <f t="shared" ca="1" si="1"/>
        <v>5082.9029109016155</v>
      </c>
      <c r="T62" s="6">
        <v>47</v>
      </c>
      <c r="U62" s="6">
        <f t="shared" ca="1" si="3"/>
        <v>7.7032583037070279E-2</v>
      </c>
      <c r="V62">
        <f t="shared" ca="1" si="4"/>
        <v>0.42759866289455484</v>
      </c>
      <c r="W62" s="8">
        <f t="shared" ca="1" si="5"/>
        <v>11.00926249186325</v>
      </c>
    </row>
    <row r="63" spans="1:23" ht="15">
      <c r="A63" s="6">
        <v>48</v>
      </c>
      <c r="B63" s="6">
        <f t="shared" ca="1" si="0"/>
        <v>1.6288261874516596E-2</v>
      </c>
      <c r="C63" s="8">
        <f t="shared" ca="1" si="1"/>
        <v>5016.288261874517</v>
      </c>
      <c r="T63" s="6">
        <v>48</v>
      </c>
      <c r="U63" s="6">
        <f t="shared" ca="1" si="3"/>
        <v>2.6811029635106953E-2</v>
      </c>
      <c r="V63">
        <f t="shared" ca="1" si="4"/>
        <v>0.97576453103400262</v>
      </c>
      <c r="W63" s="8">
        <f t="shared" ca="1" si="5"/>
        <v>12.005151121338219</v>
      </c>
    </row>
    <row r="64" spans="1:23" ht="15">
      <c r="A64" s="6">
        <v>49</v>
      </c>
      <c r="B64" s="6">
        <f t="shared" ca="1" si="0"/>
        <v>0.24532270367554154</v>
      </c>
      <c r="C64" s="8">
        <f t="shared" ca="1" si="1"/>
        <v>5245.3227036755416</v>
      </c>
      <c r="T64" s="6">
        <v>49</v>
      </c>
      <c r="U64" s="6">
        <f t="shared" ca="1" si="3"/>
        <v>0.98571689458957812</v>
      </c>
      <c r="V64">
        <f t="shared" ca="1" si="4"/>
        <v>6.9530361417627806E-2</v>
      </c>
      <c r="W64" s="8">
        <f t="shared" ca="1" si="5"/>
        <v>12.110494512014412</v>
      </c>
    </row>
    <row r="65" spans="1:23" ht="15">
      <c r="A65" s="6">
        <v>50</v>
      </c>
      <c r="B65" s="6">
        <f t="shared" ca="1" si="0"/>
        <v>0.65554226803235494</v>
      </c>
      <c r="C65" s="8">
        <f t="shared" ca="1" si="1"/>
        <v>5655.5422680323554</v>
      </c>
      <c r="T65" s="6">
        <v>50</v>
      </c>
      <c r="U65" s="6">
        <f t="shared" ca="1" si="3"/>
        <v>0.44732296082022038</v>
      </c>
      <c r="V65">
        <f t="shared" ca="1" si="4"/>
        <v>0.75934397242274732</v>
      </c>
      <c r="W65" s="8">
        <f t="shared" ca="1" si="5"/>
        <v>12.413333866485935</v>
      </c>
    </row>
    <row r="66" spans="1:23" ht="15">
      <c r="A66" s="6">
        <v>51</v>
      </c>
      <c r="B66" s="6">
        <f t="shared" ca="1" si="0"/>
        <v>0.67675532297392194</v>
      </c>
      <c r="C66" s="8">
        <f t="shared" ca="1" si="1"/>
        <v>5676.7553229739224</v>
      </c>
      <c r="T66" s="6">
        <v>51</v>
      </c>
      <c r="U66" s="6">
        <f t="shared" ca="1" si="3"/>
        <v>0.75035472522383229</v>
      </c>
      <c r="V66">
        <f t="shared" ca="1" si="4"/>
        <v>0.63699212474657885</v>
      </c>
      <c r="W66" s="8">
        <f t="shared" ca="1" si="5"/>
        <v>12.774693699940823</v>
      </c>
    </row>
    <row r="67" spans="1:23" ht="15">
      <c r="A67" s="6">
        <v>52</v>
      </c>
      <c r="B67" s="6">
        <f t="shared" ca="1" si="0"/>
        <v>0.27323738103470663</v>
      </c>
      <c r="C67" s="8">
        <f t="shared" ca="1" si="1"/>
        <v>5273.2373810347062</v>
      </c>
      <c r="T67" s="6">
        <v>52</v>
      </c>
      <c r="U67" s="6">
        <f t="shared" ca="1" si="3"/>
        <v>0.98384233489761375</v>
      </c>
      <c r="V67">
        <f t="shared" ca="1" si="4"/>
        <v>0.20832513372835404</v>
      </c>
      <c r="W67" s="8">
        <f t="shared" ca="1" si="5"/>
        <v>12.384334937251936</v>
      </c>
    </row>
    <row r="68" spans="1:23" ht="15">
      <c r="A68" s="6">
        <v>53</v>
      </c>
      <c r="B68" s="6">
        <f t="shared" ca="1" si="0"/>
        <v>0.87180340828522429</v>
      </c>
      <c r="C68" s="8">
        <f t="shared" ca="1" si="1"/>
        <v>5871.8034082852246</v>
      </c>
      <c r="T68" s="6">
        <v>53</v>
      </c>
      <c r="U68" s="6">
        <f t="shared" ca="1" si="3"/>
        <v>0.70281790384471543</v>
      </c>
      <c r="V68">
        <f t="shared" ca="1" si="4"/>
        <v>0.25135888187217725</v>
      </c>
      <c r="W68" s="8">
        <f t="shared" ca="1" si="5"/>
        <v>11.908353571433786</v>
      </c>
    </row>
    <row r="69" spans="1:23" ht="15">
      <c r="A69" s="6">
        <v>54</v>
      </c>
      <c r="B69" s="6">
        <f t="shared" ca="1" si="0"/>
        <v>0.21630185582800832</v>
      </c>
      <c r="C69" s="8">
        <f t="shared" ca="1" si="1"/>
        <v>5216.3018558280082</v>
      </c>
      <c r="T69" s="6">
        <v>54</v>
      </c>
      <c r="U69" s="6">
        <f t="shared" ca="1" si="3"/>
        <v>0.86309504523420488</v>
      </c>
      <c r="V69">
        <f t="shared" ca="1" si="4"/>
        <v>0.90872558290433458</v>
      </c>
      <c r="W69" s="8">
        <f t="shared" ca="1" si="5"/>
        <v>13.543641256277079</v>
      </c>
    </row>
    <row r="70" spans="1:23" ht="15">
      <c r="A70" s="6">
        <v>55</v>
      </c>
      <c r="B70" s="6">
        <f t="shared" ca="1" si="0"/>
        <v>0.36895102598288188</v>
      </c>
      <c r="C70" s="8">
        <f t="shared" ca="1" si="1"/>
        <v>5368.9510259828821</v>
      </c>
      <c r="T70" s="6">
        <v>55</v>
      </c>
      <c r="U70" s="6">
        <f t="shared" ca="1" si="3"/>
        <v>0.85769267108829261</v>
      </c>
      <c r="V70">
        <f t="shared" ca="1" si="4"/>
        <v>0.79024554756216381</v>
      </c>
      <c r="W70" s="8">
        <f t="shared" ca="1" si="5"/>
        <v>13.295876437300912</v>
      </c>
    </row>
    <row r="71" spans="1:23" ht="15">
      <c r="A71" s="6">
        <v>56</v>
      </c>
      <c r="B71" s="6">
        <f t="shared" ca="1" si="0"/>
        <v>0.69375814150656512</v>
      </c>
      <c r="C71" s="8">
        <f t="shared" ca="1" si="1"/>
        <v>5693.7581415065652</v>
      </c>
      <c r="T71" s="6">
        <v>56</v>
      </c>
      <c r="U71" s="6">
        <f t="shared" ca="1" si="3"/>
        <v>0.24785394649337955</v>
      </c>
      <c r="V71">
        <f t="shared" ca="1" si="4"/>
        <v>0.31184756116482504</v>
      </c>
      <c r="W71" s="8">
        <f t="shared" ca="1" si="5"/>
        <v>11.11940301531641</v>
      </c>
    </row>
    <row r="72" spans="1:23" ht="15">
      <c r="A72" s="6">
        <v>57</v>
      </c>
      <c r="B72" s="6">
        <f t="shared" ca="1" si="0"/>
        <v>0.54215464781170619</v>
      </c>
      <c r="C72" s="8">
        <f t="shared" ca="1" si="1"/>
        <v>5542.1546478117061</v>
      </c>
      <c r="T72" s="6">
        <v>57</v>
      </c>
      <c r="U72" s="6">
        <f t="shared" ca="1" si="3"/>
        <v>0.90346669853374517</v>
      </c>
      <c r="V72">
        <f t="shared" ca="1" si="4"/>
        <v>0.32390151487260266</v>
      </c>
      <c r="W72" s="8">
        <f t="shared" ca="1" si="5"/>
        <v>12.454736426812696</v>
      </c>
    </row>
    <row r="73" spans="1:23" ht="15">
      <c r="A73" s="6">
        <v>58</v>
      </c>
      <c r="B73" s="6">
        <f t="shared" ca="1" si="0"/>
        <v>0.61264518735460394</v>
      </c>
      <c r="C73" s="8">
        <f t="shared" ca="1" si="1"/>
        <v>5612.6451873546039</v>
      </c>
      <c r="T73" s="6">
        <v>58</v>
      </c>
      <c r="U73" s="6">
        <f t="shared" ca="1" si="3"/>
        <v>0.19042997992682142</v>
      </c>
      <c r="V73">
        <f t="shared" ca="1" si="4"/>
        <v>0.72442549667391143</v>
      </c>
      <c r="W73" s="8">
        <f t="shared" ca="1" si="5"/>
        <v>11.829710953201467</v>
      </c>
    </row>
    <row r="74" spans="1:23" ht="15">
      <c r="A74" s="6">
        <v>59</v>
      </c>
      <c r="B74" s="6">
        <f t="shared" ca="1" si="0"/>
        <v>0.73761781889614597</v>
      </c>
      <c r="C74" s="8">
        <f t="shared" ca="1" si="1"/>
        <v>5737.6178188961458</v>
      </c>
      <c r="T74" s="6">
        <v>59</v>
      </c>
      <c r="U74" s="6">
        <f t="shared" ca="1" si="3"/>
        <v>0.44858191426200655</v>
      </c>
      <c r="V74">
        <f t="shared" ca="1" si="4"/>
        <v>0.54294775833004716</v>
      </c>
      <c r="W74" s="8">
        <f t="shared" ca="1" si="5"/>
        <v>11.983059345184108</v>
      </c>
    </row>
    <row r="75" spans="1:23" ht="15">
      <c r="A75" s="6">
        <v>60</v>
      </c>
      <c r="B75" s="6">
        <f t="shared" ca="1" si="0"/>
        <v>0.77746963867830421</v>
      </c>
      <c r="C75" s="8">
        <f t="shared" ca="1" si="1"/>
        <v>5777.4696386783044</v>
      </c>
      <c r="T75" s="6">
        <v>60</v>
      </c>
      <c r="U75" s="6">
        <f t="shared" ca="1" si="3"/>
        <v>2.7392472995348971E-3</v>
      </c>
      <c r="V75">
        <f t="shared" ca="1" si="4"/>
        <v>0.95537840802199137</v>
      </c>
      <c r="W75" s="8">
        <f t="shared" ca="1" si="5"/>
        <v>11.916235310643053</v>
      </c>
    </row>
    <row r="76" spans="1:23" ht="15">
      <c r="A76" s="6">
        <v>61</v>
      </c>
      <c r="B76" s="6">
        <f t="shared" ca="1" si="0"/>
        <v>9.4350829566166583E-3</v>
      </c>
      <c r="C76" s="8">
        <f t="shared" ca="1" si="1"/>
        <v>5009.4350829566165</v>
      </c>
      <c r="T76" s="6">
        <v>61</v>
      </c>
      <c r="U76" s="6">
        <f t="shared" ca="1" si="3"/>
        <v>0.1007508414155226</v>
      </c>
      <c r="V76">
        <f t="shared" ca="1" si="4"/>
        <v>0.78957534684837327</v>
      </c>
      <c r="W76" s="8">
        <f t="shared" ca="1" si="5"/>
        <v>11.780652376527792</v>
      </c>
    </row>
    <row r="77" spans="1:23" ht="15">
      <c r="A77" s="6">
        <v>62</v>
      </c>
      <c r="B77" s="6">
        <f t="shared" ca="1" si="0"/>
        <v>0.40113540676533155</v>
      </c>
      <c r="C77" s="8">
        <f t="shared" ca="1" si="1"/>
        <v>5401.1354067653319</v>
      </c>
      <c r="T77" s="6">
        <v>62</v>
      </c>
      <c r="U77" s="6">
        <f t="shared" ca="1" si="3"/>
        <v>0.40574996213474657</v>
      </c>
      <c r="V77">
        <f t="shared" ca="1" si="4"/>
        <v>0.54281430477607384</v>
      </c>
      <c r="W77" s="8">
        <f t="shared" ca="1" si="5"/>
        <v>11.897128533821641</v>
      </c>
    </row>
    <row r="78" spans="1:23" ht="15">
      <c r="A78" s="6">
        <v>63</v>
      </c>
      <c r="B78" s="6">
        <f t="shared" ca="1" si="0"/>
        <v>0.55190401731194183</v>
      </c>
      <c r="C78" s="8">
        <f t="shared" ca="1" si="1"/>
        <v>5551.904017311942</v>
      </c>
      <c r="T78" s="6">
        <v>63</v>
      </c>
      <c r="U78" s="6">
        <f t="shared" ca="1" si="3"/>
        <v>0.41188865245454731</v>
      </c>
      <c r="V78">
        <f t="shared" ca="1" si="4"/>
        <v>0.4888114523447169</v>
      </c>
      <c r="W78" s="8">
        <f t="shared" ca="1" si="5"/>
        <v>11.801400209598528</v>
      </c>
    </row>
    <row r="79" spans="1:23" ht="15">
      <c r="A79" s="6">
        <v>64</v>
      </c>
      <c r="B79" s="6">
        <f t="shared" ca="1" si="0"/>
        <v>0.3202666327424456</v>
      </c>
      <c r="C79" s="8">
        <f t="shared" ca="1" si="1"/>
        <v>5320.2666327424458</v>
      </c>
      <c r="T79" s="6">
        <v>64</v>
      </c>
      <c r="U79" s="6">
        <f t="shared" ca="1" si="3"/>
        <v>0.52248624861382986</v>
      </c>
      <c r="V79">
        <f t="shared" ca="1" si="4"/>
        <v>0.6753185372140067</v>
      </c>
      <c r="W79" s="8">
        <f t="shared" ca="1" si="5"/>
        <v>12.395609571655672</v>
      </c>
    </row>
    <row r="80" spans="1:23" ht="15">
      <c r="A80" s="6">
        <v>65</v>
      </c>
      <c r="B80" s="6">
        <f t="shared" ca="1" si="0"/>
        <v>0.59143412967535158</v>
      </c>
      <c r="C80" s="8">
        <f t="shared" ca="1" si="1"/>
        <v>5591.4341296753519</v>
      </c>
      <c r="T80" s="6">
        <v>65</v>
      </c>
      <c r="U80" s="6">
        <f t="shared" ca="1" si="3"/>
        <v>0.42101461037617838</v>
      </c>
      <c r="V80">
        <f t="shared" ca="1" si="4"/>
        <v>0.20163365396420407</v>
      </c>
      <c r="W80" s="8">
        <f t="shared" ca="1" si="5"/>
        <v>11.245296528680765</v>
      </c>
    </row>
    <row r="81" spans="1:23" ht="15">
      <c r="A81" s="6">
        <v>66</v>
      </c>
      <c r="B81" s="6">
        <f t="shared" ref="B81:B144" ca="1" si="9">RAND()</f>
        <v>2.2133109858717526E-2</v>
      </c>
      <c r="C81" s="8">
        <f t="shared" ref="C81:C144" ca="1" si="10">$B$12+($B$13-$B$12)*B81</f>
        <v>5022.1331098587179</v>
      </c>
      <c r="T81" s="6">
        <v>66</v>
      </c>
      <c r="U81" s="6">
        <f t="shared" ref="U81:U144" ca="1" si="11">RAND()</f>
        <v>0.28584744829473052</v>
      </c>
      <c r="V81">
        <f t="shared" ref="V81:V144" ca="1" si="12">RAND()</f>
        <v>0.62242882174960723</v>
      </c>
      <c r="W81" s="8">
        <f t="shared" ref="W81:W144" ca="1" si="13">$U$10+($U$12-$U$10)/2*(U81+V81)</f>
        <v>11.816552540088676</v>
      </c>
    </row>
    <row r="82" spans="1:23" ht="15">
      <c r="A82" s="6">
        <v>67</v>
      </c>
      <c r="B82" s="6">
        <f t="shared" ca="1" si="9"/>
        <v>0.18537875878379984</v>
      </c>
      <c r="C82" s="8">
        <f t="shared" ca="1" si="10"/>
        <v>5185.3787587837996</v>
      </c>
      <c r="T82" s="6">
        <v>67</v>
      </c>
      <c r="U82" s="6">
        <f t="shared" ca="1" si="11"/>
        <v>0.44814045734607522</v>
      </c>
      <c r="V82">
        <f t="shared" ca="1" si="12"/>
        <v>0.88658544418551333</v>
      </c>
      <c r="W82" s="8">
        <f t="shared" ca="1" si="13"/>
        <v>12.669451803063177</v>
      </c>
    </row>
    <row r="83" spans="1:23" ht="15">
      <c r="A83" s="6">
        <v>68</v>
      </c>
      <c r="B83" s="6">
        <f t="shared" ca="1" si="9"/>
        <v>0.29185464497382596</v>
      </c>
      <c r="C83" s="8">
        <f t="shared" ca="1" si="10"/>
        <v>5291.854644973826</v>
      </c>
      <c r="T83" s="6">
        <v>68</v>
      </c>
      <c r="U83" s="6">
        <f t="shared" ca="1" si="11"/>
        <v>0.42663988628366656</v>
      </c>
      <c r="V83">
        <f t="shared" ca="1" si="12"/>
        <v>0.25837715296048291</v>
      </c>
      <c r="W83" s="8">
        <f t="shared" ca="1" si="13"/>
        <v>11.370034078488299</v>
      </c>
    </row>
    <row r="84" spans="1:23" ht="15">
      <c r="A84" s="6">
        <v>69</v>
      </c>
      <c r="B84" s="6">
        <f t="shared" ca="1" si="9"/>
        <v>0.40761005193794786</v>
      </c>
      <c r="C84" s="8">
        <f t="shared" ca="1" si="10"/>
        <v>5407.6100519379479</v>
      </c>
      <c r="T84" s="6">
        <v>69</v>
      </c>
      <c r="U84" s="6">
        <f t="shared" ca="1" si="11"/>
        <v>0.13227832058599809</v>
      </c>
      <c r="V84">
        <f t="shared" ca="1" si="12"/>
        <v>0.18482645369148121</v>
      </c>
      <c r="W84" s="8">
        <f t="shared" ca="1" si="13"/>
        <v>10.634209548554958</v>
      </c>
    </row>
    <row r="85" spans="1:23" ht="15">
      <c r="A85" s="6">
        <v>70</v>
      </c>
      <c r="B85" s="6">
        <f t="shared" ca="1" si="9"/>
        <v>0.27070699015554245</v>
      </c>
      <c r="C85" s="8">
        <f t="shared" ca="1" si="10"/>
        <v>5270.7069901555424</v>
      </c>
      <c r="T85" s="6">
        <v>70</v>
      </c>
      <c r="U85" s="6">
        <f t="shared" ca="1" si="11"/>
        <v>0.56840800790582202</v>
      </c>
      <c r="V85">
        <f t="shared" ca="1" si="12"/>
        <v>0.26557373142619256</v>
      </c>
      <c r="W85" s="8">
        <f t="shared" ca="1" si="13"/>
        <v>11.66796347866403</v>
      </c>
    </row>
    <row r="86" spans="1:23" ht="15">
      <c r="A86" s="6">
        <v>71</v>
      </c>
      <c r="B86" s="6">
        <f t="shared" ca="1" si="9"/>
        <v>1.8532245867948216E-2</v>
      </c>
      <c r="C86" s="8">
        <f t="shared" ca="1" si="10"/>
        <v>5018.5322458679484</v>
      </c>
      <c r="T86" s="6">
        <v>71</v>
      </c>
      <c r="U86" s="6">
        <f t="shared" ca="1" si="11"/>
        <v>0.88083456719968378</v>
      </c>
      <c r="V86">
        <f t="shared" ca="1" si="12"/>
        <v>0.15496666943683413</v>
      </c>
      <c r="W86" s="8">
        <f t="shared" ca="1" si="13"/>
        <v>12.071602473273035</v>
      </c>
    </row>
    <row r="87" spans="1:23" ht="15">
      <c r="A87" s="6">
        <v>72</v>
      </c>
      <c r="B87" s="6">
        <f t="shared" ca="1" si="9"/>
        <v>0.66287052695440829</v>
      </c>
      <c r="C87" s="8">
        <f t="shared" ca="1" si="10"/>
        <v>5662.870526954408</v>
      </c>
      <c r="T87" s="6">
        <v>72</v>
      </c>
      <c r="U87" s="6">
        <f t="shared" ca="1" si="11"/>
        <v>0.97552541977426244</v>
      </c>
      <c r="V87">
        <f t="shared" ca="1" si="12"/>
        <v>0.91836464594498035</v>
      </c>
      <c r="W87" s="8">
        <f t="shared" ca="1" si="13"/>
        <v>13.787780131438485</v>
      </c>
    </row>
    <row r="88" spans="1:23" ht="15">
      <c r="A88" s="6">
        <v>73</v>
      </c>
      <c r="B88" s="6">
        <f t="shared" ca="1" si="9"/>
        <v>0.59283811693557165</v>
      </c>
      <c r="C88" s="8">
        <f t="shared" ca="1" si="10"/>
        <v>5592.8381169355716</v>
      </c>
      <c r="T88" s="6">
        <v>73</v>
      </c>
      <c r="U88" s="6">
        <f t="shared" ca="1" si="11"/>
        <v>0.97936064619579721</v>
      </c>
      <c r="V88">
        <f t="shared" ca="1" si="12"/>
        <v>0.91990464104432434</v>
      </c>
      <c r="W88" s="8">
        <f t="shared" ca="1" si="13"/>
        <v>13.798530574480242</v>
      </c>
    </row>
    <row r="89" spans="1:23" ht="15">
      <c r="A89" s="6">
        <v>74</v>
      </c>
      <c r="B89" s="6">
        <f t="shared" ca="1" si="9"/>
        <v>0.50514302352863816</v>
      </c>
      <c r="C89" s="8">
        <f t="shared" ca="1" si="10"/>
        <v>5505.143023528638</v>
      </c>
      <c r="T89" s="6">
        <v>74</v>
      </c>
      <c r="U89" s="6">
        <f t="shared" ca="1" si="11"/>
        <v>0.35367668147222331</v>
      </c>
      <c r="V89">
        <f t="shared" ca="1" si="12"/>
        <v>0.27688854241156957</v>
      </c>
      <c r="W89" s="8">
        <f t="shared" ca="1" si="13"/>
        <v>11.261130447767586</v>
      </c>
    </row>
    <row r="90" spans="1:23" ht="15">
      <c r="A90" s="6">
        <v>75</v>
      </c>
      <c r="B90" s="6">
        <f t="shared" ca="1" si="9"/>
        <v>0.76806490888608636</v>
      </c>
      <c r="C90" s="8">
        <f t="shared" ca="1" si="10"/>
        <v>5768.0649088860864</v>
      </c>
      <c r="T90" s="6">
        <v>75</v>
      </c>
      <c r="U90" s="6">
        <f t="shared" ca="1" si="11"/>
        <v>0.60513263274698359</v>
      </c>
      <c r="V90">
        <f t="shared" ca="1" si="12"/>
        <v>0.11009213230064019</v>
      </c>
      <c r="W90" s="8">
        <f t="shared" ca="1" si="13"/>
        <v>11.430449530095247</v>
      </c>
    </row>
    <row r="91" spans="1:23" ht="15">
      <c r="A91" s="6">
        <v>76</v>
      </c>
      <c r="B91" s="6">
        <f t="shared" ca="1" si="9"/>
        <v>0.6160286508567947</v>
      </c>
      <c r="C91" s="8">
        <f t="shared" ca="1" si="10"/>
        <v>5616.0286508567951</v>
      </c>
      <c r="T91" s="6">
        <v>76</v>
      </c>
      <c r="U91" s="6">
        <f t="shared" ca="1" si="11"/>
        <v>3.3069348100755458E-2</v>
      </c>
      <c r="V91">
        <f t="shared" ca="1" si="12"/>
        <v>0.66415861878392424</v>
      </c>
      <c r="W91" s="8">
        <f t="shared" ca="1" si="13"/>
        <v>11.394455933769359</v>
      </c>
    </row>
    <row r="92" spans="1:23" ht="15">
      <c r="A92" s="6">
        <v>77</v>
      </c>
      <c r="B92" s="6">
        <f t="shared" ca="1" si="9"/>
        <v>0.53724934703595517</v>
      </c>
      <c r="C92" s="8">
        <f t="shared" ca="1" si="10"/>
        <v>5537.249347035955</v>
      </c>
      <c r="T92" s="6">
        <v>77</v>
      </c>
      <c r="U92" s="6">
        <f t="shared" ca="1" si="11"/>
        <v>0.91510335781407781</v>
      </c>
      <c r="V92">
        <f t="shared" ca="1" si="12"/>
        <v>0.19604809567340264</v>
      </c>
      <c r="W92" s="8">
        <f t="shared" ca="1" si="13"/>
        <v>12.22230290697496</v>
      </c>
    </row>
    <row r="93" spans="1:23" ht="15">
      <c r="A93" s="6">
        <v>78</v>
      </c>
      <c r="B93" s="6">
        <f t="shared" ca="1" si="9"/>
        <v>0.50940660901866508</v>
      </c>
      <c r="C93" s="8">
        <f t="shared" ca="1" si="10"/>
        <v>5509.4066090186652</v>
      </c>
      <c r="T93" s="6">
        <v>78</v>
      </c>
      <c r="U93" s="6">
        <f t="shared" ca="1" si="11"/>
        <v>0.82807625692528197</v>
      </c>
      <c r="V93">
        <f t="shared" ca="1" si="12"/>
        <v>0.70932398643179972</v>
      </c>
      <c r="W93" s="8">
        <f t="shared" ca="1" si="13"/>
        <v>13.074800486714164</v>
      </c>
    </row>
    <row r="94" spans="1:23" ht="15">
      <c r="A94" s="6">
        <v>79</v>
      </c>
      <c r="B94" s="6">
        <f t="shared" ca="1" si="9"/>
        <v>0.3172021850178246</v>
      </c>
      <c r="C94" s="8">
        <f t="shared" ca="1" si="10"/>
        <v>5317.2021850178244</v>
      </c>
      <c r="T94" s="6">
        <v>79</v>
      </c>
      <c r="U94" s="6">
        <f t="shared" ca="1" si="11"/>
        <v>0.24065744718508897</v>
      </c>
      <c r="V94">
        <f t="shared" ca="1" si="12"/>
        <v>0.11697466004618562</v>
      </c>
      <c r="W94" s="8">
        <f t="shared" ca="1" si="13"/>
        <v>10.715264214462549</v>
      </c>
    </row>
    <row r="95" spans="1:23" ht="15">
      <c r="A95" s="6">
        <v>80</v>
      </c>
      <c r="B95" s="6">
        <f t="shared" ca="1" si="9"/>
        <v>0.65983676700273597</v>
      </c>
      <c r="C95" s="8">
        <f t="shared" ca="1" si="10"/>
        <v>5659.8367670027365</v>
      </c>
      <c r="T95" s="6">
        <v>80</v>
      </c>
      <c r="U95" s="6">
        <f t="shared" ca="1" si="11"/>
        <v>0.28291927974099407</v>
      </c>
      <c r="V95">
        <f t="shared" ca="1" si="12"/>
        <v>0.51095052220131387</v>
      </c>
      <c r="W95" s="8">
        <f t="shared" ca="1" si="13"/>
        <v>11.587739603884616</v>
      </c>
    </row>
    <row r="96" spans="1:23" ht="15">
      <c r="A96" s="6">
        <v>81</v>
      </c>
      <c r="B96" s="6">
        <f t="shared" ca="1" si="9"/>
        <v>0.9567670907291822</v>
      </c>
      <c r="C96" s="8">
        <f t="shared" ca="1" si="10"/>
        <v>5956.7670907291822</v>
      </c>
      <c r="T96" s="6">
        <v>81</v>
      </c>
      <c r="U96" s="6">
        <f t="shared" ca="1" si="11"/>
        <v>0.59224815234469541</v>
      </c>
      <c r="V96">
        <f t="shared" ca="1" si="12"/>
        <v>0.37385973250653215</v>
      </c>
      <c r="W96" s="8">
        <f t="shared" ca="1" si="13"/>
        <v>11.932215769702456</v>
      </c>
    </row>
    <row r="97" spans="1:23" ht="15">
      <c r="A97" s="6">
        <v>82</v>
      </c>
      <c r="B97" s="6">
        <f t="shared" ca="1" si="9"/>
        <v>0.99458525541974652</v>
      </c>
      <c r="C97" s="8">
        <f t="shared" ca="1" si="10"/>
        <v>5994.5852554197463</v>
      </c>
      <c r="T97" s="6">
        <v>82</v>
      </c>
      <c r="U97" s="6">
        <f t="shared" ca="1" si="11"/>
        <v>0.46633200798774355</v>
      </c>
      <c r="V97">
        <f t="shared" ca="1" si="12"/>
        <v>0.25173727528284118</v>
      </c>
      <c r="W97" s="8">
        <f t="shared" ca="1" si="13"/>
        <v>11.436138566541169</v>
      </c>
    </row>
    <row r="98" spans="1:23" ht="15">
      <c r="A98" s="6">
        <v>83</v>
      </c>
      <c r="B98" s="6">
        <f t="shared" ca="1" si="9"/>
        <v>0.43791642728487512</v>
      </c>
      <c r="C98" s="8">
        <f t="shared" ca="1" si="10"/>
        <v>5437.9164272848748</v>
      </c>
      <c r="T98" s="6">
        <v>83</v>
      </c>
      <c r="U98" s="6">
        <f t="shared" ca="1" si="11"/>
        <v>0.80936187334800247</v>
      </c>
      <c r="V98">
        <f t="shared" ca="1" si="12"/>
        <v>0.38368320319351579</v>
      </c>
      <c r="W98" s="8">
        <f t="shared" ca="1" si="13"/>
        <v>12.386090153083035</v>
      </c>
    </row>
    <row r="99" spans="1:23" ht="15">
      <c r="A99" s="6">
        <v>84</v>
      </c>
      <c r="B99" s="6">
        <f t="shared" ca="1" si="9"/>
        <v>0.72158312488988019</v>
      </c>
      <c r="C99" s="8">
        <f t="shared" ca="1" si="10"/>
        <v>5721.5831248898803</v>
      </c>
      <c r="T99" s="6">
        <v>84</v>
      </c>
      <c r="U99" s="6">
        <f t="shared" ca="1" si="11"/>
        <v>0.33820046065152443</v>
      </c>
      <c r="V99">
        <f t="shared" ca="1" si="12"/>
        <v>0.63450205075359467</v>
      </c>
      <c r="W99" s="8">
        <f t="shared" ca="1" si="13"/>
        <v>11.945405022810238</v>
      </c>
    </row>
    <row r="100" spans="1:23" ht="15">
      <c r="A100" s="6">
        <v>85</v>
      </c>
      <c r="B100" s="6">
        <f t="shared" ca="1" si="9"/>
        <v>0.4361340290177369</v>
      </c>
      <c r="C100" s="8">
        <f t="shared" ca="1" si="10"/>
        <v>5436.1340290177368</v>
      </c>
      <c r="T100" s="6">
        <v>85</v>
      </c>
      <c r="U100" s="6">
        <f t="shared" ca="1" si="11"/>
        <v>0.77325332294576365</v>
      </c>
      <c r="V100">
        <f t="shared" ca="1" si="12"/>
        <v>0.69799831661510281</v>
      </c>
      <c r="W100" s="8">
        <f t="shared" ca="1" si="13"/>
        <v>12.942503279121734</v>
      </c>
    </row>
    <row r="101" spans="1:23" ht="15">
      <c r="A101" s="6">
        <v>86</v>
      </c>
      <c r="B101" s="6">
        <f t="shared" ca="1" si="9"/>
        <v>0.44586013049339679</v>
      </c>
      <c r="C101" s="8">
        <f t="shared" ca="1" si="10"/>
        <v>5445.8601304933964</v>
      </c>
      <c r="T101" s="6">
        <v>86</v>
      </c>
      <c r="U101" s="6">
        <f t="shared" ca="1" si="11"/>
        <v>7.2594772057986701E-2</v>
      </c>
      <c r="V101">
        <f t="shared" ca="1" si="12"/>
        <v>0.84155860739294119</v>
      </c>
      <c r="W101" s="8">
        <f t="shared" ca="1" si="13"/>
        <v>11.828306758901856</v>
      </c>
    </row>
    <row r="102" spans="1:23" ht="15">
      <c r="A102" s="6">
        <v>87</v>
      </c>
      <c r="B102" s="6">
        <f t="shared" ca="1" si="9"/>
        <v>0.16152900893124966</v>
      </c>
      <c r="C102" s="8">
        <f t="shared" ca="1" si="10"/>
        <v>5161.5290089312493</v>
      </c>
      <c r="T102" s="6">
        <v>87</v>
      </c>
      <c r="U102" s="6">
        <f t="shared" ca="1" si="11"/>
        <v>0.77949751818864321</v>
      </c>
      <c r="V102">
        <f t="shared" ca="1" si="12"/>
        <v>0.43302054078411301</v>
      </c>
      <c r="W102" s="8">
        <f t="shared" ca="1" si="13"/>
        <v>12.425036117945513</v>
      </c>
    </row>
    <row r="103" spans="1:23" ht="15">
      <c r="A103" s="6">
        <v>88</v>
      </c>
      <c r="B103" s="6">
        <f t="shared" ca="1" si="9"/>
        <v>0.93688795936137159</v>
      </c>
      <c r="C103" s="8">
        <f t="shared" ca="1" si="10"/>
        <v>5936.8879593613719</v>
      </c>
      <c r="T103" s="6">
        <v>88</v>
      </c>
      <c r="U103" s="6">
        <f t="shared" ca="1" si="11"/>
        <v>0.33245359658103324</v>
      </c>
      <c r="V103">
        <f t="shared" ca="1" si="12"/>
        <v>0.58909994558637313</v>
      </c>
      <c r="W103" s="8">
        <f t="shared" ca="1" si="13"/>
        <v>11.843107084334813</v>
      </c>
    </row>
    <row r="104" spans="1:23" ht="15">
      <c r="A104" s="6">
        <v>89</v>
      </c>
      <c r="B104" s="6">
        <f t="shared" ca="1" si="9"/>
        <v>0.96161061681238813</v>
      </c>
      <c r="C104" s="8">
        <f t="shared" ca="1" si="10"/>
        <v>5961.6106168123879</v>
      </c>
      <c r="T104" s="6">
        <v>89</v>
      </c>
      <c r="U104" s="6">
        <f t="shared" ca="1" si="11"/>
        <v>8.6102580804826578E-3</v>
      </c>
      <c r="V104">
        <f t="shared" ca="1" si="12"/>
        <v>0.84791389343743528</v>
      </c>
      <c r="W104" s="8">
        <f t="shared" ca="1" si="13"/>
        <v>11.713048303035835</v>
      </c>
    </row>
    <row r="105" spans="1:23" ht="15">
      <c r="A105" s="6">
        <v>90</v>
      </c>
      <c r="B105" s="6">
        <f t="shared" ca="1" si="9"/>
        <v>0.21636542773919576</v>
      </c>
      <c r="C105" s="8">
        <f t="shared" ca="1" si="10"/>
        <v>5216.3654277391961</v>
      </c>
      <c r="T105" s="6">
        <v>90</v>
      </c>
      <c r="U105" s="6">
        <f t="shared" ca="1" si="11"/>
        <v>0.86187919757248255</v>
      </c>
      <c r="V105">
        <f t="shared" ca="1" si="12"/>
        <v>6.4017870736254201E-2</v>
      </c>
      <c r="W105" s="8">
        <f t="shared" ca="1" si="13"/>
        <v>11.851794136617473</v>
      </c>
    </row>
    <row r="106" spans="1:23" ht="15">
      <c r="A106" s="6">
        <v>91</v>
      </c>
      <c r="B106" s="6">
        <f t="shared" ca="1" si="9"/>
        <v>0.6465111623532287</v>
      </c>
      <c r="C106" s="8">
        <f t="shared" ca="1" si="10"/>
        <v>5646.5111623532284</v>
      </c>
      <c r="T106" s="6">
        <v>91</v>
      </c>
      <c r="U106" s="6">
        <f t="shared" ca="1" si="11"/>
        <v>0.25110537638721731</v>
      </c>
      <c r="V106">
        <f t="shared" ca="1" si="12"/>
        <v>4.4780929341797671E-2</v>
      </c>
      <c r="W106" s="8">
        <f t="shared" ca="1" si="13"/>
        <v>10.59177261145803</v>
      </c>
    </row>
    <row r="107" spans="1:23" ht="15">
      <c r="A107" s="6">
        <v>92</v>
      </c>
      <c r="B107" s="6">
        <f t="shared" ca="1" si="9"/>
        <v>0.93898934272448342</v>
      </c>
      <c r="C107" s="8">
        <f t="shared" ca="1" si="10"/>
        <v>5938.9893427244833</v>
      </c>
      <c r="T107" s="6">
        <v>92</v>
      </c>
      <c r="U107" s="6">
        <f t="shared" ca="1" si="11"/>
        <v>0.27099199346101488</v>
      </c>
      <c r="V107">
        <f t="shared" ca="1" si="12"/>
        <v>0.37087564428658015</v>
      </c>
      <c r="W107" s="8">
        <f t="shared" ca="1" si="13"/>
        <v>11.283735275495189</v>
      </c>
    </row>
    <row r="108" spans="1:23" ht="15">
      <c r="A108" s="6">
        <v>93</v>
      </c>
      <c r="B108" s="6">
        <f t="shared" ca="1" si="9"/>
        <v>0.23261643691090828</v>
      </c>
      <c r="C108" s="8">
        <f t="shared" ca="1" si="10"/>
        <v>5232.6164369109083</v>
      </c>
      <c r="T108" s="6">
        <v>93</v>
      </c>
      <c r="U108" s="6">
        <f t="shared" ca="1" si="11"/>
        <v>0.41236780242183457</v>
      </c>
      <c r="V108">
        <f t="shared" ca="1" si="12"/>
        <v>0.73724797953980981</v>
      </c>
      <c r="W108" s="8">
        <f t="shared" ca="1" si="13"/>
        <v>12.299231563923289</v>
      </c>
    </row>
    <row r="109" spans="1:23" ht="15">
      <c r="A109" s="6">
        <v>94</v>
      </c>
      <c r="B109" s="6">
        <f t="shared" ca="1" si="9"/>
        <v>0.14443808476274156</v>
      </c>
      <c r="C109" s="8">
        <f t="shared" ca="1" si="10"/>
        <v>5144.4380847627417</v>
      </c>
      <c r="T109" s="6">
        <v>94</v>
      </c>
      <c r="U109" s="6">
        <f t="shared" ca="1" si="11"/>
        <v>0.8519779609605882</v>
      </c>
      <c r="V109">
        <f t="shared" ca="1" si="12"/>
        <v>0.1135567024399502</v>
      </c>
      <c r="W109" s="8">
        <f t="shared" ca="1" si="13"/>
        <v>11.931069326801076</v>
      </c>
    </row>
    <row r="110" spans="1:23" ht="15">
      <c r="A110" s="6">
        <v>95</v>
      </c>
      <c r="B110" s="6">
        <f t="shared" ca="1" si="9"/>
        <v>0.41621832350141252</v>
      </c>
      <c r="C110" s="8">
        <f t="shared" ca="1" si="10"/>
        <v>5416.2183235014127</v>
      </c>
      <c r="T110" s="6">
        <v>95</v>
      </c>
      <c r="U110" s="6">
        <f t="shared" ca="1" si="11"/>
        <v>0.65076612734158978</v>
      </c>
      <c r="V110">
        <f t="shared" ca="1" si="12"/>
        <v>0.26875820692513563</v>
      </c>
      <c r="W110" s="8">
        <f t="shared" ca="1" si="13"/>
        <v>11.839048668533451</v>
      </c>
    </row>
    <row r="111" spans="1:23" ht="15">
      <c r="A111" s="6">
        <v>96</v>
      </c>
      <c r="B111" s="6">
        <f t="shared" ca="1" si="9"/>
        <v>0.71192406842372391</v>
      </c>
      <c r="C111" s="8">
        <f t="shared" ca="1" si="10"/>
        <v>5711.9240684237238</v>
      </c>
      <c r="T111" s="6">
        <v>96</v>
      </c>
      <c r="U111" s="6">
        <f t="shared" ca="1" si="11"/>
        <v>0.16308000566096659</v>
      </c>
      <c r="V111">
        <f t="shared" ca="1" si="12"/>
        <v>9.8514800404788772E-2</v>
      </c>
      <c r="W111" s="8">
        <f t="shared" ca="1" si="13"/>
        <v>10.52318961213151</v>
      </c>
    </row>
    <row r="112" spans="1:23" ht="15">
      <c r="A112" s="6">
        <v>97</v>
      </c>
      <c r="B112" s="6">
        <f t="shared" ca="1" si="9"/>
        <v>0.20230231733952964</v>
      </c>
      <c r="C112" s="8">
        <f t="shared" ca="1" si="10"/>
        <v>5202.3023173395295</v>
      </c>
      <c r="T112" s="6">
        <v>97</v>
      </c>
      <c r="U112" s="6">
        <f t="shared" ca="1" si="11"/>
        <v>0.31036896619661103</v>
      </c>
      <c r="V112">
        <f t="shared" ca="1" si="12"/>
        <v>3.5536515744227115E-2</v>
      </c>
      <c r="W112" s="8">
        <f t="shared" ca="1" si="13"/>
        <v>10.691810963881677</v>
      </c>
    </row>
    <row r="113" spans="1:23" ht="15">
      <c r="A113" s="6">
        <v>98</v>
      </c>
      <c r="B113" s="6">
        <f t="shared" ca="1" si="9"/>
        <v>0.9071915855787489</v>
      </c>
      <c r="C113" s="8">
        <f t="shared" ca="1" si="10"/>
        <v>5907.1915855787493</v>
      </c>
      <c r="T113" s="6">
        <v>98</v>
      </c>
      <c r="U113" s="6">
        <f t="shared" ca="1" si="11"/>
        <v>0.14801963810230845</v>
      </c>
      <c r="V113">
        <f t="shared" ca="1" si="12"/>
        <v>0.35433492646531461</v>
      </c>
      <c r="W113" s="8">
        <f t="shared" ca="1" si="13"/>
        <v>11.004709129135247</v>
      </c>
    </row>
    <row r="114" spans="1:23" ht="15">
      <c r="A114" s="6">
        <v>99</v>
      </c>
      <c r="B114" s="6">
        <f t="shared" ca="1" si="9"/>
        <v>0.34014094104025983</v>
      </c>
      <c r="C114" s="8">
        <f t="shared" ca="1" si="10"/>
        <v>5340.1409410402593</v>
      </c>
      <c r="T114" s="6">
        <v>99</v>
      </c>
      <c r="U114" s="6">
        <f t="shared" ca="1" si="11"/>
        <v>0.98846088769940277</v>
      </c>
      <c r="V114">
        <f t="shared" ca="1" si="12"/>
        <v>0.3062016112312087</v>
      </c>
      <c r="W114" s="8">
        <f t="shared" ca="1" si="13"/>
        <v>12.589324997861222</v>
      </c>
    </row>
    <row r="115" spans="1:23" ht="15">
      <c r="A115" s="6">
        <v>100</v>
      </c>
      <c r="B115" s="6">
        <f t="shared" ca="1" si="9"/>
        <v>0.87824164295036944</v>
      </c>
      <c r="C115" s="8">
        <f t="shared" ca="1" si="10"/>
        <v>5878.2416429503692</v>
      </c>
      <c r="T115" s="6">
        <v>100</v>
      </c>
      <c r="U115" s="6">
        <f t="shared" ca="1" si="11"/>
        <v>0.87702368362234873</v>
      </c>
      <c r="V115">
        <f t="shared" ca="1" si="12"/>
        <v>0.37614556670512767</v>
      </c>
      <c r="W115" s="8">
        <f t="shared" ca="1" si="13"/>
        <v>12.506338500654952</v>
      </c>
    </row>
    <row r="116" spans="1:23" ht="15">
      <c r="A116" s="6">
        <v>101</v>
      </c>
      <c r="B116" s="6">
        <f t="shared" ca="1" si="9"/>
        <v>7.1869073713594078E-3</v>
      </c>
      <c r="C116" s="8">
        <f t="shared" ca="1" si="10"/>
        <v>5007.1869073713597</v>
      </c>
      <c r="T116" s="6">
        <v>101</v>
      </c>
      <c r="U116" s="6">
        <f t="shared" ca="1" si="11"/>
        <v>0.85949625155923814</v>
      </c>
      <c r="V116">
        <f t="shared" ca="1" si="12"/>
        <v>0.23038018255938608</v>
      </c>
      <c r="W116" s="8">
        <f t="shared" ca="1" si="13"/>
        <v>12.179752868237248</v>
      </c>
    </row>
    <row r="117" spans="1:23" ht="15">
      <c r="A117" s="6">
        <v>102</v>
      </c>
      <c r="B117" s="6">
        <f t="shared" ca="1" si="9"/>
        <v>0.63787862538991424</v>
      </c>
      <c r="C117" s="8">
        <f t="shared" ca="1" si="10"/>
        <v>5637.8786253899143</v>
      </c>
      <c r="T117" s="6">
        <v>102</v>
      </c>
      <c r="U117" s="6">
        <f t="shared" ca="1" si="11"/>
        <v>0.65075273724318128</v>
      </c>
      <c r="V117">
        <f t="shared" ca="1" si="12"/>
        <v>0.40283541868948425</v>
      </c>
      <c r="W117" s="8">
        <f t="shared" ca="1" si="13"/>
        <v>12.107176311865331</v>
      </c>
    </row>
    <row r="118" spans="1:23" ht="15">
      <c r="A118" s="6">
        <v>103</v>
      </c>
      <c r="B118" s="6">
        <f t="shared" ca="1" si="9"/>
        <v>0.74989338211442969</v>
      </c>
      <c r="C118" s="8">
        <f t="shared" ca="1" si="10"/>
        <v>5749.8933821144292</v>
      </c>
      <c r="T118" s="6">
        <v>103</v>
      </c>
      <c r="U118" s="6">
        <f t="shared" ca="1" si="11"/>
        <v>0.23667320964993688</v>
      </c>
      <c r="V118">
        <f t="shared" ca="1" si="12"/>
        <v>0.44943796464258978</v>
      </c>
      <c r="W118" s="8">
        <f t="shared" ca="1" si="13"/>
        <v>11.372222348585053</v>
      </c>
    </row>
    <row r="119" spans="1:23" ht="15">
      <c r="A119" s="6">
        <v>104</v>
      </c>
      <c r="B119" s="6">
        <f t="shared" ca="1" si="9"/>
        <v>0.89293511700838957</v>
      </c>
      <c r="C119" s="8">
        <f t="shared" ca="1" si="10"/>
        <v>5892.9351170083892</v>
      </c>
      <c r="T119" s="6">
        <v>104</v>
      </c>
      <c r="U119" s="6">
        <f t="shared" ca="1" si="11"/>
        <v>0.82456453387246575</v>
      </c>
      <c r="V119">
        <f t="shared" ca="1" si="12"/>
        <v>0.39560057052968756</v>
      </c>
      <c r="W119" s="8">
        <f t="shared" ca="1" si="13"/>
        <v>12.440330208804307</v>
      </c>
    </row>
    <row r="120" spans="1:23" ht="15">
      <c r="A120" s="6">
        <v>105</v>
      </c>
      <c r="B120" s="6">
        <f t="shared" ca="1" si="9"/>
        <v>0.80092156281312987</v>
      </c>
      <c r="C120" s="8">
        <f t="shared" ca="1" si="10"/>
        <v>5800.9215628131296</v>
      </c>
      <c r="T120" s="6">
        <v>105</v>
      </c>
      <c r="U120" s="6">
        <f t="shared" ca="1" si="11"/>
        <v>0.66991943352032457</v>
      </c>
      <c r="V120">
        <f t="shared" ca="1" si="12"/>
        <v>0.4485391762274441</v>
      </c>
      <c r="W120" s="8">
        <f t="shared" ca="1" si="13"/>
        <v>12.236917219495538</v>
      </c>
    </row>
    <row r="121" spans="1:23" ht="15">
      <c r="A121" s="6">
        <v>106</v>
      </c>
      <c r="B121" s="6">
        <f t="shared" ca="1" si="9"/>
        <v>0.34314292110883893</v>
      </c>
      <c r="C121" s="8">
        <f t="shared" ca="1" si="10"/>
        <v>5343.1429211088389</v>
      </c>
      <c r="T121" s="6">
        <v>106</v>
      </c>
      <c r="U121" s="6">
        <f t="shared" ca="1" si="11"/>
        <v>0.3452449816539247</v>
      </c>
      <c r="V121">
        <f t="shared" ca="1" si="12"/>
        <v>0.11420944161635538</v>
      </c>
      <c r="W121" s="8">
        <f t="shared" ca="1" si="13"/>
        <v>10.91890884654056</v>
      </c>
    </row>
    <row r="122" spans="1:23" ht="15">
      <c r="A122" s="6">
        <v>107</v>
      </c>
      <c r="B122" s="6">
        <f t="shared" ca="1" si="9"/>
        <v>0.32498344238883237</v>
      </c>
      <c r="C122" s="8">
        <f t="shared" ca="1" si="10"/>
        <v>5324.9834423888324</v>
      </c>
      <c r="T122" s="6">
        <v>107</v>
      </c>
      <c r="U122" s="6">
        <f t="shared" ca="1" si="11"/>
        <v>0.22666292562695756</v>
      </c>
      <c r="V122">
        <f t="shared" ca="1" si="12"/>
        <v>0.10054206617381611</v>
      </c>
      <c r="W122" s="8">
        <f t="shared" ca="1" si="13"/>
        <v>10.654409983601548</v>
      </c>
    </row>
    <row r="123" spans="1:23" ht="15">
      <c r="A123" s="6">
        <v>108</v>
      </c>
      <c r="B123" s="6">
        <f t="shared" ca="1" si="9"/>
        <v>0.22874207814841652</v>
      </c>
      <c r="C123" s="8">
        <f t="shared" ca="1" si="10"/>
        <v>5228.7420781484161</v>
      </c>
      <c r="T123" s="6">
        <v>108</v>
      </c>
      <c r="U123" s="6">
        <f t="shared" ca="1" si="11"/>
        <v>0.99159505725147346</v>
      </c>
      <c r="V123">
        <f t="shared" ca="1" si="12"/>
        <v>0.72603825657476351</v>
      </c>
      <c r="W123" s="8">
        <f t="shared" ca="1" si="13"/>
        <v>13.435266627652474</v>
      </c>
    </row>
    <row r="124" spans="1:23" ht="15">
      <c r="A124" s="6">
        <v>109</v>
      </c>
      <c r="B124" s="6">
        <f t="shared" ca="1" si="9"/>
        <v>0.11576613060032526</v>
      </c>
      <c r="C124" s="8">
        <f t="shared" ca="1" si="10"/>
        <v>5115.7661306003256</v>
      </c>
      <c r="T124" s="6">
        <v>109</v>
      </c>
      <c r="U124" s="6">
        <f t="shared" ca="1" si="11"/>
        <v>0.36142292219269279</v>
      </c>
      <c r="V124">
        <f t="shared" ca="1" si="12"/>
        <v>0.75436260375594733</v>
      </c>
      <c r="W124" s="8">
        <f t="shared" ca="1" si="13"/>
        <v>12.23157105189728</v>
      </c>
    </row>
    <row r="125" spans="1:23" ht="15">
      <c r="A125" s="6">
        <v>110</v>
      </c>
      <c r="B125" s="6">
        <f t="shared" ca="1" si="9"/>
        <v>0.18979315375811012</v>
      </c>
      <c r="C125" s="8">
        <f t="shared" ca="1" si="10"/>
        <v>5189.7931537581098</v>
      </c>
      <c r="T125" s="6">
        <v>110</v>
      </c>
      <c r="U125" s="6">
        <f t="shared" ca="1" si="11"/>
        <v>8.7305484885885409E-2</v>
      </c>
      <c r="V125">
        <f t="shared" ca="1" si="12"/>
        <v>0.35537081798037973</v>
      </c>
      <c r="W125" s="8">
        <f t="shared" ca="1" si="13"/>
        <v>10.88535260573253</v>
      </c>
    </row>
    <row r="126" spans="1:23" ht="15">
      <c r="A126" s="6">
        <v>111</v>
      </c>
      <c r="B126" s="6">
        <f t="shared" ca="1" si="9"/>
        <v>0.72391638105606304</v>
      </c>
      <c r="C126" s="8">
        <f t="shared" ca="1" si="10"/>
        <v>5723.9163810560631</v>
      </c>
      <c r="T126" s="6">
        <v>111</v>
      </c>
      <c r="U126" s="6">
        <f t="shared" ca="1" si="11"/>
        <v>7.0016381050661991E-2</v>
      </c>
      <c r="V126">
        <f t="shared" ca="1" si="12"/>
        <v>0.15827106621744635</v>
      </c>
      <c r="W126" s="8">
        <f t="shared" ca="1" si="13"/>
        <v>10.456574894536217</v>
      </c>
    </row>
    <row r="127" spans="1:23" ht="15">
      <c r="A127" s="6">
        <v>112</v>
      </c>
      <c r="B127" s="6">
        <f t="shared" ca="1" si="9"/>
        <v>0.93443455231459582</v>
      </c>
      <c r="C127" s="8">
        <f t="shared" ca="1" si="10"/>
        <v>5934.4345523145957</v>
      </c>
      <c r="T127" s="6">
        <v>112</v>
      </c>
      <c r="U127" s="6">
        <f t="shared" ca="1" si="11"/>
        <v>0.41933377924588988</v>
      </c>
      <c r="V127">
        <f t="shared" ca="1" si="12"/>
        <v>0.26664262247585824</v>
      </c>
      <c r="W127" s="8">
        <f t="shared" ca="1" si="13"/>
        <v>11.371952803443497</v>
      </c>
    </row>
    <row r="128" spans="1:23" ht="15">
      <c r="A128" s="6">
        <v>113</v>
      </c>
      <c r="B128" s="6">
        <f t="shared" ca="1" si="9"/>
        <v>0.59799724175184898</v>
      </c>
      <c r="C128" s="8">
        <f t="shared" ca="1" si="10"/>
        <v>5597.9972417518493</v>
      </c>
      <c r="T128" s="6">
        <v>113</v>
      </c>
      <c r="U128" s="6">
        <f t="shared" ca="1" si="11"/>
        <v>0.21604838489070577</v>
      </c>
      <c r="V128">
        <f t="shared" ca="1" si="12"/>
        <v>0.7322996497748363</v>
      </c>
      <c r="W128" s="8">
        <f t="shared" ca="1" si="13"/>
        <v>11.896696069331083</v>
      </c>
    </row>
    <row r="129" spans="1:23" ht="15">
      <c r="A129" s="6">
        <v>114</v>
      </c>
      <c r="B129" s="6">
        <f t="shared" ca="1" si="9"/>
        <v>0.1456746342522669</v>
      </c>
      <c r="C129" s="8">
        <f t="shared" ca="1" si="10"/>
        <v>5145.6746342522665</v>
      </c>
      <c r="T129" s="6">
        <v>114</v>
      </c>
      <c r="U129" s="6">
        <f t="shared" ca="1" si="11"/>
        <v>0.141013412125784</v>
      </c>
      <c r="V129">
        <f t="shared" ca="1" si="12"/>
        <v>0.41990612666028393</v>
      </c>
      <c r="W129" s="8">
        <f t="shared" ca="1" si="13"/>
        <v>11.121839077572137</v>
      </c>
    </row>
    <row r="130" spans="1:23" ht="15">
      <c r="A130" s="6">
        <v>115</v>
      </c>
      <c r="B130" s="6">
        <f t="shared" ca="1" si="9"/>
        <v>0.9558807263549709</v>
      </c>
      <c r="C130" s="8">
        <f t="shared" ca="1" si="10"/>
        <v>5955.8807263549706</v>
      </c>
      <c r="T130" s="6">
        <v>115</v>
      </c>
      <c r="U130" s="6">
        <f t="shared" ca="1" si="11"/>
        <v>0.35495091237148124</v>
      </c>
      <c r="V130">
        <f t="shared" ca="1" si="12"/>
        <v>0.6171294293610825</v>
      </c>
      <c r="W130" s="8">
        <f t="shared" ca="1" si="13"/>
        <v>11.944160683465128</v>
      </c>
    </row>
    <row r="131" spans="1:23" ht="15">
      <c r="A131" s="6">
        <v>116</v>
      </c>
      <c r="B131" s="6">
        <f t="shared" ca="1" si="9"/>
        <v>0.37901516729639506</v>
      </c>
      <c r="C131" s="8">
        <f t="shared" ca="1" si="10"/>
        <v>5379.0151672963948</v>
      </c>
      <c r="T131" s="6">
        <v>116</v>
      </c>
      <c r="U131" s="6">
        <f t="shared" ca="1" si="11"/>
        <v>0.30744611841395908</v>
      </c>
      <c r="V131">
        <f t="shared" ca="1" si="12"/>
        <v>0.52031721543191511</v>
      </c>
      <c r="W131" s="8">
        <f t="shared" ca="1" si="13"/>
        <v>11.655526667691749</v>
      </c>
    </row>
    <row r="132" spans="1:23" ht="15">
      <c r="A132" s="6">
        <v>117</v>
      </c>
      <c r="B132" s="6">
        <f t="shared" ca="1" si="9"/>
        <v>0.8133972943008464</v>
      </c>
      <c r="C132" s="8">
        <f t="shared" ca="1" si="10"/>
        <v>5813.3972943008466</v>
      </c>
      <c r="T132" s="6">
        <v>117</v>
      </c>
      <c r="U132" s="6">
        <f t="shared" ca="1" si="11"/>
        <v>0.17081307776869992</v>
      </c>
      <c r="V132">
        <f t="shared" ca="1" si="12"/>
        <v>0.75690422063927798</v>
      </c>
      <c r="W132" s="8">
        <f t="shared" ca="1" si="13"/>
        <v>11.855434596815956</v>
      </c>
    </row>
    <row r="133" spans="1:23" ht="15">
      <c r="A133" s="6">
        <v>118</v>
      </c>
      <c r="B133" s="6">
        <f t="shared" ca="1" si="9"/>
        <v>0.68333579315759474</v>
      </c>
      <c r="C133" s="8">
        <f t="shared" ca="1" si="10"/>
        <v>5683.3357931575947</v>
      </c>
      <c r="T133" s="6">
        <v>118</v>
      </c>
      <c r="U133" s="6">
        <f t="shared" ca="1" si="11"/>
        <v>0.7523231680446929</v>
      </c>
      <c r="V133">
        <f t="shared" ca="1" si="12"/>
        <v>0.60644858697562742</v>
      </c>
      <c r="W133" s="8">
        <f t="shared" ca="1" si="13"/>
        <v>12.717543510040642</v>
      </c>
    </row>
    <row r="134" spans="1:23" ht="15">
      <c r="A134" s="6">
        <v>119</v>
      </c>
      <c r="B134" s="6">
        <f t="shared" ca="1" si="9"/>
        <v>0.69944249683139215</v>
      </c>
      <c r="C134" s="8">
        <f t="shared" ca="1" si="10"/>
        <v>5699.4424968313924</v>
      </c>
      <c r="T134" s="6">
        <v>119</v>
      </c>
      <c r="U134" s="6">
        <f t="shared" ca="1" si="11"/>
        <v>0.44081236333067919</v>
      </c>
      <c r="V134">
        <f t="shared" ca="1" si="12"/>
        <v>0.60471057135902717</v>
      </c>
      <c r="W134" s="8">
        <f t="shared" ca="1" si="13"/>
        <v>12.091045869379412</v>
      </c>
    </row>
    <row r="135" spans="1:23" ht="15">
      <c r="A135" s="6">
        <v>120</v>
      </c>
      <c r="B135" s="6">
        <f t="shared" ca="1" si="9"/>
        <v>0.65100313529812837</v>
      </c>
      <c r="C135" s="8">
        <f t="shared" ca="1" si="10"/>
        <v>5651.0031352981287</v>
      </c>
      <c r="T135" s="6">
        <v>120</v>
      </c>
      <c r="U135" s="6">
        <f t="shared" ca="1" si="11"/>
        <v>0.75869168317773128</v>
      </c>
      <c r="V135">
        <f t="shared" ca="1" si="12"/>
        <v>5.1380539951712323E-2</v>
      </c>
      <c r="W135" s="8">
        <f t="shared" ca="1" si="13"/>
        <v>11.620144446258887</v>
      </c>
    </row>
    <row r="136" spans="1:23" ht="15">
      <c r="A136" s="6">
        <v>121</v>
      </c>
      <c r="B136" s="6">
        <f t="shared" ca="1" si="9"/>
        <v>0.31491711408092737</v>
      </c>
      <c r="C136" s="8">
        <f t="shared" ca="1" si="10"/>
        <v>5314.9171140809276</v>
      </c>
      <c r="T136" s="6">
        <v>121</v>
      </c>
      <c r="U136" s="6">
        <f t="shared" ca="1" si="11"/>
        <v>0.32312503958612282</v>
      </c>
      <c r="V136">
        <f t="shared" ca="1" si="12"/>
        <v>0.53306923836750686</v>
      </c>
      <c r="W136" s="8">
        <f t="shared" ca="1" si="13"/>
        <v>11.712388555907259</v>
      </c>
    </row>
    <row r="137" spans="1:23" ht="15">
      <c r="A137" s="6">
        <v>122</v>
      </c>
      <c r="B137" s="6">
        <f t="shared" ca="1" si="9"/>
        <v>4.7932008376111224E-2</v>
      </c>
      <c r="C137" s="8">
        <f t="shared" ca="1" si="10"/>
        <v>5047.9320083761113</v>
      </c>
      <c r="T137" s="6">
        <v>122</v>
      </c>
      <c r="U137" s="6">
        <f t="shared" ca="1" si="11"/>
        <v>7.0317749535557805E-3</v>
      </c>
      <c r="V137">
        <f t="shared" ca="1" si="12"/>
        <v>0.16355578212660193</v>
      </c>
      <c r="W137" s="8">
        <f t="shared" ca="1" si="13"/>
        <v>10.341175114160315</v>
      </c>
    </row>
    <row r="138" spans="1:23" ht="15">
      <c r="A138" s="6">
        <v>123</v>
      </c>
      <c r="B138" s="6">
        <f t="shared" ca="1" si="9"/>
        <v>0.52533208479902838</v>
      </c>
      <c r="C138" s="8">
        <f t="shared" ca="1" si="10"/>
        <v>5525.3320847990281</v>
      </c>
      <c r="T138" s="6">
        <v>123</v>
      </c>
      <c r="U138" s="6">
        <f t="shared" ca="1" si="11"/>
        <v>0.36159546375230323</v>
      </c>
      <c r="V138">
        <f t="shared" ca="1" si="12"/>
        <v>0.53879872518891359</v>
      </c>
      <c r="W138" s="8">
        <f t="shared" ca="1" si="13"/>
        <v>11.800788377882434</v>
      </c>
    </row>
    <row r="139" spans="1:23" ht="15">
      <c r="A139" s="6">
        <v>124</v>
      </c>
      <c r="B139" s="6">
        <f t="shared" ca="1" si="9"/>
        <v>0.31060511005838598</v>
      </c>
      <c r="C139" s="8">
        <f t="shared" ca="1" si="10"/>
        <v>5310.6051100583863</v>
      </c>
      <c r="T139" s="6">
        <v>124</v>
      </c>
      <c r="U139" s="6">
        <f t="shared" ca="1" si="11"/>
        <v>0.25783275464917144</v>
      </c>
      <c r="V139">
        <f t="shared" ca="1" si="12"/>
        <v>0.14328364421339446</v>
      </c>
      <c r="W139" s="8">
        <f t="shared" ca="1" si="13"/>
        <v>10.802232797725132</v>
      </c>
    </row>
    <row r="140" spans="1:23" ht="15">
      <c r="A140" s="6">
        <v>125</v>
      </c>
      <c r="B140" s="6">
        <f t="shared" ca="1" si="9"/>
        <v>0.65208358834190738</v>
      </c>
      <c r="C140" s="8">
        <f t="shared" ca="1" si="10"/>
        <v>5652.0835883419077</v>
      </c>
      <c r="T140" s="6">
        <v>125</v>
      </c>
      <c r="U140" s="6">
        <f t="shared" ca="1" si="11"/>
        <v>7.8012587810681433E-2</v>
      </c>
      <c r="V140">
        <f t="shared" ca="1" si="12"/>
        <v>0.79463383876978322</v>
      </c>
      <c r="W140" s="8">
        <f t="shared" ca="1" si="13"/>
        <v>11.74529285316093</v>
      </c>
    </row>
    <row r="141" spans="1:23" ht="15">
      <c r="A141" s="6">
        <v>126</v>
      </c>
      <c r="B141" s="6">
        <f t="shared" ca="1" si="9"/>
        <v>0.45250057294705304</v>
      </c>
      <c r="C141" s="8">
        <f t="shared" ca="1" si="10"/>
        <v>5452.5005729470531</v>
      </c>
      <c r="T141" s="6">
        <v>126</v>
      </c>
      <c r="U141" s="6">
        <f t="shared" ca="1" si="11"/>
        <v>0.76881644828057338</v>
      </c>
      <c r="V141">
        <f t="shared" ca="1" si="12"/>
        <v>0.10378687035576939</v>
      </c>
      <c r="W141" s="8">
        <f t="shared" ca="1" si="13"/>
        <v>11.745206637272686</v>
      </c>
    </row>
    <row r="142" spans="1:23" ht="15">
      <c r="A142" s="6">
        <v>127</v>
      </c>
      <c r="B142" s="6">
        <f t="shared" ca="1" si="9"/>
        <v>0.79557128856241888</v>
      </c>
      <c r="C142" s="8">
        <f t="shared" ca="1" si="10"/>
        <v>5795.5712885624189</v>
      </c>
      <c r="T142" s="6">
        <v>127</v>
      </c>
      <c r="U142" s="6">
        <f t="shared" ca="1" si="11"/>
        <v>5.6550614112225728E-2</v>
      </c>
      <c r="V142">
        <f t="shared" ca="1" si="12"/>
        <v>0.59145139350212894</v>
      </c>
      <c r="W142" s="8">
        <f t="shared" ca="1" si="13"/>
        <v>11.296004015228709</v>
      </c>
    </row>
    <row r="143" spans="1:23" ht="15">
      <c r="A143" s="6">
        <v>128</v>
      </c>
      <c r="B143" s="6">
        <f t="shared" ca="1" si="9"/>
        <v>0.3338349734699898</v>
      </c>
      <c r="C143" s="8">
        <f t="shared" ca="1" si="10"/>
        <v>5333.8349734699896</v>
      </c>
      <c r="T143" s="6">
        <v>128</v>
      </c>
      <c r="U143" s="6">
        <f t="shared" ca="1" si="11"/>
        <v>0.12197677613035707</v>
      </c>
      <c r="V143">
        <f t="shared" ca="1" si="12"/>
        <v>0.78564970634841957</v>
      </c>
      <c r="W143" s="8">
        <f t="shared" ca="1" si="13"/>
        <v>11.815252964957553</v>
      </c>
    </row>
    <row r="144" spans="1:23" ht="15">
      <c r="A144" s="6">
        <v>129</v>
      </c>
      <c r="B144" s="6">
        <f t="shared" ca="1" si="9"/>
        <v>0.45384251352921312</v>
      </c>
      <c r="C144" s="8">
        <f t="shared" ca="1" si="10"/>
        <v>5453.8425135292127</v>
      </c>
      <c r="T144" s="6">
        <v>129</v>
      </c>
      <c r="U144" s="6">
        <f t="shared" ca="1" si="11"/>
        <v>0.56676521943107772</v>
      </c>
      <c r="V144">
        <f t="shared" ca="1" si="12"/>
        <v>0.31466053115669179</v>
      </c>
      <c r="W144" s="8">
        <f t="shared" ca="1" si="13"/>
        <v>11.76285150117554</v>
      </c>
    </row>
    <row r="145" spans="1:23" ht="15">
      <c r="A145" s="6">
        <v>130</v>
      </c>
      <c r="B145" s="6">
        <f t="shared" ref="B145:B208" ca="1" si="14">RAND()</f>
        <v>4.1634741926996344E-2</v>
      </c>
      <c r="C145" s="8">
        <f t="shared" ref="C145:C208" ca="1" si="15">$B$12+($B$13-$B$12)*B145</f>
        <v>5041.634741926996</v>
      </c>
      <c r="T145" s="6">
        <v>130</v>
      </c>
      <c r="U145" s="6">
        <f t="shared" ref="U145:U208" ca="1" si="16">RAND()</f>
        <v>0.64479616986651833</v>
      </c>
      <c r="V145">
        <f t="shared" ref="V145:V208" ca="1" si="17">RAND()</f>
        <v>6.0660069629757452E-2</v>
      </c>
      <c r="W145" s="8">
        <f t="shared" ref="W145:W208" ca="1" si="18">$U$10+($U$12-$U$10)/2*(U145+V145)</f>
        <v>11.410912478992552</v>
      </c>
    </row>
    <row r="146" spans="1:23" ht="15">
      <c r="A146" s="6">
        <v>131</v>
      </c>
      <c r="B146" s="6">
        <f t="shared" ca="1" si="14"/>
        <v>0.59505267944022688</v>
      </c>
      <c r="C146" s="8">
        <f t="shared" ca="1" si="15"/>
        <v>5595.0526794402267</v>
      </c>
      <c r="T146" s="6">
        <v>131</v>
      </c>
      <c r="U146" s="6">
        <f t="shared" ca="1" si="16"/>
        <v>0.51950055176212429</v>
      </c>
      <c r="V146">
        <f t="shared" ca="1" si="17"/>
        <v>0.70250225246772013</v>
      </c>
      <c r="W146" s="8">
        <f t="shared" ca="1" si="18"/>
        <v>12.444005608459689</v>
      </c>
    </row>
    <row r="147" spans="1:23" ht="15">
      <c r="A147" s="6">
        <v>132</v>
      </c>
      <c r="B147" s="6">
        <f t="shared" ca="1" si="14"/>
        <v>2.613586901198317E-2</v>
      </c>
      <c r="C147" s="8">
        <f t="shared" ca="1" si="15"/>
        <v>5026.1358690119832</v>
      </c>
      <c r="T147" s="6">
        <v>132</v>
      </c>
      <c r="U147" s="6">
        <f t="shared" ca="1" si="16"/>
        <v>0.24230039675407211</v>
      </c>
      <c r="V147">
        <f t="shared" ca="1" si="17"/>
        <v>9.019629686070274E-2</v>
      </c>
      <c r="W147" s="8">
        <f t="shared" ca="1" si="18"/>
        <v>10.664993387229551</v>
      </c>
    </row>
    <row r="148" spans="1:23" ht="15">
      <c r="A148" s="6">
        <v>133</v>
      </c>
      <c r="B148" s="6">
        <f t="shared" ca="1" si="14"/>
        <v>0.93016939103285479</v>
      </c>
      <c r="C148" s="8">
        <f t="shared" ca="1" si="15"/>
        <v>5930.1693910328549</v>
      </c>
      <c r="T148" s="6">
        <v>133</v>
      </c>
      <c r="U148" s="6">
        <f t="shared" ca="1" si="16"/>
        <v>0.18400627279179604</v>
      </c>
      <c r="V148">
        <f t="shared" ca="1" si="17"/>
        <v>0.60579313782149913</v>
      </c>
      <c r="W148" s="8">
        <f t="shared" ca="1" si="18"/>
        <v>11.57959882122659</v>
      </c>
    </row>
    <row r="149" spans="1:23" ht="15">
      <c r="A149" s="6">
        <v>134</v>
      </c>
      <c r="B149" s="6">
        <f t="shared" ca="1" si="14"/>
        <v>4.9424629708689327E-2</v>
      </c>
      <c r="C149" s="8">
        <f t="shared" ca="1" si="15"/>
        <v>5049.4246297086893</v>
      </c>
      <c r="T149" s="6">
        <v>134</v>
      </c>
      <c r="U149" s="6">
        <f t="shared" ca="1" si="16"/>
        <v>0.42384181864004278</v>
      </c>
      <c r="V149">
        <f t="shared" ca="1" si="17"/>
        <v>0.87258065371769922</v>
      </c>
      <c r="W149" s="8">
        <f t="shared" ca="1" si="18"/>
        <v>12.592844944715484</v>
      </c>
    </row>
    <row r="150" spans="1:23" ht="15">
      <c r="A150" s="6">
        <v>135</v>
      </c>
      <c r="B150" s="6">
        <f t="shared" ca="1" si="14"/>
        <v>0.94973539472553914</v>
      </c>
      <c r="C150" s="8">
        <f t="shared" ca="1" si="15"/>
        <v>5949.7353947255388</v>
      </c>
      <c r="T150" s="6">
        <v>135</v>
      </c>
      <c r="U150" s="6">
        <f t="shared" ca="1" si="16"/>
        <v>7.2532760576433875E-2</v>
      </c>
      <c r="V150">
        <f t="shared" ca="1" si="17"/>
        <v>9.5932470811609827E-2</v>
      </c>
      <c r="W150" s="8">
        <f t="shared" ca="1" si="18"/>
        <v>10.336930462776088</v>
      </c>
    </row>
    <row r="151" spans="1:23" ht="15">
      <c r="A151" s="6">
        <v>136</v>
      </c>
      <c r="B151" s="6">
        <f t="shared" ca="1" si="14"/>
        <v>0.58304124419227044</v>
      </c>
      <c r="C151" s="8">
        <f t="shared" ca="1" si="15"/>
        <v>5583.0412441922708</v>
      </c>
      <c r="T151" s="6">
        <v>136</v>
      </c>
      <c r="U151" s="6">
        <f t="shared" ca="1" si="16"/>
        <v>0.90274691169777632</v>
      </c>
      <c r="V151">
        <f t="shared" ca="1" si="17"/>
        <v>0.83694432476543323</v>
      </c>
      <c r="W151" s="8">
        <f t="shared" ca="1" si="18"/>
        <v>13.479382472926419</v>
      </c>
    </row>
    <row r="152" spans="1:23" ht="15">
      <c r="A152" s="6">
        <v>137</v>
      </c>
      <c r="B152" s="6">
        <f t="shared" ca="1" si="14"/>
        <v>0.34911657352728342</v>
      </c>
      <c r="C152" s="8">
        <f t="shared" ca="1" si="15"/>
        <v>5349.1165735272834</v>
      </c>
      <c r="T152" s="6">
        <v>137</v>
      </c>
      <c r="U152" s="6">
        <f t="shared" ca="1" si="16"/>
        <v>0.98358572859933235</v>
      </c>
      <c r="V152">
        <f t="shared" ca="1" si="17"/>
        <v>0.68544707802240568</v>
      </c>
      <c r="W152" s="8">
        <f t="shared" ca="1" si="18"/>
        <v>13.338065613243476</v>
      </c>
    </row>
    <row r="153" spans="1:23" ht="15">
      <c r="A153" s="6">
        <v>138</v>
      </c>
      <c r="B153" s="6">
        <f t="shared" ca="1" si="14"/>
        <v>0.46511524003233939</v>
      </c>
      <c r="C153" s="8">
        <f t="shared" ca="1" si="15"/>
        <v>5465.115240032339</v>
      </c>
      <c r="T153" s="6">
        <v>138</v>
      </c>
      <c r="U153" s="6">
        <f t="shared" ca="1" si="16"/>
        <v>0.80670450060165488</v>
      </c>
      <c r="V153">
        <f t="shared" ca="1" si="17"/>
        <v>0.75420977291815738</v>
      </c>
      <c r="W153" s="8">
        <f t="shared" ca="1" si="18"/>
        <v>13.121828547039625</v>
      </c>
    </row>
    <row r="154" spans="1:23" ht="15">
      <c r="A154" s="6">
        <v>139</v>
      </c>
      <c r="B154" s="6">
        <f t="shared" ca="1" si="14"/>
        <v>0.24025175511334029</v>
      </c>
      <c r="C154" s="8">
        <f t="shared" ca="1" si="15"/>
        <v>5240.2517551133406</v>
      </c>
      <c r="T154" s="6">
        <v>139</v>
      </c>
      <c r="U154" s="6">
        <f t="shared" ca="1" si="16"/>
        <v>0.90257156863905852</v>
      </c>
      <c r="V154">
        <f t="shared" ca="1" si="17"/>
        <v>0.45203595563540366</v>
      </c>
      <c r="W154" s="8">
        <f t="shared" ca="1" si="18"/>
        <v>12.709215048548923</v>
      </c>
    </row>
    <row r="155" spans="1:23" ht="15">
      <c r="A155" s="6">
        <v>140</v>
      </c>
      <c r="B155" s="6">
        <f t="shared" ca="1" si="14"/>
        <v>0.9973464819756247</v>
      </c>
      <c r="C155" s="8">
        <f t="shared" ca="1" si="15"/>
        <v>5997.3464819756246</v>
      </c>
      <c r="T155" s="6">
        <v>140</v>
      </c>
      <c r="U155" s="6">
        <f t="shared" ca="1" si="16"/>
        <v>0.7453144985185669</v>
      </c>
      <c r="V155">
        <f t="shared" ca="1" si="17"/>
        <v>0.7888810177087946</v>
      </c>
      <c r="W155" s="8">
        <f t="shared" ca="1" si="18"/>
        <v>13.068391032454723</v>
      </c>
    </row>
    <row r="156" spans="1:23" ht="15">
      <c r="A156" s="6">
        <v>141</v>
      </c>
      <c r="B156" s="6">
        <f t="shared" ca="1" si="14"/>
        <v>0.30686692805603799</v>
      </c>
      <c r="C156" s="8">
        <f t="shared" ca="1" si="15"/>
        <v>5306.866928056038</v>
      </c>
      <c r="T156" s="6">
        <v>141</v>
      </c>
      <c r="U156" s="6">
        <f t="shared" ca="1" si="16"/>
        <v>0.30866514096012532</v>
      </c>
      <c r="V156">
        <f t="shared" ca="1" si="17"/>
        <v>0.58556346421955208</v>
      </c>
      <c r="W156" s="8">
        <f t="shared" ca="1" si="18"/>
        <v>11.788457210359354</v>
      </c>
    </row>
    <row r="157" spans="1:23" ht="15">
      <c r="A157" s="6">
        <v>142</v>
      </c>
      <c r="B157" s="6">
        <f t="shared" ca="1" si="14"/>
        <v>0.56699602891744394</v>
      </c>
      <c r="C157" s="8">
        <f t="shared" ca="1" si="15"/>
        <v>5566.9960289174442</v>
      </c>
      <c r="T157" s="6">
        <v>142</v>
      </c>
      <c r="U157" s="6">
        <f t="shared" ca="1" si="16"/>
        <v>9.6303561895739742E-2</v>
      </c>
      <c r="V157">
        <f t="shared" ca="1" si="17"/>
        <v>0.28072380814674347</v>
      </c>
      <c r="W157" s="8">
        <f t="shared" ca="1" si="18"/>
        <v>10.754054740084966</v>
      </c>
    </row>
    <row r="158" spans="1:23" ht="15">
      <c r="A158" s="6">
        <v>143</v>
      </c>
      <c r="B158" s="6">
        <f t="shared" ca="1" si="14"/>
        <v>0.12566523448441269</v>
      </c>
      <c r="C158" s="8">
        <f t="shared" ca="1" si="15"/>
        <v>5125.6652344844124</v>
      </c>
      <c r="T158" s="6">
        <v>143</v>
      </c>
      <c r="U158" s="6">
        <f t="shared" ca="1" si="16"/>
        <v>0.89893641925339385</v>
      </c>
      <c r="V158">
        <f t="shared" ca="1" si="17"/>
        <v>0.15434375450326088</v>
      </c>
      <c r="W158" s="8">
        <f t="shared" ca="1" si="18"/>
        <v>12.106560347513309</v>
      </c>
    </row>
    <row r="159" spans="1:23" ht="15">
      <c r="A159" s="6">
        <v>144</v>
      </c>
      <c r="B159" s="6">
        <f t="shared" ca="1" si="14"/>
        <v>0.59635580415805611</v>
      </c>
      <c r="C159" s="8">
        <f t="shared" ca="1" si="15"/>
        <v>5596.3558041580563</v>
      </c>
      <c r="T159" s="6">
        <v>144</v>
      </c>
      <c r="U159" s="6">
        <f t="shared" ca="1" si="16"/>
        <v>0.89970919984064379</v>
      </c>
      <c r="V159">
        <f t="shared" ca="1" si="17"/>
        <v>0.7998542494249129</v>
      </c>
      <c r="W159" s="8">
        <f t="shared" ca="1" si="18"/>
        <v>13.399126898531113</v>
      </c>
    </row>
    <row r="160" spans="1:23" ht="15">
      <c r="A160" s="6">
        <v>145</v>
      </c>
      <c r="B160" s="6">
        <f t="shared" ca="1" si="14"/>
        <v>0.23742544691880818</v>
      </c>
      <c r="C160" s="8">
        <f t="shared" ca="1" si="15"/>
        <v>5237.4254469188081</v>
      </c>
      <c r="T160" s="6">
        <v>145</v>
      </c>
      <c r="U160" s="6">
        <f t="shared" ca="1" si="16"/>
        <v>0.66821767630126472</v>
      </c>
      <c r="V160">
        <f t="shared" ca="1" si="17"/>
        <v>0.11989470754420262</v>
      </c>
      <c r="W160" s="8">
        <f t="shared" ca="1" si="18"/>
        <v>11.576224767690935</v>
      </c>
    </row>
    <row r="161" spans="1:23" ht="15">
      <c r="A161" s="6">
        <v>146</v>
      </c>
      <c r="B161" s="6">
        <f t="shared" ca="1" si="14"/>
        <v>0.67531014775425313</v>
      </c>
      <c r="C161" s="8">
        <f t="shared" ca="1" si="15"/>
        <v>5675.3101477542532</v>
      </c>
      <c r="T161" s="6">
        <v>146</v>
      </c>
      <c r="U161" s="6">
        <f t="shared" ca="1" si="16"/>
        <v>0.2428252920495152</v>
      </c>
      <c r="V161">
        <f t="shared" ca="1" si="17"/>
        <v>5.2285629290999114E-2</v>
      </c>
      <c r="W161" s="8">
        <f t="shared" ca="1" si="18"/>
        <v>10.590221842681029</v>
      </c>
    </row>
    <row r="162" spans="1:23" ht="15">
      <c r="A162" s="6">
        <v>147</v>
      </c>
      <c r="B162" s="6">
        <f t="shared" ca="1" si="14"/>
        <v>0.40286533970834193</v>
      </c>
      <c r="C162" s="8">
        <f t="shared" ca="1" si="15"/>
        <v>5402.8653397083417</v>
      </c>
      <c r="T162" s="6">
        <v>147</v>
      </c>
      <c r="U162" s="6">
        <f t="shared" ca="1" si="16"/>
        <v>0.34493911995064119</v>
      </c>
      <c r="V162">
        <f t="shared" ca="1" si="17"/>
        <v>0.47816421205468251</v>
      </c>
      <c r="W162" s="8">
        <f t="shared" ca="1" si="18"/>
        <v>11.646206664010647</v>
      </c>
    </row>
    <row r="163" spans="1:23" ht="15">
      <c r="A163" s="6">
        <v>148</v>
      </c>
      <c r="B163" s="6">
        <f t="shared" ca="1" si="14"/>
        <v>0.86184132226816434</v>
      </c>
      <c r="C163" s="8">
        <f t="shared" ca="1" si="15"/>
        <v>5861.8413222681647</v>
      </c>
      <c r="T163" s="6">
        <v>148</v>
      </c>
      <c r="U163" s="6">
        <f t="shared" ca="1" si="16"/>
        <v>0.43661115785443139</v>
      </c>
      <c r="V163">
        <f t="shared" ca="1" si="17"/>
        <v>0.5845119319133979</v>
      </c>
      <c r="W163" s="8">
        <f t="shared" ca="1" si="18"/>
        <v>12.04224617953566</v>
      </c>
    </row>
    <row r="164" spans="1:23" ht="15">
      <c r="A164" s="6">
        <v>149</v>
      </c>
      <c r="B164" s="6">
        <f t="shared" ca="1" si="14"/>
        <v>0.85284984238417494</v>
      </c>
      <c r="C164" s="8">
        <f t="shared" ca="1" si="15"/>
        <v>5852.8498423841747</v>
      </c>
      <c r="T164" s="6">
        <v>149</v>
      </c>
      <c r="U164" s="6">
        <f t="shared" ca="1" si="16"/>
        <v>0.70634498170091242</v>
      </c>
      <c r="V164">
        <f t="shared" ca="1" si="17"/>
        <v>0.80028525691579744</v>
      </c>
      <c r="W164" s="8">
        <f t="shared" ca="1" si="18"/>
        <v>13.01326047723342</v>
      </c>
    </row>
    <row r="165" spans="1:23" ht="15">
      <c r="A165" s="6">
        <v>150</v>
      </c>
      <c r="B165" s="6">
        <f t="shared" ca="1" si="14"/>
        <v>0.53528160313191908</v>
      </c>
      <c r="C165" s="8">
        <f t="shared" ca="1" si="15"/>
        <v>5535.2816031319189</v>
      </c>
      <c r="T165" s="6">
        <v>150</v>
      </c>
      <c r="U165" s="6">
        <f t="shared" ca="1" si="16"/>
        <v>0.63186942807459634</v>
      </c>
      <c r="V165">
        <f t="shared" ca="1" si="17"/>
        <v>0.25079325338871294</v>
      </c>
      <c r="W165" s="8">
        <f t="shared" ca="1" si="18"/>
        <v>11.765325362926619</v>
      </c>
    </row>
    <row r="166" spans="1:23" ht="15">
      <c r="A166" s="6">
        <v>151</v>
      </c>
      <c r="B166" s="6">
        <f t="shared" ca="1" si="14"/>
        <v>0.39509072761647268</v>
      </c>
      <c r="C166" s="8">
        <f t="shared" ca="1" si="15"/>
        <v>5395.0907276164726</v>
      </c>
      <c r="T166" s="6">
        <v>151</v>
      </c>
      <c r="U166" s="6">
        <f t="shared" ca="1" si="16"/>
        <v>0.81843490392490037</v>
      </c>
      <c r="V166">
        <f t="shared" ca="1" si="17"/>
        <v>0.78309319234714325</v>
      </c>
      <c r="W166" s="8">
        <f t="shared" ca="1" si="18"/>
        <v>13.203056192544087</v>
      </c>
    </row>
    <row r="167" spans="1:23" ht="15">
      <c r="A167" s="6">
        <v>152</v>
      </c>
      <c r="B167" s="6">
        <f t="shared" ca="1" si="14"/>
        <v>0.79740374711517648</v>
      </c>
      <c r="C167" s="8">
        <f t="shared" ca="1" si="15"/>
        <v>5797.4037471151769</v>
      </c>
      <c r="T167" s="6">
        <v>152</v>
      </c>
      <c r="U167" s="6">
        <f t="shared" ca="1" si="16"/>
        <v>0.94703551693209587</v>
      </c>
      <c r="V167">
        <f t="shared" ca="1" si="17"/>
        <v>0.50602537198128228</v>
      </c>
      <c r="W167" s="8">
        <f t="shared" ca="1" si="18"/>
        <v>12.906121777826757</v>
      </c>
    </row>
    <row r="168" spans="1:23" ht="15">
      <c r="A168" s="6">
        <v>153</v>
      </c>
      <c r="B168" s="6">
        <f t="shared" ca="1" si="14"/>
        <v>0.95128534538287579</v>
      </c>
      <c r="C168" s="8">
        <f t="shared" ca="1" si="15"/>
        <v>5951.2853453828757</v>
      </c>
      <c r="T168" s="6">
        <v>153</v>
      </c>
      <c r="U168" s="6">
        <f t="shared" ca="1" si="16"/>
        <v>0.71295383703237647</v>
      </c>
      <c r="V168">
        <f t="shared" ca="1" si="17"/>
        <v>0.836740754324789</v>
      </c>
      <c r="W168" s="8">
        <f t="shared" ca="1" si="18"/>
        <v>13.099389182714331</v>
      </c>
    </row>
    <row r="169" spans="1:23" ht="15">
      <c r="A169" s="6">
        <v>154</v>
      </c>
      <c r="B169" s="6">
        <f t="shared" ca="1" si="14"/>
        <v>0.31529772863589955</v>
      </c>
      <c r="C169" s="8">
        <f t="shared" ca="1" si="15"/>
        <v>5315.2977286358991</v>
      </c>
      <c r="T169" s="6">
        <v>154</v>
      </c>
      <c r="U169" s="6">
        <f t="shared" ca="1" si="16"/>
        <v>0.93252855924672906</v>
      </c>
      <c r="V169">
        <f t="shared" ca="1" si="17"/>
        <v>0.83924597474309237</v>
      </c>
      <c r="W169" s="8">
        <f t="shared" ca="1" si="18"/>
        <v>13.543549067979644</v>
      </c>
    </row>
    <row r="170" spans="1:23" ht="15">
      <c r="A170" s="6">
        <v>155</v>
      </c>
      <c r="B170" s="6">
        <f t="shared" ca="1" si="14"/>
        <v>0.63021681705364196</v>
      </c>
      <c r="C170" s="8">
        <f t="shared" ca="1" si="15"/>
        <v>5630.2168170536424</v>
      </c>
      <c r="T170" s="6">
        <v>155</v>
      </c>
      <c r="U170" s="6">
        <f t="shared" ca="1" si="16"/>
        <v>0.1622935880370906</v>
      </c>
      <c r="V170">
        <f t="shared" ca="1" si="17"/>
        <v>0.91080598653312661</v>
      </c>
      <c r="W170" s="8">
        <f t="shared" ca="1" si="18"/>
        <v>12.146199149140434</v>
      </c>
    </row>
    <row r="171" spans="1:23" ht="15">
      <c r="A171" s="6">
        <v>156</v>
      </c>
      <c r="B171" s="6">
        <f t="shared" ca="1" si="14"/>
        <v>0.1809089713454769</v>
      </c>
      <c r="C171" s="8">
        <f t="shared" ca="1" si="15"/>
        <v>5180.9089713454769</v>
      </c>
      <c r="T171" s="6">
        <v>156</v>
      </c>
      <c r="U171" s="6">
        <f t="shared" ca="1" si="16"/>
        <v>7.3835296605228029E-3</v>
      </c>
      <c r="V171">
        <f t="shared" ca="1" si="17"/>
        <v>0.62291289735126865</v>
      </c>
      <c r="W171" s="8">
        <f t="shared" ca="1" si="18"/>
        <v>11.260592854023583</v>
      </c>
    </row>
    <row r="172" spans="1:23" ht="15">
      <c r="A172" s="6">
        <v>157</v>
      </c>
      <c r="B172" s="6">
        <f t="shared" ca="1" si="14"/>
        <v>0.27001772209684027</v>
      </c>
      <c r="C172" s="8">
        <f t="shared" ca="1" si="15"/>
        <v>5270.0177220968399</v>
      </c>
      <c r="T172" s="6">
        <v>157</v>
      </c>
      <c r="U172" s="6">
        <f t="shared" ca="1" si="16"/>
        <v>0.89107306599025982</v>
      </c>
      <c r="V172">
        <f t="shared" ca="1" si="17"/>
        <v>0.85948029590689579</v>
      </c>
      <c r="W172" s="8">
        <f t="shared" ca="1" si="18"/>
        <v>13.501106723794312</v>
      </c>
    </row>
    <row r="173" spans="1:23" ht="15">
      <c r="A173" s="6">
        <v>158</v>
      </c>
      <c r="B173" s="6">
        <f t="shared" ca="1" si="14"/>
        <v>0.98753865861526291</v>
      </c>
      <c r="C173" s="8">
        <f t="shared" ca="1" si="15"/>
        <v>5987.5386586152626</v>
      </c>
      <c r="T173" s="6">
        <v>158</v>
      </c>
      <c r="U173" s="6">
        <f t="shared" ca="1" si="16"/>
        <v>0.210958849805291</v>
      </c>
      <c r="V173">
        <f t="shared" ca="1" si="17"/>
        <v>3.7221589831821777E-3</v>
      </c>
      <c r="W173" s="8">
        <f t="shared" ca="1" si="18"/>
        <v>10.429362017576945</v>
      </c>
    </row>
    <row r="174" spans="1:23" ht="15">
      <c r="A174" s="6">
        <v>159</v>
      </c>
      <c r="B174" s="6">
        <f t="shared" ca="1" si="14"/>
        <v>0.72036579547725221</v>
      </c>
      <c r="C174" s="8">
        <f t="shared" ca="1" si="15"/>
        <v>5720.3657954772525</v>
      </c>
      <c r="T174" s="6">
        <v>159</v>
      </c>
      <c r="U174" s="6">
        <f t="shared" ca="1" si="16"/>
        <v>0.88064514736977717</v>
      </c>
      <c r="V174">
        <f t="shared" ca="1" si="17"/>
        <v>0.3016989577724255</v>
      </c>
      <c r="W174" s="8">
        <f t="shared" ca="1" si="18"/>
        <v>12.364688210284406</v>
      </c>
    </row>
    <row r="175" spans="1:23" ht="15">
      <c r="A175" s="6">
        <v>160</v>
      </c>
      <c r="B175" s="6">
        <f t="shared" ca="1" si="14"/>
        <v>4.9131425041927246E-3</v>
      </c>
      <c r="C175" s="8">
        <f t="shared" ca="1" si="15"/>
        <v>5004.9131425041924</v>
      </c>
      <c r="T175" s="6">
        <v>160</v>
      </c>
      <c r="U175" s="6">
        <f t="shared" ca="1" si="16"/>
        <v>0.60918694807556284</v>
      </c>
      <c r="V175">
        <f t="shared" ca="1" si="17"/>
        <v>0.68709641346487293</v>
      </c>
      <c r="W175" s="8">
        <f t="shared" ca="1" si="18"/>
        <v>12.592566723080871</v>
      </c>
    </row>
    <row r="176" spans="1:23" ht="15">
      <c r="A176" s="6">
        <v>161</v>
      </c>
      <c r="B176" s="6">
        <f t="shared" ca="1" si="14"/>
        <v>0.98887123622798012</v>
      </c>
      <c r="C176" s="8">
        <f t="shared" ca="1" si="15"/>
        <v>5988.8712362279803</v>
      </c>
      <c r="T176" s="6">
        <v>161</v>
      </c>
      <c r="U176" s="6">
        <f t="shared" ca="1" si="16"/>
        <v>0.16782292993256798</v>
      </c>
      <c r="V176">
        <f t="shared" ca="1" si="17"/>
        <v>0.80549014606778935</v>
      </c>
      <c r="W176" s="8">
        <f t="shared" ca="1" si="18"/>
        <v>11.946626152000714</v>
      </c>
    </row>
    <row r="177" spans="1:23" ht="15">
      <c r="A177" s="6">
        <v>162</v>
      </c>
      <c r="B177" s="6">
        <f t="shared" ca="1" si="14"/>
        <v>0.60201448798879609</v>
      </c>
      <c r="C177" s="8">
        <f t="shared" ca="1" si="15"/>
        <v>5602.0144879887957</v>
      </c>
      <c r="T177" s="6">
        <v>162</v>
      </c>
      <c r="U177" s="6">
        <f t="shared" ca="1" si="16"/>
        <v>0.45744748804992552</v>
      </c>
      <c r="V177">
        <f t="shared" ca="1" si="17"/>
        <v>0.33216766689883759</v>
      </c>
      <c r="W177" s="8">
        <f t="shared" ca="1" si="18"/>
        <v>11.579230309897525</v>
      </c>
    </row>
    <row r="178" spans="1:23" ht="15">
      <c r="A178" s="6">
        <v>163</v>
      </c>
      <c r="B178" s="6">
        <f t="shared" ca="1" si="14"/>
        <v>0.76747792438655926</v>
      </c>
      <c r="C178" s="8">
        <f t="shared" ca="1" si="15"/>
        <v>5767.4779243865596</v>
      </c>
      <c r="T178" s="6">
        <v>163</v>
      </c>
      <c r="U178" s="6">
        <f t="shared" ca="1" si="16"/>
        <v>0.17130760766776343</v>
      </c>
      <c r="V178">
        <f t="shared" ca="1" si="17"/>
        <v>0.6376901603373677</v>
      </c>
      <c r="W178" s="8">
        <f t="shared" ca="1" si="18"/>
        <v>11.617995536010262</v>
      </c>
    </row>
    <row r="179" spans="1:23" ht="15">
      <c r="A179" s="6">
        <v>164</v>
      </c>
      <c r="B179" s="6">
        <f t="shared" ca="1" si="14"/>
        <v>0.10525793354300406</v>
      </c>
      <c r="C179" s="8">
        <f t="shared" ca="1" si="15"/>
        <v>5105.2579335430037</v>
      </c>
      <c r="T179" s="6">
        <v>164</v>
      </c>
      <c r="U179" s="6">
        <f t="shared" ca="1" si="16"/>
        <v>0.52233416825270707</v>
      </c>
      <c r="V179">
        <f t="shared" ca="1" si="17"/>
        <v>6.1864411309962786E-2</v>
      </c>
      <c r="W179" s="8">
        <f t="shared" ca="1" si="18"/>
        <v>11.168397159125339</v>
      </c>
    </row>
    <row r="180" spans="1:23" ht="15">
      <c r="A180" s="6">
        <v>165</v>
      </c>
      <c r="B180" s="6">
        <f t="shared" ca="1" si="14"/>
        <v>0.44868493163804291</v>
      </c>
      <c r="C180" s="8">
        <f t="shared" ca="1" si="15"/>
        <v>5448.6849316380431</v>
      </c>
      <c r="T180" s="6">
        <v>165</v>
      </c>
      <c r="U180" s="6">
        <f t="shared" ca="1" si="16"/>
        <v>0.57681270459946776</v>
      </c>
      <c r="V180">
        <f t="shared" ca="1" si="17"/>
        <v>0.52848770394046507</v>
      </c>
      <c r="W180" s="8">
        <f t="shared" ca="1" si="18"/>
        <v>12.210600817079865</v>
      </c>
    </row>
    <row r="181" spans="1:23" ht="15">
      <c r="A181" s="6">
        <v>166</v>
      </c>
      <c r="B181" s="6">
        <f t="shared" ca="1" si="14"/>
        <v>0.73745746859041383</v>
      </c>
      <c r="C181" s="8">
        <f t="shared" ca="1" si="15"/>
        <v>5737.4574685904136</v>
      </c>
      <c r="T181" s="6">
        <v>166</v>
      </c>
      <c r="U181" s="6">
        <f t="shared" ca="1" si="16"/>
        <v>0.94983177037735778</v>
      </c>
      <c r="V181">
        <f t="shared" ca="1" si="17"/>
        <v>9.5279971340889613E-2</v>
      </c>
      <c r="W181" s="8">
        <f t="shared" ca="1" si="18"/>
        <v>12.090223483436494</v>
      </c>
    </row>
    <row r="182" spans="1:23" ht="15">
      <c r="A182" s="6">
        <v>167</v>
      </c>
      <c r="B182" s="6">
        <f t="shared" ca="1" si="14"/>
        <v>0.28950785321007833</v>
      </c>
      <c r="C182" s="8">
        <f t="shared" ca="1" si="15"/>
        <v>5289.5078532100779</v>
      </c>
      <c r="T182" s="6">
        <v>167</v>
      </c>
      <c r="U182" s="6">
        <f t="shared" ca="1" si="16"/>
        <v>0.92150222609344279</v>
      </c>
      <c r="V182">
        <f t="shared" ca="1" si="17"/>
        <v>2.5996922764432662E-2</v>
      </c>
      <c r="W182" s="8">
        <f t="shared" ca="1" si="18"/>
        <v>11.894998297715752</v>
      </c>
    </row>
    <row r="183" spans="1:23" ht="15">
      <c r="A183" s="6">
        <v>168</v>
      </c>
      <c r="B183" s="6">
        <f t="shared" ca="1" si="14"/>
        <v>0.60033951756154758</v>
      </c>
      <c r="C183" s="8">
        <f t="shared" ca="1" si="15"/>
        <v>5600.3395175615478</v>
      </c>
      <c r="T183" s="6">
        <v>168</v>
      </c>
      <c r="U183" s="6">
        <f t="shared" ca="1" si="16"/>
        <v>0.69335495540849001</v>
      </c>
      <c r="V183">
        <f t="shared" ca="1" si="17"/>
        <v>0.56730560241843897</v>
      </c>
      <c r="W183" s="8">
        <f t="shared" ca="1" si="18"/>
        <v>12.521321115653858</v>
      </c>
    </row>
    <row r="184" spans="1:23" ht="15">
      <c r="A184" s="6">
        <v>169</v>
      </c>
      <c r="B184" s="6">
        <f t="shared" ca="1" si="14"/>
        <v>9.7630864277629792E-2</v>
      </c>
      <c r="C184" s="8">
        <f t="shared" ca="1" si="15"/>
        <v>5097.6308642776294</v>
      </c>
      <c r="T184" s="6">
        <v>169</v>
      </c>
      <c r="U184" s="6">
        <f t="shared" ca="1" si="16"/>
        <v>0.48511260412753576</v>
      </c>
      <c r="V184">
        <f t="shared" ca="1" si="17"/>
        <v>0.57559310149307596</v>
      </c>
      <c r="W184" s="8">
        <f t="shared" ca="1" si="18"/>
        <v>12.121411411241223</v>
      </c>
    </row>
    <row r="185" spans="1:23" ht="15">
      <c r="A185" s="6">
        <v>170</v>
      </c>
      <c r="B185" s="6">
        <f t="shared" ca="1" si="14"/>
        <v>0.69216955778157541</v>
      </c>
      <c r="C185" s="8">
        <f t="shared" ca="1" si="15"/>
        <v>5692.1695577815753</v>
      </c>
      <c r="T185" s="6">
        <v>170</v>
      </c>
      <c r="U185" s="6">
        <f t="shared" ca="1" si="16"/>
        <v>0.37309922726306788</v>
      </c>
      <c r="V185">
        <f t="shared" ca="1" si="17"/>
        <v>0.36055362144063663</v>
      </c>
      <c r="W185" s="8">
        <f t="shared" ca="1" si="18"/>
        <v>11.46730569740741</v>
      </c>
    </row>
    <row r="186" spans="1:23" ht="15">
      <c r="A186" s="6">
        <v>171</v>
      </c>
      <c r="B186" s="6">
        <f t="shared" ca="1" si="14"/>
        <v>3.2821992357342511E-2</v>
      </c>
      <c r="C186" s="8">
        <f t="shared" ca="1" si="15"/>
        <v>5032.8219923573424</v>
      </c>
      <c r="T186" s="6">
        <v>171</v>
      </c>
      <c r="U186" s="6">
        <f t="shared" ca="1" si="16"/>
        <v>0.77681108051122316</v>
      </c>
      <c r="V186">
        <f t="shared" ca="1" si="17"/>
        <v>0.35343882469323584</v>
      </c>
      <c r="W186" s="8">
        <f t="shared" ca="1" si="18"/>
        <v>12.260499810408918</v>
      </c>
    </row>
    <row r="187" spans="1:23" ht="15">
      <c r="A187" s="6">
        <v>172</v>
      </c>
      <c r="B187" s="6">
        <f t="shared" ca="1" si="14"/>
        <v>0.60900834230720524</v>
      </c>
      <c r="C187" s="8">
        <f t="shared" ca="1" si="15"/>
        <v>5609.0083423072056</v>
      </c>
      <c r="T187" s="6">
        <v>172</v>
      </c>
      <c r="U187" s="6">
        <f t="shared" ca="1" si="16"/>
        <v>0.3653801231007604</v>
      </c>
      <c r="V187">
        <f t="shared" ca="1" si="17"/>
        <v>0.93504836872621444</v>
      </c>
      <c r="W187" s="8">
        <f t="shared" ca="1" si="18"/>
        <v>12.60085698365395</v>
      </c>
    </row>
    <row r="188" spans="1:23" ht="15">
      <c r="A188" s="6">
        <v>173</v>
      </c>
      <c r="B188" s="6">
        <f t="shared" ca="1" si="14"/>
        <v>0.39393927281875618</v>
      </c>
      <c r="C188" s="8">
        <f t="shared" ca="1" si="15"/>
        <v>5393.9392728187559</v>
      </c>
      <c r="T188" s="6">
        <v>173</v>
      </c>
      <c r="U188" s="6">
        <f t="shared" ca="1" si="16"/>
        <v>0.75836806484553176</v>
      </c>
      <c r="V188">
        <f t="shared" ca="1" si="17"/>
        <v>0.30218058311047913</v>
      </c>
      <c r="W188" s="8">
        <f t="shared" ca="1" si="18"/>
        <v>12.121097295912023</v>
      </c>
    </row>
    <row r="189" spans="1:23" ht="15">
      <c r="A189" s="6">
        <v>174</v>
      </c>
      <c r="B189" s="6">
        <f t="shared" ca="1" si="14"/>
        <v>0.83932284289769843</v>
      </c>
      <c r="C189" s="8">
        <f t="shared" ca="1" si="15"/>
        <v>5839.3228428976981</v>
      </c>
      <c r="T189" s="6">
        <v>174</v>
      </c>
      <c r="U189" s="6">
        <f t="shared" ca="1" si="16"/>
        <v>0.86365991811954201</v>
      </c>
      <c r="V189">
        <f t="shared" ca="1" si="17"/>
        <v>0.84119493892420172</v>
      </c>
      <c r="W189" s="8">
        <f t="shared" ca="1" si="18"/>
        <v>13.409709714087487</v>
      </c>
    </row>
    <row r="190" spans="1:23" ht="15">
      <c r="A190" s="6">
        <v>175</v>
      </c>
      <c r="B190" s="6">
        <f t="shared" ca="1" si="14"/>
        <v>0.95106747803392178</v>
      </c>
      <c r="C190" s="8">
        <f t="shared" ca="1" si="15"/>
        <v>5951.0674780339214</v>
      </c>
      <c r="T190" s="6">
        <v>175</v>
      </c>
      <c r="U190" s="6">
        <f t="shared" ca="1" si="16"/>
        <v>0.42112016238596739</v>
      </c>
      <c r="V190">
        <f t="shared" ca="1" si="17"/>
        <v>0.90297941024173556</v>
      </c>
      <c r="W190" s="8">
        <f t="shared" ca="1" si="18"/>
        <v>12.648199145255406</v>
      </c>
    </row>
    <row r="191" spans="1:23" ht="15">
      <c r="A191" s="6">
        <v>176</v>
      </c>
      <c r="B191" s="6">
        <f t="shared" ca="1" si="14"/>
        <v>0.32901012476869573</v>
      </c>
      <c r="C191" s="8">
        <f t="shared" ca="1" si="15"/>
        <v>5329.0101247686962</v>
      </c>
      <c r="T191" s="6">
        <v>176</v>
      </c>
      <c r="U191" s="6">
        <f t="shared" ca="1" si="16"/>
        <v>0.6813589544306069</v>
      </c>
      <c r="V191">
        <f t="shared" ca="1" si="17"/>
        <v>0.36655687678670579</v>
      </c>
      <c r="W191" s="8">
        <f t="shared" ca="1" si="18"/>
        <v>12.095831662434625</v>
      </c>
    </row>
    <row r="192" spans="1:23" ht="15">
      <c r="A192" s="6">
        <v>177</v>
      </c>
      <c r="B192" s="6">
        <f t="shared" ca="1" si="14"/>
        <v>0.32258999456423398</v>
      </c>
      <c r="C192" s="8">
        <f t="shared" ca="1" si="15"/>
        <v>5322.5899945642341</v>
      </c>
      <c r="T192" s="6">
        <v>177</v>
      </c>
      <c r="U192" s="6">
        <f t="shared" ca="1" si="16"/>
        <v>5.5160850907611025E-2</v>
      </c>
      <c r="V192">
        <f t="shared" ca="1" si="17"/>
        <v>0.67666018417228946</v>
      </c>
      <c r="W192" s="8">
        <f t="shared" ca="1" si="18"/>
        <v>11.463642070159802</v>
      </c>
    </row>
    <row r="193" spans="1:23" ht="15">
      <c r="A193" s="6">
        <v>178</v>
      </c>
      <c r="B193" s="6">
        <f t="shared" ca="1" si="14"/>
        <v>0.29064852081542092</v>
      </c>
      <c r="C193" s="8">
        <f t="shared" ca="1" si="15"/>
        <v>5290.6485208154209</v>
      </c>
      <c r="T193" s="6">
        <v>178</v>
      </c>
      <c r="U193" s="6">
        <f t="shared" ca="1" si="16"/>
        <v>1.3507544738948773E-3</v>
      </c>
      <c r="V193">
        <f t="shared" ca="1" si="17"/>
        <v>0.35515907689044468</v>
      </c>
      <c r="W193" s="8">
        <f t="shared" ca="1" si="18"/>
        <v>10.71301966272868</v>
      </c>
    </row>
    <row r="194" spans="1:23" ht="15">
      <c r="A194" s="6">
        <v>179</v>
      </c>
      <c r="B194" s="6">
        <f t="shared" ca="1" si="14"/>
        <v>0.2226950990792752</v>
      </c>
      <c r="C194" s="8">
        <f t="shared" ca="1" si="15"/>
        <v>5222.6950990792748</v>
      </c>
      <c r="T194" s="6">
        <v>179</v>
      </c>
      <c r="U194" s="6">
        <f t="shared" ca="1" si="16"/>
        <v>0.53889043734421627</v>
      </c>
      <c r="V194">
        <f t="shared" ca="1" si="17"/>
        <v>0.5012197325519081</v>
      </c>
      <c r="W194" s="8">
        <f t="shared" ca="1" si="18"/>
        <v>12.080220339792248</v>
      </c>
    </row>
    <row r="195" spans="1:23" ht="15">
      <c r="A195" s="6">
        <v>180</v>
      </c>
      <c r="B195" s="6">
        <f t="shared" ca="1" si="14"/>
        <v>0.52907533377712446</v>
      </c>
      <c r="C195" s="8">
        <f t="shared" ca="1" si="15"/>
        <v>5529.0753337771248</v>
      </c>
      <c r="T195" s="6">
        <v>180</v>
      </c>
      <c r="U195" s="6">
        <f t="shared" ca="1" si="16"/>
        <v>0.88830737651219638</v>
      </c>
      <c r="V195">
        <f t="shared" ca="1" si="17"/>
        <v>0.64349625132099841</v>
      </c>
      <c r="W195" s="8">
        <f t="shared" ca="1" si="18"/>
        <v>13.06360725566639</v>
      </c>
    </row>
    <row r="196" spans="1:23" ht="15">
      <c r="A196" s="6">
        <v>181</v>
      </c>
      <c r="B196" s="6">
        <f t="shared" ca="1" si="14"/>
        <v>0.3591474912943482</v>
      </c>
      <c r="C196" s="8">
        <f t="shared" ca="1" si="15"/>
        <v>5359.1474912943486</v>
      </c>
      <c r="T196" s="6">
        <v>181</v>
      </c>
      <c r="U196" s="6">
        <f t="shared" ca="1" si="16"/>
        <v>0.10494733524556066</v>
      </c>
      <c r="V196">
        <f t="shared" ca="1" si="17"/>
        <v>0.34205604071978257</v>
      </c>
      <c r="W196" s="8">
        <f t="shared" ca="1" si="18"/>
        <v>10.894006751930686</v>
      </c>
    </row>
    <row r="197" spans="1:23" ht="15">
      <c r="A197" s="6">
        <v>182</v>
      </c>
      <c r="B197" s="6">
        <f t="shared" ca="1" si="14"/>
        <v>0.29118907389007231</v>
      </c>
      <c r="C197" s="8">
        <f t="shared" ca="1" si="15"/>
        <v>5291.189073890072</v>
      </c>
      <c r="T197" s="6">
        <v>182</v>
      </c>
      <c r="U197" s="6">
        <f t="shared" ca="1" si="16"/>
        <v>0.14584305669313236</v>
      </c>
      <c r="V197">
        <f t="shared" ca="1" si="17"/>
        <v>0.729651895661519</v>
      </c>
      <c r="W197" s="8">
        <f t="shared" ca="1" si="18"/>
        <v>11.750989904709304</v>
      </c>
    </row>
    <row r="198" spans="1:23" ht="15">
      <c r="A198" s="6">
        <v>183</v>
      </c>
      <c r="B198" s="6">
        <f t="shared" ca="1" si="14"/>
        <v>0.38268073859945573</v>
      </c>
      <c r="C198" s="8">
        <f t="shared" ca="1" si="15"/>
        <v>5382.6807385994562</v>
      </c>
      <c r="T198" s="6">
        <v>183</v>
      </c>
      <c r="U198" s="6">
        <f t="shared" ca="1" si="16"/>
        <v>0.91702235998417192</v>
      </c>
      <c r="V198">
        <f t="shared" ca="1" si="17"/>
        <v>0.85583850021225372</v>
      </c>
      <c r="W198" s="8">
        <f t="shared" ca="1" si="18"/>
        <v>13.545721720392851</v>
      </c>
    </row>
    <row r="199" spans="1:23" ht="15">
      <c r="A199" s="6">
        <v>184</v>
      </c>
      <c r="B199" s="6">
        <f t="shared" ca="1" si="14"/>
        <v>0.96456138872698627</v>
      </c>
      <c r="C199" s="8">
        <f t="shared" ca="1" si="15"/>
        <v>5964.5613887269865</v>
      </c>
      <c r="T199" s="6">
        <v>184</v>
      </c>
      <c r="U199" s="6">
        <f t="shared" ca="1" si="16"/>
        <v>0.99601956449723827</v>
      </c>
      <c r="V199">
        <f t="shared" ca="1" si="17"/>
        <v>0.55090665000189287</v>
      </c>
      <c r="W199" s="8">
        <f t="shared" ca="1" si="18"/>
        <v>13.093852428998263</v>
      </c>
    </row>
    <row r="200" spans="1:23" ht="15">
      <c r="A200" s="6">
        <v>185</v>
      </c>
      <c r="B200" s="6">
        <f t="shared" ca="1" si="14"/>
        <v>0.96901691854719563</v>
      </c>
      <c r="C200" s="8">
        <f t="shared" ca="1" si="15"/>
        <v>5969.0169185471959</v>
      </c>
      <c r="T200" s="6">
        <v>185</v>
      </c>
      <c r="U200" s="6">
        <f t="shared" ca="1" si="16"/>
        <v>0.3668213246851848</v>
      </c>
      <c r="V200">
        <f t="shared" ca="1" si="17"/>
        <v>0.64545494212818355</v>
      </c>
      <c r="W200" s="8">
        <f t="shared" ca="1" si="18"/>
        <v>12.024552533626736</v>
      </c>
    </row>
    <row r="201" spans="1:23" ht="15">
      <c r="A201" s="6">
        <v>186</v>
      </c>
      <c r="B201" s="6">
        <f t="shared" ca="1" si="14"/>
        <v>0.19760199149415714</v>
      </c>
      <c r="C201" s="8">
        <f t="shared" ca="1" si="15"/>
        <v>5197.6019914941571</v>
      </c>
      <c r="T201" s="6">
        <v>186</v>
      </c>
      <c r="U201" s="6">
        <f t="shared" ca="1" si="16"/>
        <v>0.29386932625952966</v>
      </c>
      <c r="V201">
        <f t="shared" ca="1" si="17"/>
        <v>0.9633735478875235</v>
      </c>
      <c r="W201" s="8">
        <f t="shared" ca="1" si="18"/>
        <v>12.514485748294106</v>
      </c>
    </row>
    <row r="202" spans="1:23" ht="15">
      <c r="A202" s="6">
        <v>187</v>
      </c>
      <c r="B202" s="6">
        <f t="shared" ca="1" si="14"/>
        <v>0.86938283388852777</v>
      </c>
      <c r="C202" s="8">
        <f t="shared" ca="1" si="15"/>
        <v>5869.3828338885278</v>
      </c>
      <c r="T202" s="6">
        <v>187</v>
      </c>
      <c r="U202" s="6">
        <f t="shared" ca="1" si="16"/>
        <v>0.65378447087275493</v>
      </c>
      <c r="V202">
        <f t="shared" ca="1" si="17"/>
        <v>0.67205380812379845</v>
      </c>
      <c r="W202" s="8">
        <f t="shared" ca="1" si="18"/>
        <v>12.651676557993106</v>
      </c>
    </row>
    <row r="203" spans="1:23" ht="15">
      <c r="A203" s="6">
        <v>188</v>
      </c>
      <c r="B203" s="6">
        <f t="shared" ca="1" si="14"/>
        <v>0.19633466413634149</v>
      </c>
      <c r="C203" s="8">
        <f t="shared" ca="1" si="15"/>
        <v>5196.3346641363414</v>
      </c>
      <c r="T203" s="6">
        <v>188</v>
      </c>
      <c r="U203" s="6">
        <f t="shared" ca="1" si="16"/>
        <v>0.44218269115827724</v>
      </c>
      <c r="V203">
        <f t="shared" ca="1" si="17"/>
        <v>0.87132277300809846</v>
      </c>
      <c r="W203" s="8">
        <f t="shared" ca="1" si="18"/>
        <v>12.627010928332751</v>
      </c>
    </row>
    <row r="204" spans="1:23" ht="15">
      <c r="A204" s="6">
        <v>189</v>
      </c>
      <c r="B204" s="6">
        <f t="shared" ca="1" si="14"/>
        <v>0.55831012168158756</v>
      </c>
      <c r="C204" s="8">
        <f t="shared" ca="1" si="15"/>
        <v>5558.3101216815876</v>
      </c>
      <c r="T204" s="6">
        <v>189</v>
      </c>
      <c r="U204" s="6">
        <f t="shared" ca="1" si="16"/>
        <v>0.81123237201121834</v>
      </c>
      <c r="V204">
        <f t="shared" ca="1" si="17"/>
        <v>0.85578525968413455</v>
      </c>
      <c r="W204" s="8">
        <f t="shared" ca="1" si="18"/>
        <v>13.334035263390707</v>
      </c>
    </row>
    <row r="205" spans="1:23" ht="15">
      <c r="A205" s="6">
        <v>190</v>
      </c>
      <c r="B205" s="6">
        <f t="shared" ca="1" si="14"/>
        <v>1.6888401936016595E-2</v>
      </c>
      <c r="C205" s="8">
        <f t="shared" ca="1" si="15"/>
        <v>5016.8884019360166</v>
      </c>
      <c r="T205" s="6">
        <v>190</v>
      </c>
      <c r="U205" s="6">
        <f t="shared" ca="1" si="16"/>
        <v>0.3686319512754116</v>
      </c>
      <c r="V205">
        <f t="shared" ca="1" si="17"/>
        <v>0.77434636790135269</v>
      </c>
      <c r="W205" s="8">
        <f t="shared" ca="1" si="18"/>
        <v>12.285956638353529</v>
      </c>
    </row>
    <row r="206" spans="1:23" ht="15">
      <c r="A206" s="6">
        <v>191</v>
      </c>
      <c r="B206" s="6">
        <f t="shared" ca="1" si="14"/>
        <v>0.72903638366581258</v>
      </c>
      <c r="C206" s="8">
        <f t="shared" ca="1" si="15"/>
        <v>5729.0363836658125</v>
      </c>
      <c r="T206" s="6">
        <v>191</v>
      </c>
      <c r="U206" s="6">
        <f t="shared" ca="1" si="16"/>
        <v>6.2629136966107168E-2</v>
      </c>
      <c r="V206">
        <f t="shared" ca="1" si="17"/>
        <v>0.64760313258273117</v>
      </c>
      <c r="W206" s="8">
        <f t="shared" ca="1" si="18"/>
        <v>11.420464539097676</v>
      </c>
    </row>
    <row r="207" spans="1:23" ht="15">
      <c r="A207" s="6">
        <v>192</v>
      </c>
      <c r="B207" s="6">
        <f t="shared" ca="1" si="14"/>
        <v>9.2827531596259893E-2</v>
      </c>
      <c r="C207" s="8">
        <f t="shared" ca="1" si="15"/>
        <v>5092.8275315962601</v>
      </c>
      <c r="T207" s="6">
        <v>192</v>
      </c>
      <c r="U207" s="6">
        <f t="shared" ca="1" si="16"/>
        <v>0.5088604090327824</v>
      </c>
      <c r="V207">
        <f t="shared" ca="1" si="17"/>
        <v>0.67886524616033439</v>
      </c>
      <c r="W207" s="8">
        <f t="shared" ca="1" si="18"/>
        <v>12.375451310386234</v>
      </c>
    </row>
    <row r="208" spans="1:23" ht="15">
      <c r="A208" s="6">
        <v>193</v>
      </c>
      <c r="B208" s="6">
        <f t="shared" ca="1" si="14"/>
        <v>0.73112679469685737</v>
      </c>
      <c r="C208" s="8">
        <f t="shared" ca="1" si="15"/>
        <v>5731.1267946968574</v>
      </c>
      <c r="T208" s="6">
        <v>193</v>
      </c>
      <c r="U208" s="6">
        <f t="shared" ca="1" si="16"/>
        <v>0.55083755757885045</v>
      </c>
      <c r="V208">
        <f t="shared" ca="1" si="17"/>
        <v>0.23922856212624255</v>
      </c>
      <c r="W208" s="8">
        <f t="shared" ca="1" si="18"/>
        <v>11.580132239410187</v>
      </c>
    </row>
    <row r="209" spans="1:23" ht="15">
      <c r="A209" s="6">
        <v>194</v>
      </c>
      <c r="B209" s="6">
        <f t="shared" ref="B209:B265" ca="1" si="19">RAND()</f>
        <v>0.64259838976590822</v>
      </c>
      <c r="C209" s="8">
        <f t="shared" ref="C209:C265" ca="1" si="20">$B$12+($B$13-$B$12)*B209</f>
        <v>5642.598389765908</v>
      </c>
      <c r="T209" s="6">
        <v>194</v>
      </c>
      <c r="U209" s="6">
        <f t="shared" ref="U209:U265" ca="1" si="21">RAND()</f>
        <v>0.62527562458242192</v>
      </c>
      <c r="V209">
        <f t="shared" ref="V209:V265" ca="1" si="22">RAND()</f>
        <v>0.85297715181537692</v>
      </c>
      <c r="W209" s="8">
        <f t="shared" ref="W209:W265" ca="1" si="23">$U$10+($U$12-$U$10)/2*(U209+V209)</f>
        <v>12.956505552795598</v>
      </c>
    </row>
    <row r="210" spans="1:23" ht="15">
      <c r="A210" s="6">
        <v>195</v>
      </c>
      <c r="B210" s="6">
        <f t="shared" ca="1" si="19"/>
        <v>0.67774900301814833</v>
      </c>
      <c r="C210" s="8">
        <f t="shared" ca="1" si="20"/>
        <v>5677.749003018148</v>
      </c>
      <c r="T210" s="6">
        <v>195</v>
      </c>
      <c r="U210" s="6">
        <f t="shared" ca="1" si="21"/>
        <v>0.30801601474522011</v>
      </c>
      <c r="V210">
        <f t="shared" ca="1" si="22"/>
        <v>0.74213682212291388</v>
      </c>
      <c r="W210" s="8">
        <f t="shared" ca="1" si="23"/>
        <v>12.100305673736269</v>
      </c>
    </row>
    <row r="211" spans="1:23" ht="15">
      <c r="A211" s="6">
        <v>196</v>
      </c>
      <c r="B211" s="6">
        <f t="shared" ca="1" si="19"/>
        <v>0.885526674250246</v>
      </c>
      <c r="C211" s="8">
        <f t="shared" ca="1" si="20"/>
        <v>5885.5266742502463</v>
      </c>
      <c r="T211" s="6">
        <v>196</v>
      </c>
      <c r="U211" s="6">
        <f t="shared" ca="1" si="21"/>
        <v>0.22124448057829715</v>
      </c>
      <c r="V211">
        <f t="shared" ca="1" si="22"/>
        <v>0.75712312550678473</v>
      </c>
      <c r="W211" s="8">
        <f t="shared" ca="1" si="23"/>
        <v>11.956735212170164</v>
      </c>
    </row>
    <row r="212" spans="1:23" ht="15">
      <c r="A212" s="6">
        <v>197</v>
      </c>
      <c r="B212" s="6">
        <f t="shared" ca="1" si="19"/>
        <v>0.37755839336425467</v>
      </c>
      <c r="C212" s="8">
        <f t="shared" ca="1" si="20"/>
        <v>5377.5583933642547</v>
      </c>
      <c r="T212" s="6">
        <v>197</v>
      </c>
      <c r="U212" s="6">
        <f t="shared" ca="1" si="21"/>
        <v>0.17526969803819481</v>
      </c>
      <c r="V212">
        <f t="shared" ca="1" si="22"/>
        <v>0.46410301796766396</v>
      </c>
      <c r="W212" s="8">
        <f t="shared" ca="1" si="23"/>
        <v>11.278745432011718</v>
      </c>
    </row>
    <row r="213" spans="1:23" ht="15">
      <c r="A213" s="6">
        <v>198</v>
      </c>
      <c r="B213" s="6">
        <f t="shared" ca="1" si="19"/>
        <v>0.93553781304324479</v>
      </c>
      <c r="C213" s="8">
        <f t="shared" ca="1" si="20"/>
        <v>5935.5378130432446</v>
      </c>
      <c r="T213" s="6">
        <v>198</v>
      </c>
      <c r="U213" s="6">
        <f t="shared" ca="1" si="21"/>
        <v>0.92408356293825311</v>
      </c>
      <c r="V213">
        <f t="shared" ca="1" si="22"/>
        <v>0.14065306925645027</v>
      </c>
      <c r="W213" s="8">
        <f t="shared" ca="1" si="23"/>
        <v>12.129473264389407</v>
      </c>
    </row>
    <row r="214" spans="1:23" ht="15">
      <c r="A214" s="6">
        <v>199</v>
      </c>
      <c r="B214" s="6">
        <f t="shared" ca="1" si="19"/>
        <v>0.82193468718149887</v>
      </c>
      <c r="C214" s="8">
        <f t="shared" ca="1" si="20"/>
        <v>5821.9346871814987</v>
      </c>
      <c r="T214" s="6">
        <v>199</v>
      </c>
      <c r="U214" s="6">
        <f t="shared" ca="1" si="21"/>
        <v>0.4088290570428682</v>
      </c>
      <c r="V214">
        <f t="shared" ca="1" si="22"/>
        <v>0.17077228256713239</v>
      </c>
      <c r="W214" s="8">
        <f t="shared" ca="1" si="23"/>
        <v>11.159202679220002</v>
      </c>
    </row>
    <row r="215" spans="1:23" ht="15">
      <c r="A215" s="6">
        <v>200</v>
      </c>
      <c r="B215" s="6">
        <f t="shared" ca="1" si="19"/>
        <v>0.34669155371988092</v>
      </c>
      <c r="C215" s="8">
        <f t="shared" ca="1" si="20"/>
        <v>5346.6915537198811</v>
      </c>
      <c r="T215" s="6">
        <v>200</v>
      </c>
      <c r="U215" s="6">
        <f t="shared" ca="1" si="21"/>
        <v>0.55279678199767224</v>
      </c>
      <c r="V215">
        <f t="shared" ca="1" si="22"/>
        <v>0.26641359971558509</v>
      </c>
      <c r="W215" s="8">
        <f t="shared" ca="1" si="23"/>
        <v>11.638420763426515</v>
      </c>
    </row>
    <row r="216" spans="1:23" ht="15">
      <c r="A216" s="6">
        <v>201</v>
      </c>
      <c r="B216" s="6">
        <f t="shared" ca="1" si="19"/>
        <v>6.5510714801484071E-2</v>
      </c>
      <c r="C216" s="8">
        <f t="shared" ca="1" si="20"/>
        <v>5065.510714801484</v>
      </c>
      <c r="T216" s="6">
        <v>201</v>
      </c>
      <c r="U216" s="6">
        <f t="shared" ca="1" si="21"/>
        <v>0.28475440648934314</v>
      </c>
      <c r="V216">
        <f t="shared" ca="1" si="22"/>
        <v>0.34225142070541059</v>
      </c>
      <c r="W216" s="8">
        <f t="shared" ca="1" si="23"/>
        <v>11.254011654389508</v>
      </c>
    </row>
    <row r="217" spans="1:23" ht="15">
      <c r="A217" s="6">
        <v>202</v>
      </c>
      <c r="B217" s="6">
        <f t="shared" ca="1" si="19"/>
        <v>0.37825344598984867</v>
      </c>
      <c r="C217" s="8">
        <f t="shared" ca="1" si="20"/>
        <v>5378.2534459898488</v>
      </c>
      <c r="T217" s="6">
        <v>202</v>
      </c>
      <c r="U217" s="6">
        <f t="shared" ca="1" si="21"/>
        <v>0.67532214974316052</v>
      </c>
      <c r="V217">
        <f t="shared" ca="1" si="22"/>
        <v>0.9484111561487224</v>
      </c>
      <c r="W217" s="8">
        <f t="shared" ca="1" si="23"/>
        <v>13.247466611783766</v>
      </c>
    </row>
    <row r="218" spans="1:23" ht="15">
      <c r="A218" s="6">
        <v>203</v>
      </c>
      <c r="B218" s="6">
        <f t="shared" ca="1" si="19"/>
        <v>0.96825068757026245</v>
      </c>
      <c r="C218" s="8">
        <f t="shared" ca="1" si="20"/>
        <v>5968.250687570262</v>
      </c>
      <c r="T218" s="6">
        <v>203</v>
      </c>
      <c r="U218" s="6">
        <f t="shared" ca="1" si="21"/>
        <v>0.79147971347462487</v>
      </c>
      <c r="V218">
        <f t="shared" ca="1" si="22"/>
        <v>7.9345127725439446E-2</v>
      </c>
      <c r="W218" s="8">
        <f t="shared" ca="1" si="23"/>
        <v>11.741649682400128</v>
      </c>
    </row>
    <row r="219" spans="1:23" ht="15">
      <c r="A219" s="6">
        <v>204</v>
      </c>
      <c r="B219" s="6">
        <f t="shared" ca="1" si="19"/>
        <v>0.29676073224166177</v>
      </c>
      <c r="C219" s="8">
        <f t="shared" ca="1" si="20"/>
        <v>5296.7607322416616</v>
      </c>
      <c r="T219" s="6">
        <v>204</v>
      </c>
      <c r="U219" s="6">
        <f t="shared" ca="1" si="21"/>
        <v>0.97891528811823347</v>
      </c>
      <c r="V219">
        <f t="shared" ca="1" si="22"/>
        <v>0.8064938211666477</v>
      </c>
      <c r="W219" s="8">
        <f t="shared" ca="1" si="23"/>
        <v>13.570818218569762</v>
      </c>
    </row>
    <row r="220" spans="1:23" ht="15">
      <c r="A220" s="6">
        <v>205</v>
      </c>
      <c r="B220" s="6">
        <f t="shared" ca="1" si="19"/>
        <v>0.24464214198419498</v>
      </c>
      <c r="C220" s="8">
        <f t="shared" ca="1" si="20"/>
        <v>5244.6421419841954</v>
      </c>
      <c r="T220" s="6">
        <v>205</v>
      </c>
      <c r="U220" s="6">
        <f t="shared" ca="1" si="21"/>
        <v>0.33968495207941518</v>
      </c>
      <c r="V220">
        <f t="shared" ca="1" si="22"/>
        <v>0.10905252419067846</v>
      </c>
      <c r="W220" s="8">
        <f t="shared" ca="1" si="23"/>
        <v>10.897474952540188</v>
      </c>
    </row>
    <row r="221" spans="1:23" ht="15">
      <c r="A221" s="6">
        <v>206</v>
      </c>
      <c r="B221" s="6">
        <f t="shared" ca="1" si="19"/>
        <v>0.94323408596808866</v>
      </c>
      <c r="C221" s="8">
        <f t="shared" ca="1" si="20"/>
        <v>5943.2340859680889</v>
      </c>
      <c r="T221" s="6">
        <v>206</v>
      </c>
      <c r="U221" s="6">
        <f t="shared" ca="1" si="21"/>
        <v>7.1095195778703157E-4</v>
      </c>
      <c r="V221">
        <f t="shared" ca="1" si="22"/>
        <v>0.17659002008261859</v>
      </c>
      <c r="W221" s="8">
        <f t="shared" ca="1" si="23"/>
        <v>10.354601944080811</v>
      </c>
    </row>
    <row r="222" spans="1:23" ht="15">
      <c r="A222" s="6">
        <v>207</v>
      </c>
      <c r="B222" s="6">
        <f t="shared" ca="1" si="19"/>
        <v>9.8785688477054046E-2</v>
      </c>
      <c r="C222" s="8">
        <f t="shared" ca="1" si="20"/>
        <v>5098.7856884770545</v>
      </c>
      <c r="T222" s="6">
        <v>207</v>
      </c>
      <c r="U222" s="6">
        <f t="shared" ca="1" si="21"/>
        <v>4.1636703094260819E-2</v>
      </c>
      <c r="V222">
        <f t="shared" ca="1" si="22"/>
        <v>0.78921370735268825</v>
      </c>
      <c r="W222" s="8">
        <f t="shared" ca="1" si="23"/>
        <v>11.661700820893898</v>
      </c>
    </row>
    <row r="223" spans="1:23" ht="15">
      <c r="A223" s="6">
        <v>208</v>
      </c>
      <c r="B223" s="6">
        <f t="shared" ca="1" si="19"/>
        <v>0.87999524116859973</v>
      </c>
      <c r="C223" s="8">
        <f t="shared" ca="1" si="20"/>
        <v>5879.9952411685999</v>
      </c>
      <c r="T223" s="6">
        <v>208</v>
      </c>
      <c r="U223" s="6">
        <f t="shared" ca="1" si="21"/>
        <v>0.56736289921674865</v>
      </c>
      <c r="V223">
        <f t="shared" ca="1" si="22"/>
        <v>0.34859857098173164</v>
      </c>
      <c r="W223" s="8">
        <f t="shared" ca="1" si="23"/>
        <v>11.831922940396961</v>
      </c>
    </row>
    <row r="224" spans="1:23" ht="15">
      <c r="A224" s="6">
        <v>209</v>
      </c>
      <c r="B224" s="6">
        <f t="shared" ca="1" si="19"/>
        <v>0.35035332981771328</v>
      </c>
      <c r="C224" s="8">
        <f t="shared" ca="1" si="20"/>
        <v>5350.3533298177135</v>
      </c>
      <c r="T224" s="6">
        <v>209</v>
      </c>
      <c r="U224" s="6">
        <f t="shared" ca="1" si="21"/>
        <v>0.52835008683085494</v>
      </c>
      <c r="V224">
        <f t="shared" ca="1" si="22"/>
        <v>0.47095260472351352</v>
      </c>
      <c r="W224" s="8">
        <f t="shared" ca="1" si="23"/>
        <v>11.998605383108737</v>
      </c>
    </row>
    <row r="225" spans="1:23" ht="15">
      <c r="A225" s="6">
        <v>210</v>
      </c>
      <c r="B225" s="6">
        <f t="shared" ca="1" si="19"/>
        <v>0.47222349465323921</v>
      </c>
      <c r="C225" s="8">
        <f t="shared" ca="1" si="20"/>
        <v>5472.223494653239</v>
      </c>
      <c r="T225" s="6">
        <v>210</v>
      </c>
      <c r="U225" s="6">
        <f t="shared" ca="1" si="21"/>
        <v>0.24007839037046419</v>
      </c>
      <c r="V225">
        <f t="shared" ca="1" si="22"/>
        <v>0.78127833303264738</v>
      </c>
      <c r="W225" s="8">
        <f t="shared" ca="1" si="23"/>
        <v>12.042713446806223</v>
      </c>
    </row>
    <row r="226" spans="1:23" ht="15">
      <c r="A226" s="6">
        <v>211</v>
      </c>
      <c r="B226" s="6">
        <f t="shared" ca="1" si="19"/>
        <v>0.79529956570230931</v>
      </c>
      <c r="C226" s="8">
        <f t="shared" ca="1" si="20"/>
        <v>5795.2995657023093</v>
      </c>
      <c r="T226" s="6">
        <v>211</v>
      </c>
      <c r="U226" s="6">
        <f t="shared" ca="1" si="21"/>
        <v>0.22241156788280492</v>
      </c>
      <c r="V226">
        <f t="shared" ca="1" si="22"/>
        <v>0.74967287099221469</v>
      </c>
      <c r="W226" s="8">
        <f t="shared" ca="1" si="23"/>
        <v>11.944168877750039</v>
      </c>
    </row>
    <row r="227" spans="1:23" ht="15">
      <c r="A227" s="6">
        <v>212</v>
      </c>
      <c r="B227" s="6">
        <f t="shared" ca="1" si="19"/>
        <v>0.21569038651301464</v>
      </c>
      <c r="C227" s="8">
        <f t="shared" ca="1" si="20"/>
        <v>5215.6903865130143</v>
      </c>
      <c r="T227" s="6">
        <v>212</v>
      </c>
      <c r="U227" s="6">
        <f t="shared" ca="1" si="21"/>
        <v>0.49657788570517258</v>
      </c>
      <c r="V227">
        <f t="shared" ca="1" si="22"/>
        <v>0.20916921670227018</v>
      </c>
      <c r="W227" s="8">
        <f t="shared" ca="1" si="23"/>
        <v>11.411494204814886</v>
      </c>
    </row>
    <row r="228" spans="1:23" ht="15">
      <c r="A228" s="6">
        <v>213</v>
      </c>
      <c r="B228" s="6">
        <f t="shared" ca="1" si="19"/>
        <v>0.53047657707724805</v>
      </c>
      <c r="C228" s="8">
        <f t="shared" ca="1" si="20"/>
        <v>5530.4765770772483</v>
      </c>
      <c r="T228" s="6">
        <v>213</v>
      </c>
      <c r="U228" s="6">
        <f t="shared" ca="1" si="21"/>
        <v>0.86811862880914736</v>
      </c>
      <c r="V228">
        <f t="shared" ca="1" si="22"/>
        <v>0.95332092239912947</v>
      </c>
      <c r="W228" s="8">
        <f t="shared" ca="1" si="23"/>
        <v>13.642879102416554</v>
      </c>
    </row>
    <row r="229" spans="1:23" ht="15">
      <c r="A229" s="6">
        <v>214</v>
      </c>
      <c r="B229" s="6">
        <f t="shared" ca="1" si="19"/>
        <v>0.42164187294846345</v>
      </c>
      <c r="C229" s="8">
        <f t="shared" ca="1" si="20"/>
        <v>5421.6418729484631</v>
      </c>
      <c r="T229" s="6">
        <v>214</v>
      </c>
      <c r="U229" s="6">
        <f t="shared" ca="1" si="21"/>
        <v>0.42426271980432306</v>
      </c>
      <c r="V229">
        <f t="shared" ca="1" si="22"/>
        <v>0.11539784455852942</v>
      </c>
      <c r="W229" s="8">
        <f t="shared" ca="1" si="23"/>
        <v>11.079321128725706</v>
      </c>
    </row>
    <row r="230" spans="1:23" ht="15">
      <c r="A230" s="6">
        <v>215</v>
      </c>
      <c r="B230" s="6">
        <f t="shared" ca="1" si="19"/>
        <v>0.17271247612341323</v>
      </c>
      <c r="C230" s="8">
        <f t="shared" ca="1" si="20"/>
        <v>5172.7124761234136</v>
      </c>
      <c r="T230" s="6">
        <v>215</v>
      </c>
      <c r="U230" s="6">
        <f t="shared" ca="1" si="21"/>
        <v>0.7795204171574488</v>
      </c>
      <c r="V230">
        <f t="shared" ca="1" si="22"/>
        <v>0.99492522659241345</v>
      </c>
      <c r="W230" s="8">
        <f t="shared" ca="1" si="23"/>
        <v>13.548891287499725</v>
      </c>
    </row>
    <row r="231" spans="1:23" ht="15">
      <c r="A231" s="6">
        <v>216</v>
      </c>
      <c r="B231" s="6">
        <f t="shared" ca="1" si="19"/>
        <v>0.13429685183717932</v>
      </c>
      <c r="C231" s="8">
        <f t="shared" ca="1" si="20"/>
        <v>5134.296851837179</v>
      </c>
      <c r="T231" s="6">
        <v>216</v>
      </c>
      <c r="U231" s="6">
        <f t="shared" ca="1" si="21"/>
        <v>6.5216142136384381E-2</v>
      </c>
      <c r="V231">
        <f t="shared" ca="1" si="22"/>
        <v>0.28567036494965181</v>
      </c>
      <c r="W231" s="8">
        <f t="shared" ca="1" si="23"/>
        <v>10.701773014172073</v>
      </c>
    </row>
    <row r="232" spans="1:23" ht="15">
      <c r="A232" s="6">
        <v>217</v>
      </c>
      <c r="B232" s="6">
        <f t="shared" ca="1" si="19"/>
        <v>0.32787297524362113</v>
      </c>
      <c r="C232" s="8">
        <f t="shared" ca="1" si="20"/>
        <v>5327.8729752436211</v>
      </c>
      <c r="T232" s="6">
        <v>217</v>
      </c>
      <c r="U232" s="6">
        <f t="shared" ca="1" si="21"/>
        <v>0.38284261417322096</v>
      </c>
      <c r="V232">
        <f t="shared" ca="1" si="22"/>
        <v>0.30704265369315809</v>
      </c>
      <c r="W232" s="8">
        <f t="shared" ca="1" si="23"/>
        <v>11.379770535732758</v>
      </c>
    </row>
    <row r="233" spans="1:23" ht="15">
      <c r="A233" s="6">
        <v>218</v>
      </c>
      <c r="B233" s="6">
        <f t="shared" ca="1" si="19"/>
        <v>0.16059099132435861</v>
      </c>
      <c r="C233" s="8">
        <f t="shared" ca="1" si="20"/>
        <v>5160.5909913243586</v>
      </c>
      <c r="T233" s="6">
        <v>218</v>
      </c>
      <c r="U233" s="6">
        <f t="shared" ca="1" si="21"/>
        <v>0.59857541480731735</v>
      </c>
      <c r="V233">
        <f t="shared" ca="1" si="22"/>
        <v>0.76481013834375566</v>
      </c>
      <c r="W233" s="8">
        <f t="shared" ca="1" si="23"/>
        <v>12.726771106302145</v>
      </c>
    </row>
    <row r="234" spans="1:23" ht="15">
      <c r="A234" s="6">
        <v>219</v>
      </c>
      <c r="B234" s="6">
        <f t="shared" ca="1" si="19"/>
        <v>0.75382461475038631</v>
      </c>
      <c r="C234" s="8">
        <f t="shared" ca="1" si="20"/>
        <v>5753.824614750386</v>
      </c>
      <c r="T234" s="6">
        <v>219</v>
      </c>
      <c r="U234" s="6">
        <f t="shared" ca="1" si="21"/>
        <v>0.70648337283002649</v>
      </c>
      <c r="V234">
        <f t="shared" ca="1" si="22"/>
        <v>0.44955335167134824</v>
      </c>
      <c r="W234" s="8">
        <f t="shared" ca="1" si="23"/>
        <v>12.312073449002749</v>
      </c>
    </row>
    <row r="235" spans="1:23" ht="15">
      <c r="A235" s="6">
        <v>220</v>
      </c>
      <c r="B235" s="6">
        <f t="shared" ca="1" si="19"/>
        <v>0.92292343681389477</v>
      </c>
      <c r="C235" s="8">
        <f t="shared" ca="1" si="20"/>
        <v>5922.923436813895</v>
      </c>
      <c r="T235" s="6">
        <v>220</v>
      </c>
      <c r="U235" s="6">
        <f t="shared" ca="1" si="21"/>
        <v>0.74861078098228018</v>
      </c>
      <c r="V235">
        <f t="shared" ca="1" si="22"/>
        <v>0.93198359951350629</v>
      </c>
      <c r="W235" s="8">
        <f t="shared" ca="1" si="23"/>
        <v>13.361188760991574</v>
      </c>
    </row>
    <row r="236" spans="1:23" ht="15">
      <c r="A236" s="6">
        <v>221</v>
      </c>
      <c r="B236" s="6">
        <f t="shared" ca="1" si="19"/>
        <v>0.15220321912971035</v>
      </c>
      <c r="C236" s="8">
        <f t="shared" ca="1" si="20"/>
        <v>5152.2032191297103</v>
      </c>
      <c r="T236" s="6">
        <v>221</v>
      </c>
      <c r="U236" s="6">
        <f t="shared" ca="1" si="21"/>
        <v>0.66978535997437827</v>
      </c>
      <c r="V236">
        <f t="shared" ca="1" si="22"/>
        <v>0.74447794089451713</v>
      </c>
      <c r="W236" s="8">
        <f t="shared" ca="1" si="23"/>
        <v>12.82852660173779</v>
      </c>
    </row>
    <row r="237" spans="1:23" ht="15">
      <c r="A237" s="6">
        <v>222</v>
      </c>
      <c r="B237" s="6">
        <f t="shared" ca="1" si="19"/>
        <v>0.82406244350733759</v>
      </c>
      <c r="C237" s="8">
        <f t="shared" ca="1" si="20"/>
        <v>5824.0624435073378</v>
      </c>
      <c r="T237" s="6">
        <v>222</v>
      </c>
      <c r="U237" s="6">
        <f t="shared" ca="1" si="21"/>
        <v>0.51490049247903558</v>
      </c>
      <c r="V237">
        <f t="shared" ca="1" si="22"/>
        <v>0.89695923545585454</v>
      </c>
      <c r="W237" s="8">
        <f t="shared" ca="1" si="23"/>
        <v>12.82371945586978</v>
      </c>
    </row>
    <row r="238" spans="1:23" ht="15">
      <c r="A238" s="6">
        <v>223</v>
      </c>
      <c r="B238" s="6">
        <f t="shared" ca="1" si="19"/>
        <v>9.7994802763089472E-2</v>
      </c>
      <c r="C238" s="8">
        <f t="shared" ca="1" si="20"/>
        <v>5097.9948027630899</v>
      </c>
      <c r="T238" s="6">
        <v>223</v>
      </c>
      <c r="U238" s="6">
        <f t="shared" ca="1" si="21"/>
        <v>0.92683442409924877</v>
      </c>
      <c r="V238">
        <f t="shared" ca="1" si="22"/>
        <v>0.12025717624372301</v>
      </c>
      <c r="W238" s="8">
        <f t="shared" ca="1" si="23"/>
        <v>12.094183200685944</v>
      </c>
    </row>
    <row r="239" spans="1:23" ht="15">
      <c r="A239" s="6">
        <v>224</v>
      </c>
      <c r="B239" s="6">
        <f t="shared" ca="1" si="19"/>
        <v>0.32134613817673829</v>
      </c>
      <c r="C239" s="8">
        <f t="shared" ca="1" si="20"/>
        <v>5321.3461381767384</v>
      </c>
      <c r="T239" s="6">
        <v>224</v>
      </c>
      <c r="U239" s="6">
        <f t="shared" ca="1" si="21"/>
        <v>0.33660250185205542</v>
      </c>
      <c r="V239">
        <f t="shared" ca="1" si="22"/>
        <v>0.35969193975207758</v>
      </c>
      <c r="W239" s="8">
        <f t="shared" ca="1" si="23"/>
        <v>11.392588883208266</v>
      </c>
    </row>
    <row r="240" spans="1:23" ht="15">
      <c r="A240" s="6">
        <v>225</v>
      </c>
      <c r="B240" s="6">
        <f t="shared" ca="1" si="19"/>
        <v>0.43334075739283362</v>
      </c>
      <c r="C240" s="8">
        <f t="shared" ca="1" si="20"/>
        <v>5433.3407573928334</v>
      </c>
      <c r="T240" s="6">
        <v>225</v>
      </c>
      <c r="U240" s="6">
        <f t="shared" ca="1" si="21"/>
        <v>0.86562465402344313</v>
      </c>
      <c r="V240">
        <f t="shared" ca="1" si="22"/>
        <v>0.61871406362846859</v>
      </c>
      <c r="W240" s="8">
        <f t="shared" ca="1" si="23"/>
        <v>12.968677435303825</v>
      </c>
    </row>
    <row r="241" spans="1:23" ht="15">
      <c r="A241" s="6">
        <v>226</v>
      </c>
      <c r="B241" s="6">
        <f t="shared" ca="1" si="19"/>
        <v>8.4844909579131267E-2</v>
      </c>
      <c r="C241" s="8">
        <f t="shared" ca="1" si="20"/>
        <v>5084.8449095791311</v>
      </c>
      <c r="T241" s="6">
        <v>226</v>
      </c>
      <c r="U241" s="6">
        <f t="shared" ca="1" si="21"/>
        <v>0.28204571230144071</v>
      </c>
      <c r="V241">
        <f t="shared" ca="1" si="22"/>
        <v>0.41925406606433258</v>
      </c>
      <c r="W241" s="8">
        <f t="shared" ca="1" si="23"/>
        <v>11.402599556731547</v>
      </c>
    </row>
    <row r="242" spans="1:23" ht="15">
      <c r="A242" s="6">
        <v>227</v>
      </c>
      <c r="B242" s="6">
        <f t="shared" ca="1" si="19"/>
        <v>0.6998720440758508</v>
      </c>
      <c r="C242" s="8">
        <f t="shared" ca="1" si="20"/>
        <v>5699.8720440758507</v>
      </c>
      <c r="T242" s="6">
        <v>227</v>
      </c>
      <c r="U242" s="6">
        <f t="shared" ca="1" si="21"/>
        <v>0.50663330382577099</v>
      </c>
      <c r="V242">
        <f t="shared" ca="1" si="22"/>
        <v>0.64248897902123658</v>
      </c>
      <c r="W242" s="8">
        <f t="shared" ca="1" si="23"/>
        <v>12.298244565694015</v>
      </c>
    </row>
    <row r="243" spans="1:23" ht="15">
      <c r="A243" s="6">
        <v>228</v>
      </c>
      <c r="B243" s="6">
        <f t="shared" ca="1" si="19"/>
        <v>1.0407036884693799E-2</v>
      </c>
      <c r="C243" s="8">
        <f t="shared" ca="1" si="20"/>
        <v>5010.4070368846942</v>
      </c>
      <c r="T243" s="6">
        <v>228</v>
      </c>
      <c r="U243" s="6">
        <f t="shared" ca="1" si="21"/>
        <v>0.94678554171369689</v>
      </c>
      <c r="V243">
        <f t="shared" ca="1" si="22"/>
        <v>0.84249346174123008</v>
      </c>
      <c r="W243" s="8">
        <f t="shared" ca="1" si="23"/>
        <v>13.578558006909855</v>
      </c>
    </row>
    <row r="244" spans="1:23" ht="15">
      <c r="A244" s="6">
        <v>229</v>
      </c>
      <c r="B244" s="6">
        <f t="shared" ca="1" si="19"/>
        <v>0.92743729226814531</v>
      </c>
      <c r="C244" s="8">
        <f t="shared" ca="1" si="20"/>
        <v>5927.437292268145</v>
      </c>
      <c r="T244" s="6">
        <v>229</v>
      </c>
      <c r="U244" s="6">
        <f t="shared" ca="1" si="21"/>
        <v>5.9078850518908155E-2</v>
      </c>
      <c r="V244">
        <f t="shared" ca="1" si="22"/>
        <v>0.82495373101664815</v>
      </c>
      <c r="W244" s="8">
        <f t="shared" ca="1" si="23"/>
        <v>11.768065163071112</v>
      </c>
    </row>
    <row r="245" spans="1:23" ht="15">
      <c r="A245" s="6">
        <v>230</v>
      </c>
      <c r="B245" s="6">
        <f t="shared" ca="1" si="19"/>
        <v>0.21053880345254583</v>
      </c>
      <c r="C245" s="8">
        <f t="shared" ca="1" si="20"/>
        <v>5210.5388034525458</v>
      </c>
      <c r="T245" s="6">
        <v>230</v>
      </c>
      <c r="U245" s="6">
        <f t="shared" ca="1" si="21"/>
        <v>0.38760476564350388</v>
      </c>
      <c r="V245">
        <f t="shared" ca="1" si="22"/>
        <v>0.17325688261286976</v>
      </c>
      <c r="W245" s="8">
        <f t="shared" ca="1" si="23"/>
        <v>11.121723296512748</v>
      </c>
    </row>
    <row r="246" spans="1:23" ht="15">
      <c r="A246" s="6">
        <v>231</v>
      </c>
      <c r="B246" s="6">
        <f t="shared" ca="1" si="19"/>
        <v>9.9763557234438416E-2</v>
      </c>
      <c r="C246" s="8">
        <f t="shared" ca="1" si="20"/>
        <v>5099.7635572344388</v>
      </c>
      <c r="T246" s="6">
        <v>231</v>
      </c>
      <c r="U246" s="6">
        <f t="shared" ca="1" si="21"/>
        <v>0.35875386133194309</v>
      </c>
      <c r="V246">
        <f t="shared" ca="1" si="22"/>
        <v>0.54883732909548066</v>
      </c>
      <c r="W246" s="8">
        <f t="shared" ca="1" si="23"/>
        <v>11.815182380854848</v>
      </c>
    </row>
    <row r="247" spans="1:23" ht="15">
      <c r="A247" s="6">
        <v>232</v>
      </c>
      <c r="B247" s="6">
        <f t="shared" ca="1" si="19"/>
        <v>0.73694554731063011</v>
      </c>
      <c r="C247" s="8">
        <f t="shared" ca="1" si="20"/>
        <v>5736.94554731063</v>
      </c>
      <c r="T247" s="6">
        <v>232</v>
      </c>
      <c r="U247" s="6">
        <f t="shared" ca="1" si="21"/>
        <v>0.28534926189500076</v>
      </c>
      <c r="V247">
        <f t="shared" ca="1" si="22"/>
        <v>3.9451688730000378E-2</v>
      </c>
      <c r="W247" s="8">
        <f t="shared" ca="1" si="23"/>
        <v>10.649601901250001</v>
      </c>
    </row>
    <row r="248" spans="1:23" ht="15">
      <c r="A248" s="6">
        <v>233</v>
      </c>
      <c r="B248" s="6">
        <f t="shared" ca="1" si="19"/>
        <v>0.79459454898782456</v>
      </c>
      <c r="C248" s="8">
        <f t="shared" ca="1" si="20"/>
        <v>5794.594548987825</v>
      </c>
      <c r="T248" s="6">
        <v>233</v>
      </c>
      <c r="U248" s="6">
        <f t="shared" ca="1" si="21"/>
        <v>0.16035941954682942</v>
      </c>
      <c r="V248">
        <f t="shared" ca="1" si="22"/>
        <v>7.7755235791108546E-2</v>
      </c>
      <c r="W248" s="8">
        <f t="shared" ca="1" si="23"/>
        <v>10.476229310675876</v>
      </c>
    </row>
    <row r="249" spans="1:23" ht="15">
      <c r="A249" s="6">
        <v>234</v>
      </c>
      <c r="B249" s="6">
        <f t="shared" ca="1" si="19"/>
        <v>0.35622634171195067</v>
      </c>
      <c r="C249" s="8">
        <f t="shared" ca="1" si="20"/>
        <v>5356.2263417119502</v>
      </c>
      <c r="T249" s="6">
        <v>234</v>
      </c>
      <c r="U249" s="6">
        <f t="shared" ca="1" si="21"/>
        <v>0.36374285234934822</v>
      </c>
      <c r="V249">
        <f t="shared" ca="1" si="22"/>
        <v>0.56486728117774121</v>
      </c>
      <c r="W249" s="8">
        <f t="shared" ca="1" si="23"/>
        <v>11.85722026705418</v>
      </c>
    </row>
    <row r="250" spans="1:23" ht="15">
      <c r="A250" s="6">
        <v>235</v>
      </c>
      <c r="B250" s="6">
        <f t="shared" ca="1" si="19"/>
        <v>0.75781337808058835</v>
      </c>
      <c r="C250" s="8">
        <f t="shared" ca="1" si="20"/>
        <v>5757.8133780805883</v>
      </c>
      <c r="T250" s="6">
        <v>235</v>
      </c>
      <c r="U250" s="6">
        <f t="shared" ca="1" si="21"/>
        <v>0.90690788940505618</v>
      </c>
      <c r="V250">
        <f t="shared" ca="1" si="22"/>
        <v>0.5472189311294603</v>
      </c>
      <c r="W250" s="8">
        <f t="shared" ca="1" si="23"/>
        <v>12.908253641069033</v>
      </c>
    </row>
    <row r="251" spans="1:23" ht="15">
      <c r="A251" s="6">
        <v>236</v>
      </c>
      <c r="B251" s="6">
        <f t="shared" ca="1" si="19"/>
        <v>0.22335545417026559</v>
      </c>
      <c r="C251" s="8">
        <f t="shared" ca="1" si="20"/>
        <v>5223.3554541702651</v>
      </c>
      <c r="T251" s="6">
        <v>236</v>
      </c>
      <c r="U251" s="6">
        <f t="shared" ca="1" si="21"/>
        <v>0.53914122224685102</v>
      </c>
      <c r="V251">
        <f t="shared" ca="1" si="22"/>
        <v>0.52651534626740404</v>
      </c>
      <c r="W251" s="8">
        <f t="shared" ca="1" si="23"/>
        <v>12.13131313702851</v>
      </c>
    </row>
    <row r="252" spans="1:23" ht="15">
      <c r="A252" s="6">
        <v>237</v>
      </c>
      <c r="B252" s="6">
        <f t="shared" ca="1" si="19"/>
        <v>0.33100593006102708</v>
      </c>
      <c r="C252" s="8">
        <f t="shared" ca="1" si="20"/>
        <v>5331.0059300610274</v>
      </c>
      <c r="T252" s="6">
        <v>237</v>
      </c>
      <c r="U252" s="6">
        <f t="shared" ca="1" si="21"/>
        <v>0.89012975798852267</v>
      </c>
      <c r="V252">
        <f t="shared" ca="1" si="22"/>
        <v>0.27801033404918318</v>
      </c>
      <c r="W252" s="8">
        <f t="shared" ca="1" si="23"/>
        <v>12.336280184075411</v>
      </c>
    </row>
    <row r="253" spans="1:23" ht="15">
      <c r="A253" s="6">
        <v>238</v>
      </c>
      <c r="B253" s="6">
        <f t="shared" ca="1" si="19"/>
        <v>0.25142420857038839</v>
      </c>
      <c r="C253" s="8">
        <f t="shared" ca="1" si="20"/>
        <v>5251.4242085703881</v>
      </c>
      <c r="T253" s="6">
        <v>238</v>
      </c>
      <c r="U253" s="6">
        <f t="shared" ca="1" si="21"/>
        <v>0.16963066827187223</v>
      </c>
      <c r="V253">
        <f t="shared" ca="1" si="22"/>
        <v>0.66177826579721155</v>
      </c>
      <c r="W253" s="8">
        <f t="shared" ca="1" si="23"/>
        <v>11.662817868138168</v>
      </c>
    </row>
    <row r="254" spans="1:23" ht="15">
      <c r="A254" s="6">
        <v>239</v>
      </c>
      <c r="B254" s="6">
        <f t="shared" ca="1" si="19"/>
        <v>5.5022664208103422E-2</v>
      </c>
      <c r="C254" s="8">
        <f t="shared" ca="1" si="20"/>
        <v>5055.0226642081034</v>
      </c>
      <c r="T254" s="6">
        <v>239</v>
      </c>
      <c r="U254" s="6">
        <f t="shared" ca="1" si="21"/>
        <v>0.692129058048502</v>
      </c>
      <c r="V254">
        <f t="shared" ca="1" si="22"/>
        <v>0.13515502917519362</v>
      </c>
      <c r="W254" s="8">
        <f t="shared" ca="1" si="23"/>
        <v>11.654568174447391</v>
      </c>
    </row>
    <row r="255" spans="1:23" ht="15">
      <c r="A255" s="6">
        <v>240</v>
      </c>
      <c r="B255" s="6">
        <f t="shared" ca="1" si="19"/>
        <v>7.5083837241194828E-2</v>
      </c>
      <c r="C255" s="8">
        <f t="shared" ca="1" si="20"/>
        <v>5075.0838372411945</v>
      </c>
      <c r="T255" s="6">
        <v>240</v>
      </c>
      <c r="U255" s="6">
        <f t="shared" ca="1" si="21"/>
        <v>0.65834728555583211</v>
      </c>
      <c r="V255">
        <f t="shared" ca="1" si="22"/>
        <v>8.9371539849162351E-2</v>
      </c>
      <c r="W255" s="8">
        <f t="shared" ca="1" si="23"/>
        <v>11.49543765080999</v>
      </c>
    </row>
    <row r="256" spans="1:23" ht="15">
      <c r="A256" s="6">
        <v>241</v>
      </c>
      <c r="B256" s="6">
        <f t="shared" ca="1" si="19"/>
        <v>1.3611312473586268E-2</v>
      </c>
      <c r="C256" s="8">
        <f t="shared" ca="1" si="20"/>
        <v>5013.6113124735866</v>
      </c>
      <c r="T256" s="6">
        <v>241</v>
      </c>
      <c r="U256" s="6">
        <f t="shared" ca="1" si="21"/>
        <v>0.14624117567310346</v>
      </c>
      <c r="V256">
        <f t="shared" ca="1" si="22"/>
        <v>0.85171642333475495</v>
      </c>
      <c r="W256" s="8">
        <f t="shared" ca="1" si="23"/>
        <v>11.995915198015716</v>
      </c>
    </row>
    <row r="257" spans="1:23" ht="15">
      <c r="A257" s="6">
        <v>242</v>
      </c>
      <c r="B257" s="6">
        <f t="shared" ca="1" si="19"/>
        <v>0.39126707178388176</v>
      </c>
      <c r="C257" s="8">
        <f t="shared" ca="1" si="20"/>
        <v>5391.2670717838819</v>
      </c>
      <c r="T257" s="6">
        <v>242</v>
      </c>
      <c r="U257" s="6">
        <f t="shared" ca="1" si="21"/>
        <v>0.59065271959487142</v>
      </c>
      <c r="V257">
        <f t="shared" ca="1" si="22"/>
        <v>0.18637980366098461</v>
      </c>
      <c r="W257" s="8">
        <f t="shared" ca="1" si="23"/>
        <v>11.554065046511711</v>
      </c>
    </row>
    <row r="258" spans="1:23" ht="15">
      <c r="A258" s="6">
        <v>243</v>
      </c>
      <c r="B258" s="6">
        <f t="shared" ca="1" si="19"/>
        <v>0.90201737933633119</v>
      </c>
      <c r="C258" s="8">
        <f t="shared" ca="1" si="20"/>
        <v>5902.017379336331</v>
      </c>
      <c r="T258" s="6">
        <v>243</v>
      </c>
      <c r="U258" s="6">
        <f t="shared" ca="1" si="21"/>
        <v>0.95214818872097096</v>
      </c>
      <c r="V258">
        <f t="shared" ca="1" si="22"/>
        <v>0.67675485186158602</v>
      </c>
      <c r="W258" s="8">
        <f t="shared" ca="1" si="23"/>
        <v>13.257806081165114</v>
      </c>
    </row>
    <row r="259" spans="1:23" ht="15">
      <c r="A259" s="6">
        <v>244</v>
      </c>
      <c r="B259" s="6">
        <f t="shared" ca="1" si="19"/>
        <v>0.5875174513245921</v>
      </c>
      <c r="C259" s="8">
        <f t="shared" ca="1" si="20"/>
        <v>5587.517451324592</v>
      </c>
      <c r="T259" s="6">
        <v>244</v>
      </c>
      <c r="U259" s="6">
        <f t="shared" ca="1" si="21"/>
        <v>0.79038180614649245</v>
      </c>
      <c r="V259">
        <f t="shared" ca="1" si="22"/>
        <v>0.515294539497964</v>
      </c>
      <c r="W259" s="8">
        <f t="shared" ca="1" si="23"/>
        <v>12.611352691288912</v>
      </c>
    </row>
    <row r="260" spans="1:23" ht="15">
      <c r="A260" s="6">
        <v>245</v>
      </c>
      <c r="B260" s="6">
        <f t="shared" ca="1" si="19"/>
        <v>0.73177104144481542</v>
      </c>
      <c r="C260" s="8">
        <f t="shared" ca="1" si="20"/>
        <v>5731.7710414448156</v>
      </c>
      <c r="T260" s="6">
        <v>245</v>
      </c>
      <c r="U260" s="6">
        <f t="shared" ca="1" si="21"/>
        <v>0.5693368731141778</v>
      </c>
      <c r="V260">
        <f t="shared" ca="1" si="22"/>
        <v>0.18843739173689067</v>
      </c>
      <c r="W260" s="8">
        <f t="shared" ca="1" si="23"/>
        <v>11.515548529702137</v>
      </c>
    </row>
    <row r="261" spans="1:23" ht="15">
      <c r="A261" s="6">
        <v>246</v>
      </c>
      <c r="B261" s="6">
        <f t="shared" ca="1" si="19"/>
        <v>0.21247103175450377</v>
      </c>
      <c r="C261" s="8">
        <f t="shared" ca="1" si="20"/>
        <v>5212.4710317545041</v>
      </c>
      <c r="T261" s="6">
        <v>246</v>
      </c>
      <c r="U261" s="6">
        <f t="shared" ca="1" si="21"/>
        <v>0.22711834113854878</v>
      </c>
      <c r="V261">
        <f t="shared" ca="1" si="22"/>
        <v>0.61889057612113496</v>
      </c>
      <c r="W261" s="8">
        <f t="shared" ca="1" si="23"/>
        <v>11.692017834519367</v>
      </c>
    </row>
    <row r="262" spans="1:23" ht="15">
      <c r="A262" s="6">
        <v>247</v>
      </c>
      <c r="B262" s="6">
        <f t="shared" ca="1" si="19"/>
        <v>6.5583882236816549E-2</v>
      </c>
      <c r="C262" s="8">
        <f t="shared" ca="1" si="20"/>
        <v>5065.5838822368169</v>
      </c>
      <c r="T262" s="6">
        <v>247</v>
      </c>
      <c r="U262" s="6">
        <f t="shared" ca="1" si="21"/>
        <v>0.81224269387426085</v>
      </c>
      <c r="V262">
        <f t="shared" ca="1" si="22"/>
        <v>0.62324449136020443</v>
      </c>
      <c r="W262" s="8">
        <f t="shared" ca="1" si="23"/>
        <v>12.870974370468931</v>
      </c>
    </row>
    <row r="263" spans="1:23" ht="15">
      <c r="A263" s="6">
        <v>248</v>
      </c>
      <c r="B263" s="6">
        <f t="shared" ca="1" si="19"/>
        <v>0.22606410151368483</v>
      </c>
      <c r="C263" s="8">
        <f t="shared" ca="1" si="20"/>
        <v>5226.0641015136853</v>
      </c>
      <c r="T263" s="6">
        <v>248</v>
      </c>
      <c r="U263" s="6">
        <f t="shared" ca="1" si="21"/>
        <v>3.0127763965375753E-2</v>
      </c>
      <c r="V263">
        <f t="shared" ca="1" si="22"/>
        <v>9.6584125477887972E-2</v>
      </c>
      <c r="W263" s="8">
        <f t="shared" ca="1" si="23"/>
        <v>10.253423778886528</v>
      </c>
    </row>
    <row r="264" spans="1:23" ht="15">
      <c r="A264" s="6">
        <v>249</v>
      </c>
      <c r="B264" s="6">
        <f t="shared" ca="1" si="19"/>
        <v>0.58325243550317252</v>
      </c>
      <c r="C264" s="8">
        <f t="shared" ca="1" si="20"/>
        <v>5583.2524355031728</v>
      </c>
      <c r="T264" s="6">
        <v>249</v>
      </c>
      <c r="U264" s="6">
        <f t="shared" ca="1" si="21"/>
        <v>3.1608499579152793E-2</v>
      </c>
      <c r="V264">
        <f t="shared" ca="1" si="22"/>
        <v>0.85082569694022747</v>
      </c>
      <c r="W264" s="8">
        <f t="shared" ca="1" si="23"/>
        <v>11.764868393038761</v>
      </c>
    </row>
    <row r="265" spans="1:23" ht="15">
      <c r="A265" s="6">
        <v>250</v>
      </c>
      <c r="B265" s="6">
        <f t="shared" ca="1" si="19"/>
        <v>0.69399415681125853</v>
      </c>
      <c r="C265" s="8">
        <f t="shared" ca="1" si="20"/>
        <v>5693.994156811259</v>
      </c>
      <c r="T265" s="6">
        <v>250</v>
      </c>
      <c r="U265" s="6">
        <f t="shared" ca="1" si="21"/>
        <v>0.59826020241057565</v>
      </c>
      <c r="V265">
        <f t="shared" ca="1" si="22"/>
        <v>2.2775630037528694E-2</v>
      </c>
      <c r="W265" s="8">
        <f t="shared" ca="1" si="23"/>
        <v>11.242071664896208</v>
      </c>
    </row>
  </sheetData>
  <mergeCells count="1">
    <mergeCell ref="T1:AA1"/>
  </mergeCells>
  <pageMargins left="0.7" right="0.7" top="0.75" bottom="0.75" header="0.3" footer="0.3"/>
  <pageSetup paperSize="9" orientation="portrait" horizontalDpi="4294967293" vertic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Solved examples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2026-04-22T11:05:08Z</dcterms:created>
  <dcterms:modified xsi:type="dcterms:W3CDTF">2026-04-22T11:05:12Z</dcterms:modified>
</cp:coreProperties>
</file>