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filterPrivacy="1" defaultThemeVersion="124226"/>
  <xr:revisionPtr revIDLastSave="0" documentId="13_ncr:1_{354C2ACE-77EF-4A94-A2F9-6972B3E31D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in toss" sheetId="3" r:id="rId1"/>
    <sheet name="Ball drawing" sheetId="5" r:id="rId2"/>
    <sheet name="Coin drawing" sheetId="6" r:id="rId3"/>
    <sheet name="Coin drawing 2" sheetId="7" r:id="rId4"/>
    <sheet name="Coin drawing 3" sheetId="8" r:id="rId5"/>
  </sheet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8" l="1"/>
  <c r="C8" i="8" s="1"/>
  <c r="B7" i="8"/>
  <c r="C7" i="8" s="1"/>
  <c r="B6" i="8"/>
  <c r="C6" i="8" s="1"/>
  <c r="H5" i="6"/>
  <c r="I5" i="6" s="1"/>
  <c r="H6" i="6"/>
  <c r="I6" i="6" s="1"/>
  <c r="H7" i="6"/>
  <c r="I7" i="6" s="1"/>
  <c r="H8" i="6"/>
  <c r="I8" i="6" s="1"/>
  <c r="H9" i="6"/>
  <c r="I9" i="6" s="1"/>
  <c r="H10" i="6"/>
  <c r="I10" i="6" s="1"/>
  <c r="H11" i="6"/>
  <c r="I11" i="6" s="1"/>
  <c r="H12" i="6"/>
  <c r="I12" i="6" s="1"/>
  <c r="H13" i="6"/>
  <c r="I13" i="6" s="1"/>
  <c r="H14" i="6"/>
  <c r="I14" i="6" s="1"/>
  <c r="H15" i="6"/>
  <c r="I15" i="6" s="1"/>
  <c r="H16" i="6"/>
  <c r="I16" i="6" s="1"/>
  <c r="H17" i="6"/>
  <c r="I17" i="6" s="1"/>
  <c r="H18" i="6"/>
  <c r="I18" i="6" s="1"/>
  <c r="H19" i="6"/>
  <c r="I19" i="6" s="1"/>
  <c r="H20" i="6"/>
  <c r="I20" i="6" s="1"/>
  <c r="H21" i="6"/>
  <c r="I21" i="6" s="1"/>
  <c r="H22" i="6"/>
  <c r="I22" i="6" s="1"/>
  <c r="H23" i="6"/>
  <c r="I23" i="6" s="1"/>
  <c r="H24" i="6"/>
  <c r="I24" i="6" s="1"/>
  <c r="H25" i="6"/>
  <c r="I25" i="6" s="1"/>
  <c r="H26" i="6"/>
  <c r="I26" i="6" s="1"/>
  <c r="H27" i="6"/>
  <c r="I27" i="6" s="1"/>
  <c r="H28" i="6"/>
  <c r="I28" i="6" s="1"/>
  <c r="H29" i="6"/>
  <c r="I29" i="6" s="1"/>
  <c r="H30" i="6"/>
  <c r="I30" i="6" s="1"/>
  <c r="H31" i="6"/>
  <c r="I31" i="6" s="1"/>
  <c r="H32" i="6"/>
  <c r="I32" i="6" s="1"/>
  <c r="H33" i="6"/>
  <c r="I33" i="6" s="1"/>
  <c r="H34" i="6"/>
  <c r="I34" i="6" s="1"/>
  <c r="H35" i="6"/>
  <c r="I35" i="6" s="1"/>
  <c r="H36" i="6"/>
  <c r="I36" i="6" s="1"/>
  <c r="H37" i="6"/>
  <c r="I37" i="6" s="1"/>
  <c r="H38" i="6"/>
  <c r="I38" i="6" s="1"/>
  <c r="H39" i="6"/>
  <c r="I39" i="6" s="1"/>
  <c r="H40" i="6"/>
  <c r="I40" i="6" s="1"/>
  <c r="H41" i="6"/>
  <c r="I41" i="6" s="1"/>
  <c r="H42" i="6"/>
  <c r="I42" i="6" s="1"/>
  <c r="H43" i="6"/>
  <c r="I43" i="6" s="1"/>
  <c r="H44" i="6"/>
  <c r="I44" i="6" s="1"/>
  <c r="H45" i="6"/>
  <c r="I45" i="6" s="1"/>
  <c r="H46" i="6"/>
  <c r="I46" i="6" s="1"/>
  <c r="H47" i="6"/>
  <c r="I47" i="6" s="1"/>
  <c r="H48" i="6"/>
  <c r="I48" i="6" s="1"/>
  <c r="H49" i="6"/>
  <c r="I49" i="6" s="1"/>
  <c r="H50" i="6"/>
  <c r="I50" i="6" s="1"/>
  <c r="H51" i="6"/>
  <c r="I51" i="6" s="1"/>
  <c r="H52" i="6"/>
  <c r="I52" i="6" s="1"/>
  <c r="H53" i="6"/>
  <c r="I53" i="6" s="1"/>
  <c r="H54" i="6"/>
  <c r="I54" i="6" s="1"/>
  <c r="H55" i="6"/>
  <c r="I55" i="6" s="1"/>
  <c r="H56" i="6"/>
  <c r="I56" i="6" s="1"/>
  <c r="H57" i="6"/>
  <c r="I57" i="6" s="1"/>
  <c r="H58" i="6"/>
  <c r="I58" i="6" s="1"/>
  <c r="H59" i="6"/>
  <c r="I59" i="6" s="1"/>
  <c r="H60" i="6"/>
  <c r="I60" i="6" s="1"/>
  <c r="H61" i="6"/>
  <c r="I61" i="6" s="1"/>
  <c r="H62" i="6"/>
  <c r="I62" i="6" s="1"/>
  <c r="H63" i="6"/>
  <c r="I63" i="6" s="1"/>
  <c r="H64" i="6"/>
  <c r="I64" i="6" s="1"/>
  <c r="H65" i="6"/>
  <c r="I65" i="6" s="1"/>
  <c r="H66" i="6"/>
  <c r="I66" i="6" s="1"/>
  <c r="H67" i="6"/>
  <c r="I67" i="6" s="1"/>
  <c r="H68" i="6"/>
  <c r="I68" i="6" s="1"/>
  <c r="H69" i="6"/>
  <c r="I69" i="6" s="1"/>
  <c r="H70" i="6"/>
  <c r="I70" i="6" s="1"/>
  <c r="H71" i="6"/>
  <c r="I71" i="6" s="1"/>
  <c r="H72" i="6"/>
  <c r="I72" i="6" s="1"/>
  <c r="H73" i="6"/>
  <c r="I73" i="6" s="1"/>
  <c r="H74" i="6"/>
  <c r="I74" i="6" s="1"/>
  <c r="H75" i="6"/>
  <c r="I75" i="6" s="1"/>
  <c r="H76" i="6"/>
  <c r="I76" i="6" s="1"/>
  <c r="H77" i="6"/>
  <c r="I77" i="6" s="1"/>
  <c r="H78" i="6"/>
  <c r="I78" i="6" s="1"/>
  <c r="H79" i="6"/>
  <c r="I79" i="6" s="1"/>
  <c r="H80" i="6"/>
  <c r="I80" i="6" s="1"/>
  <c r="H81" i="6"/>
  <c r="I81" i="6" s="1"/>
  <c r="H82" i="6"/>
  <c r="I82" i="6" s="1"/>
  <c r="H83" i="6"/>
  <c r="I83" i="6" s="1"/>
  <c r="H84" i="6"/>
  <c r="I84" i="6" s="1"/>
  <c r="H85" i="6"/>
  <c r="I85" i="6" s="1"/>
  <c r="H86" i="6"/>
  <c r="I86" i="6" s="1"/>
  <c r="H87" i="6"/>
  <c r="I87" i="6" s="1"/>
  <c r="H88" i="6"/>
  <c r="I88" i="6" s="1"/>
  <c r="H89" i="6"/>
  <c r="I89" i="6" s="1"/>
  <c r="H90" i="6"/>
  <c r="I90" i="6" s="1"/>
  <c r="H91" i="6"/>
  <c r="I91" i="6" s="1"/>
  <c r="H92" i="6"/>
  <c r="I92" i="6" s="1"/>
  <c r="H93" i="6"/>
  <c r="I93" i="6" s="1"/>
  <c r="H94" i="6"/>
  <c r="I94" i="6" s="1"/>
  <c r="H95" i="6"/>
  <c r="I95" i="6" s="1"/>
  <c r="H96" i="6"/>
  <c r="I96" i="6" s="1"/>
  <c r="H97" i="6"/>
  <c r="I97" i="6" s="1"/>
  <c r="H98" i="6"/>
  <c r="I98" i="6" s="1"/>
  <c r="H99" i="6"/>
  <c r="I99" i="6" s="1"/>
  <c r="H100" i="6"/>
  <c r="I100" i="6" s="1"/>
  <c r="H101" i="6"/>
  <c r="I101" i="6" s="1"/>
  <c r="H102" i="6"/>
  <c r="I102" i="6" s="1"/>
  <c r="H103" i="6"/>
  <c r="I103" i="6" s="1"/>
  <c r="H4" i="6"/>
  <c r="I4" i="6" s="1"/>
  <c r="H5" i="5"/>
  <c r="I5" i="5" s="1"/>
  <c r="H6" i="5"/>
  <c r="I6" i="5" s="1"/>
  <c r="H7" i="5"/>
  <c r="I7" i="5" s="1"/>
  <c r="H8" i="5"/>
  <c r="I8" i="5" s="1"/>
  <c r="H9" i="5"/>
  <c r="I9" i="5" s="1"/>
  <c r="H10" i="5"/>
  <c r="I10" i="5" s="1"/>
  <c r="H11" i="5"/>
  <c r="I11" i="5" s="1"/>
  <c r="H12" i="5"/>
  <c r="I12" i="5" s="1"/>
  <c r="H13" i="5"/>
  <c r="I13" i="5" s="1"/>
  <c r="H14" i="5"/>
  <c r="I14" i="5" s="1"/>
  <c r="H15" i="5"/>
  <c r="I15" i="5" s="1"/>
  <c r="H16" i="5"/>
  <c r="I16" i="5" s="1"/>
  <c r="H17" i="5"/>
  <c r="I17" i="5" s="1"/>
  <c r="H18" i="5"/>
  <c r="I18" i="5" s="1"/>
  <c r="H19" i="5"/>
  <c r="I19" i="5" s="1"/>
  <c r="H20" i="5"/>
  <c r="I20" i="5" s="1"/>
  <c r="H21" i="5"/>
  <c r="I21" i="5" s="1"/>
  <c r="H22" i="5"/>
  <c r="I22" i="5" s="1"/>
  <c r="H23" i="5"/>
  <c r="I23" i="5" s="1"/>
  <c r="H24" i="5"/>
  <c r="I24" i="5" s="1"/>
  <c r="H25" i="5"/>
  <c r="I25" i="5" s="1"/>
  <c r="H26" i="5"/>
  <c r="I26" i="5" s="1"/>
  <c r="H27" i="5"/>
  <c r="I27" i="5" s="1"/>
  <c r="H28" i="5"/>
  <c r="I28" i="5" s="1"/>
  <c r="H29" i="5"/>
  <c r="I29" i="5" s="1"/>
  <c r="H30" i="5"/>
  <c r="I30" i="5" s="1"/>
  <c r="H31" i="5"/>
  <c r="I31" i="5" s="1"/>
  <c r="H32" i="5"/>
  <c r="I32" i="5" s="1"/>
  <c r="H33" i="5"/>
  <c r="I33" i="5" s="1"/>
  <c r="H34" i="5"/>
  <c r="I34" i="5" s="1"/>
  <c r="H35" i="5"/>
  <c r="I35" i="5" s="1"/>
  <c r="H36" i="5"/>
  <c r="I36" i="5" s="1"/>
  <c r="H37" i="5"/>
  <c r="I37" i="5" s="1"/>
  <c r="H38" i="5"/>
  <c r="I38" i="5" s="1"/>
  <c r="H39" i="5"/>
  <c r="I39" i="5" s="1"/>
  <c r="H40" i="5"/>
  <c r="I40" i="5" s="1"/>
  <c r="H41" i="5"/>
  <c r="I41" i="5" s="1"/>
  <c r="H42" i="5"/>
  <c r="I42" i="5" s="1"/>
  <c r="H43" i="5"/>
  <c r="I43" i="5" s="1"/>
  <c r="H44" i="5"/>
  <c r="I44" i="5" s="1"/>
  <c r="H45" i="5"/>
  <c r="I45" i="5" s="1"/>
  <c r="H46" i="5"/>
  <c r="I46" i="5" s="1"/>
  <c r="H47" i="5"/>
  <c r="I47" i="5" s="1"/>
  <c r="H48" i="5"/>
  <c r="I48" i="5" s="1"/>
  <c r="H49" i="5"/>
  <c r="I49" i="5" s="1"/>
  <c r="H50" i="5"/>
  <c r="I50" i="5" s="1"/>
  <c r="H51" i="5"/>
  <c r="I51" i="5" s="1"/>
  <c r="H52" i="5"/>
  <c r="I52" i="5" s="1"/>
  <c r="H53" i="5"/>
  <c r="I53" i="5" s="1"/>
  <c r="H54" i="5"/>
  <c r="I54" i="5" s="1"/>
  <c r="H55" i="5"/>
  <c r="I55" i="5" s="1"/>
  <c r="H56" i="5"/>
  <c r="I56" i="5" s="1"/>
  <c r="H57" i="5"/>
  <c r="I57" i="5" s="1"/>
  <c r="H58" i="5"/>
  <c r="I58" i="5" s="1"/>
  <c r="H59" i="5"/>
  <c r="I59" i="5" s="1"/>
  <c r="H60" i="5"/>
  <c r="I60" i="5" s="1"/>
  <c r="H61" i="5"/>
  <c r="I61" i="5" s="1"/>
  <c r="H62" i="5"/>
  <c r="I62" i="5" s="1"/>
  <c r="H63" i="5"/>
  <c r="I63" i="5" s="1"/>
  <c r="H64" i="5"/>
  <c r="I64" i="5" s="1"/>
  <c r="H65" i="5"/>
  <c r="I65" i="5" s="1"/>
  <c r="H66" i="5"/>
  <c r="I66" i="5" s="1"/>
  <c r="H67" i="5"/>
  <c r="I67" i="5" s="1"/>
  <c r="H68" i="5"/>
  <c r="I68" i="5" s="1"/>
  <c r="H69" i="5"/>
  <c r="I69" i="5" s="1"/>
  <c r="H70" i="5"/>
  <c r="I70" i="5" s="1"/>
  <c r="H71" i="5"/>
  <c r="I71" i="5" s="1"/>
  <c r="H72" i="5"/>
  <c r="I72" i="5" s="1"/>
  <c r="H73" i="5"/>
  <c r="I73" i="5" s="1"/>
  <c r="H74" i="5"/>
  <c r="I74" i="5" s="1"/>
  <c r="H75" i="5"/>
  <c r="I75" i="5" s="1"/>
  <c r="H76" i="5"/>
  <c r="I76" i="5" s="1"/>
  <c r="H77" i="5"/>
  <c r="I77" i="5" s="1"/>
  <c r="H78" i="5"/>
  <c r="I78" i="5" s="1"/>
  <c r="H79" i="5"/>
  <c r="I79" i="5" s="1"/>
  <c r="H80" i="5"/>
  <c r="I80" i="5" s="1"/>
  <c r="H81" i="5"/>
  <c r="I81" i="5" s="1"/>
  <c r="H82" i="5"/>
  <c r="I82" i="5" s="1"/>
  <c r="H83" i="5"/>
  <c r="I83" i="5" s="1"/>
  <c r="H84" i="5"/>
  <c r="I84" i="5" s="1"/>
  <c r="H85" i="5"/>
  <c r="I85" i="5" s="1"/>
  <c r="H86" i="5"/>
  <c r="I86" i="5" s="1"/>
  <c r="H87" i="5"/>
  <c r="I87" i="5" s="1"/>
  <c r="H88" i="5"/>
  <c r="I88" i="5" s="1"/>
  <c r="H89" i="5"/>
  <c r="I89" i="5" s="1"/>
  <c r="H90" i="5"/>
  <c r="I90" i="5" s="1"/>
  <c r="H91" i="5"/>
  <c r="I91" i="5" s="1"/>
  <c r="H92" i="5"/>
  <c r="I92" i="5" s="1"/>
  <c r="H93" i="5"/>
  <c r="I93" i="5" s="1"/>
  <c r="H94" i="5"/>
  <c r="I94" i="5" s="1"/>
  <c r="H95" i="5"/>
  <c r="I95" i="5" s="1"/>
  <c r="H96" i="5"/>
  <c r="I96" i="5" s="1"/>
  <c r="H97" i="5"/>
  <c r="I97" i="5" s="1"/>
  <c r="H98" i="5"/>
  <c r="I98" i="5" s="1"/>
  <c r="H99" i="5"/>
  <c r="I99" i="5" s="1"/>
  <c r="H100" i="5"/>
  <c r="I100" i="5" s="1"/>
  <c r="H101" i="5"/>
  <c r="I101" i="5" s="1"/>
  <c r="H102" i="5"/>
  <c r="I102" i="5" s="1"/>
  <c r="H103" i="5"/>
  <c r="I103" i="5" s="1"/>
  <c r="H4" i="5"/>
  <c r="I4" i="5" s="1"/>
  <c r="B7" i="3"/>
  <c r="C7" i="3" s="1"/>
  <c r="B8" i="3"/>
  <c r="C8" i="3" s="1"/>
  <c r="B9" i="3"/>
  <c r="C9" i="3" s="1"/>
  <c r="B10" i="3"/>
  <c r="C10" i="3" s="1"/>
  <c r="B11" i="3"/>
  <c r="C11" i="3" s="1"/>
  <c r="B12" i="3"/>
  <c r="C12" i="3" s="1"/>
  <c r="B13" i="3"/>
  <c r="C13" i="3" s="1"/>
  <c r="B14" i="3"/>
  <c r="C14" i="3" s="1"/>
  <c r="B15" i="3"/>
  <c r="C15" i="3" s="1"/>
  <c r="B16" i="3"/>
  <c r="C16" i="3" s="1"/>
  <c r="B17" i="3"/>
  <c r="C17" i="3" s="1"/>
  <c r="B18" i="3"/>
  <c r="C18" i="3" s="1"/>
  <c r="B19" i="3"/>
  <c r="C19" i="3" s="1"/>
  <c r="B20" i="3"/>
  <c r="C20" i="3" s="1"/>
  <c r="B21" i="3"/>
  <c r="C21" i="3" s="1"/>
  <c r="B22" i="3"/>
  <c r="C22" i="3" s="1"/>
  <c r="B23" i="3"/>
  <c r="C23" i="3" s="1"/>
  <c r="B24" i="3"/>
  <c r="C24" i="3" s="1"/>
  <c r="B25" i="3"/>
  <c r="C25" i="3" s="1"/>
  <c r="B26" i="3"/>
  <c r="C26" i="3" s="1"/>
  <c r="B27" i="3"/>
  <c r="C27" i="3" s="1"/>
  <c r="B28" i="3"/>
  <c r="C28" i="3" s="1"/>
  <c r="B29" i="3"/>
  <c r="C29" i="3" s="1"/>
  <c r="B30" i="3"/>
  <c r="C30" i="3" s="1"/>
  <c r="B31" i="3"/>
  <c r="C31" i="3" s="1"/>
  <c r="B32" i="3"/>
  <c r="C32" i="3" s="1"/>
  <c r="B33" i="3"/>
  <c r="C33" i="3" s="1"/>
  <c r="B34" i="3"/>
  <c r="C34" i="3" s="1"/>
  <c r="B35" i="3"/>
  <c r="C35" i="3" s="1"/>
  <c r="B36" i="3"/>
  <c r="C36" i="3" s="1"/>
  <c r="B37" i="3"/>
  <c r="C37" i="3" s="1"/>
  <c r="B38" i="3"/>
  <c r="C38" i="3" s="1"/>
  <c r="B39" i="3"/>
  <c r="C39" i="3" s="1"/>
  <c r="B40" i="3"/>
  <c r="C40" i="3" s="1"/>
  <c r="B41" i="3"/>
  <c r="C41" i="3" s="1"/>
  <c r="B42" i="3"/>
  <c r="C42" i="3" s="1"/>
  <c r="B43" i="3"/>
  <c r="C43" i="3" s="1"/>
  <c r="B44" i="3"/>
  <c r="C44" i="3" s="1"/>
  <c r="B45" i="3"/>
  <c r="C45" i="3" s="1"/>
  <c r="B46" i="3"/>
  <c r="C46" i="3" s="1"/>
  <c r="B47" i="3"/>
  <c r="C47" i="3" s="1"/>
  <c r="B48" i="3"/>
  <c r="C48" i="3" s="1"/>
  <c r="B49" i="3"/>
  <c r="C49" i="3" s="1"/>
  <c r="B50" i="3"/>
  <c r="C50" i="3" s="1"/>
  <c r="B51" i="3"/>
  <c r="C51" i="3" s="1"/>
  <c r="B52" i="3"/>
  <c r="C52" i="3" s="1"/>
  <c r="B53" i="3"/>
  <c r="C53" i="3" s="1"/>
  <c r="B54" i="3"/>
  <c r="C54" i="3" s="1"/>
  <c r="B55" i="3"/>
  <c r="C55" i="3" s="1"/>
  <c r="B56" i="3"/>
  <c r="C56" i="3" s="1"/>
  <c r="B57" i="3"/>
  <c r="C57" i="3" s="1"/>
  <c r="B58" i="3"/>
  <c r="C58" i="3" s="1"/>
  <c r="B59" i="3"/>
  <c r="C59" i="3" s="1"/>
  <c r="B60" i="3"/>
  <c r="C60" i="3" s="1"/>
  <c r="B61" i="3"/>
  <c r="C61" i="3" s="1"/>
  <c r="B62" i="3"/>
  <c r="C62" i="3" s="1"/>
  <c r="B63" i="3"/>
  <c r="C63" i="3" s="1"/>
  <c r="B64" i="3"/>
  <c r="C64" i="3" s="1"/>
  <c r="B65" i="3"/>
  <c r="C65" i="3" s="1"/>
  <c r="B66" i="3"/>
  <c r="C66" i="3" s="1"/>
  <c r="B67" i="3"/>
  <c r="C67" i="3" s="1"/>
  <c r="B68" i="3"/>
  <c r="C68" i="3" s="1"/>
  <c r="B69" i="3"/>
  <c r="C69" i="3" s="1"/>
  <c r="B70" i="3"/>
  <c r="C70" i="3" s="1"/>
  <c r="B71" i="3"/>
  <c r="C71" i="3" s="1"/>
  <c r="B72" i="3"/>
  <c r="C72" i="3" s="1"/>
  <c r="B73" i="3"/>
  <c r="C73" i="3" s="1"/>
  <c r="B74" i="3"/>
  <c r="C74" i="3" s="1"/>
  <c r="B75" i="3"/>
  <c r="C75" i="3" s="1"/>
  <c r="B76" i="3"/>
  <c r="C76" i="3" s="1"/>
  <c r="B77" i="3"/>
  <c r="C77" i="3" s="1"/>
  <c r="B78" i="3"/>
  <c r="C78" i="3" s="1"/>
  <c r="B79" i="3"/>
  <c r="C79" i="3" s="1"/>
  <c r="B80" i="3"/>
  <c r="C80" i="3" s="1"/>
  <c r="B81" i="3"/>
  <c r="C81" i="3" s="1"/>
  <c r="B82" i="3"/>
  <c r="C82" i="3" s="1"/>
  <c r="B83" i="3"/>
  <c r="C83" i="3" s="1"/>
  <c r="B84" i="3"/>
  <c r="C84" i="3" s="1"/>
  <c r="B85" i="3"/>
  <c r="C85" i="3" s="1"/>
  <c r="B86" i="3"/>
  <c r="C86" i="3" s="1"/>
  <c r="B87" i="3"/>
  <c r="C87" i="3" s="1"/>
  <c r="B88" i="3"/>
  <c r="C88" i="3" s="1"/>
  <c r="B89" i="3"/>
  <c r="C89" i="3" s="1"/>
  <c r="B90" i="3"/>
  <c r="C90" i="3" s="1"/>
  <c r="B91" i="3"/>
  <c r="C91" i="3" s="1"/>
  <c r="B92" i="3"/>
  <c r="C92" i="3" s="1"/>
  <c r="B93" i="3"/>
  <c r="C93" i="3" s="1"/>
  <c r="B94" i="3"/>
  <c r="C94" i="3" s="1"/>
  <c r="B95" i="3"/>
  <c r="C95" i="3" s="1"/>
  <c r="B96" i="3"/>
  <c r="C96" i="3" s="1"/>
  <c r="B97" i="3"/>
  <c r="C97" i="3" s="1"/>
  <c r="B98" i="3"/>
  <c r="C98" i="3" s="1"/>
  <c r="B99" i="3"/>
  <c r="C99" i="3" s="1"/>
  <c r="B100" i="3"/>
  <c r="C100" i="3" s="1"/>
  <c r="B101" i="3"/>
  <c r="C101" i="3" s="1"/>
  <c r="B102" i="3"/>
  <c r="C102" i="3" s="1"/>
  <c r="B103" i="3"/>
  <c r="C103" i="3" s="1"/>
  <c r="B104" i="3"/>
  <c r="C104" i="3" s="1"/>
  <c r="B105" i="3"/>
  <c r="C105" i="3" s="1"/>
  <c r="B6" i="3"/>
  <c r="C6" i="3" s="1"/>
  <c r="E5" i="6"/>
  <c r="E6" i="6"/>
  <c r="E4" i="6"/>
  <c r="C9" i="8" l="1"/>
  <c r="B12" i="8" s="1"/>
  <c r="B16" i="6"/>
  <c r="B17" i="6"/>
  <c r="B18" i="6" s="1"/>
  <c r="J100" i="5"/>
  <c r="J84" i="5"/>
  <c r="J68" i="5"/>
  <c r="J52" i="5"/>
  <c r="J36" i="5"/>
  <c r="J20" i="5"/>
  <c r="J96" i="5"/>
  <c r="J80" i="5"/>
  <c r="J64" i="5"/>
  <c r="J48" i="5"/>
  <c r="J32" i="5"/>
  <c r="J16" i="5"/>
  <c r="J92" i="5"/>
  <c r="J76" i="5"/>
  <c r="J60" i="5"/>
  <c r="J44" i="5"/>
  <c r="J28" i="5"/>
  <c r="J12" i="5"/>
  <c r="J88" i="5"/>
  <c r="J72" i="5"/>
  <c r="J56" i="5"/>
  <c r="J40" i="5"/>
  <c r="J24" i="5"/>
  <c r="J8" i="5"/>
  <c r="J103" i="5"/>
  <c r="J99" i="5"/>
  <c r="J95" i="5"/>
  <c r="J91" i="5"/>
  <c r="J87" i="5"/>
  <c r="J83" i="5"/>
  <c r="J79" i="5"/>
  <c r="J75" i="5"/>
  <c r="J71" i="5"/>
  <c r="J67" i="5"/>
  <c r="J63" i="5"/>
  <c r="J59" i="5"/>
  <c r="J55" i="5"/>
  <c r="J51" i="5"/>
  <c r="J47" i="5"/>
  <c r="J43" i="5"/>
  <c r="J39" i="5"/>
  <c r="J35" i="5"/>
  <c r="J31" i="5"/>
  <c r="J27" i="5"/>
  <c r="J23" i="5"/>
  <c r="J19" i="5"/>
  <c r="J15" i="5"/>
  <c r="J11" i="5"/>
  <c r="J7" i="5"/>
  <c r="J102" i="5"/>
  <c r="J98" i="5"/>
  <c r="J94" i="5"/>
  <c r="J90" i="5"/>
  <c r="J86" i="5"/>
  <c r="J82" i="5"/>
  <c r="J78" i="5"/>
  <c r="J74" i="5"/>
  <c r="J70" i="5"/>
  <c r="J66" i="5"/>
  <c r="J62" i="5"/>
  <c r="J58" i="5"/>
  <c r="J54" i="5"/>
  <c r="J50" i="5"/>
  <c r="J46" i="5"/>
  <c r="J42" i="5"/>
  <c r="J38" i="5"/>
  <c r="J34" i="5"/>
  <c r="J30" i="5"/>
  <c r="J26" i="5"/>
  <c r="J22" i="5"/>
  <c r="J18" i="5"/>
  <c r="J14" i="5"/>
  <c r="J10" i="5"/>
  <c r="J6" i="5"/>
  <c r="J101" i="5"/>
  <c r="J97" i="5"/>
  <c r="J93" i="5"/>
  <c r="J89" i="5"/>
  <c r="J85" i="5"/>
  <c r="J81" i="5"/>
  <c r="J77" i="5"/>
  <c r="J73" i="5"/>
  <c r="J69" i="5"/>
  <c r="J65" i="5"/>
  <c r="J61" i="5"/>
  <c r="J57" i="5"/>
  <c r="J53" i="5"/>
  <c r="J49" i="5"/>
  <c r="J45" i="5"/>
  <c r="J41" i="5"/>
  <c r="J37" i="5"/>
  <c r="J33" i="5"/>
  <c r="J29" i="5"/>
  <c r="J25" i="5"/>
  <c r="J21" i="5"/>
  <c r="J17" i="5"/>
  <c r="J13" i="5"/>
  <c r="J9" i="5"/>
  <c r="J5" i="5"/>
  <c r="J4" i="5"/>
  <c r="E12" i="3"/>
  <c r="E11" i="3"/>
  <c r="E5" i="5"/>
  <c r="E6" i="5"/>
  <c r="E4" i="5"/>
  <c r="H14" i="8" l="1"/>
  <c r="H15" i="8"/>
  <c r="H20" i="8"/>
  <c r="H21" i="8"/>
  <c r="J14" i="8"/>
  <c r="H16" i="8" s="1"/>
  <c r="H19" i="8"/>
  <c r="H13" i="8"/>
  <c r="C17" i="5"/>
  <c r="C16" i="5"/>
  <c r="C15" i="5"/>
  <c r="E15" i="3"/>
  <c r="E16" i="3"/>
  <c r="B6" i="7"/>
  <c r="B7" i="6"/>
  <c r="B7" i="5"/>
  <c r="H18" i="8" l="1"/>
  <c r="H17" i="8"/>
  <c r="C19" i="5"/>
  <c r="C20" i="5"/>
  <c r="C21" i="5"/>
  <c r="C6" i="7"/>
  <c r="B10" i="7" s="1"/>
  <c r="E11" i="7" l="1"/>
  <c r="F15" i="7" s="1"/>
  <c r="E12" i="7"/>
  <c r="F16" i="7" s="1"/>
</calcChain>
</file>

<file path=xl/sharedStrings.xml><?xml version="1.0" encoding="utf-8"?>
<sst xmlns="http://schemas.openxmlformats.org/spreadsheetml/2006/main" count="72" uniqueCount="57">
  <si>
    <t>Total</t>
  </si>
  <si>
    <t>Coin toss</t>
  </si>
  <si>
    <t>Trial</t>
  </si>
  <si>
    <t>Random number</t>
  </si>
  <si>
    <t>simulation</t>
  </si>
  <si>
    <t>Number of heads</t>
  </si>
  <si>
    <t>Number of tails</t>
  </si>
  <si>
    <t>Head probability:</t>
  </si>
  <si>
    <t>Tails probability:</t>
  </si>
  <si>
    <t>Colored balls</t>
  </si>
  <si>
    <t>Ball drawn</t>
  </si>
  <si>
    <t>Red</t>
  </si>
  <si>
    <t>Yellow</t>
  </si>
  <si>
    <t>Green</t>
  </si>
  <si>
    <t>Probability</t>
  </si>
  <si>
    <t>Left range</t>
  </si>
  <si>
    <t>Right range</t>
  </si>
  <si>
    <t>Simulation  (IF)</t>
  </si>
  <si>
    <t>Simulation (VLOOKUP)</t>
  </si>
  <si>
    <t>Number of Red Balls</t>
  </si>
  <si>
    <t>Number of Yellow Balls</t>
  </si>
  <si>
    <t>Number of Green Balls</t>
  </si>
  <si>
    <t>Probability of Red Ball</t>
  </si>
  <si>
    <t>Probability of Yellow Ball</t>
  </si>
  <si>
    <t>Probability of Green Ball</t>
  </si>
  <si>
    <t>Coin drawn</t>
  </si>
  <si>
    <t>Coins</t>
  </si>
  <si>
    <t>Value</t>
  </si>
  <si>
    <t>Standard deviation</t>
  </si>
  <si>
    <t>Confidence</t>
  </si>
  <si>
    <t>Simulation</t>
  </si>
  <si>
    <t>Average</t>
  </si>
  <si>
    <t>Coin</t>
  </si>
  <si>
    <t>Probability of Heads:</t>
  </si>
  <si>
    <t>No of Tails:</t>
  </si>
  <si>
    <t>No of Heads:</t>
  </si>
  <si>
    <t>Probability of Tails:</t>
  </si>
  <si>
    <t>Trail</t>
  </si>
  <si>
    <t>Win</t>
  </si>
  <si>
    <t>Coin Toss</t>
  </si>
  <si>
    <t>Simulation of the game</t>
  </si>
  <si>
    <t>Simulation of the toss</t>
  </si>
  <si>
    <t>Probability of a single win (amount &gt; 0 PLN):</t>
  </si>
  <si>
    <t>Probability of a single loss (amount &lt; 0 PLN):</t>
  </si>
  <si>
    <t>Probability of zero outcome</t>
  </si>
  <si>
    <t>Total wins in 500 trials</t>
  </si>
  <si>
    <t>Maximum possible loss in 1 game</t>
  </si>
  <si>
    <t>Maximum winnings possible in 1 game</t>
  </si>
  <si>
    <t>Average outcome</t>
  </si>
  <si>
    <t>Average win</t>
  </si>
  <si>
    <t>Average loss</t>
  </si>
  <si>
    <t>COUNT OF SIMULATIONS</t>
  </si>
  <si>
    <t>Is the game fair?</t>
  </si>
  <si>
    <t>" - It is not. Despite the probability of losing being only around 50%"</t>
  </si>
  <si>
    <t>" Which is fair for the record, the game averages on 7PLN loss"</t>
  </si>
  <si>
    <t>"This tells us, that the game is in fact unfair"</t>
  </si>
  <si>
    <t>" If the game was fair, the outcome of cash would average to around 0PLN"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</si>
</sst>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zcionka tekstu podstawowego"/>
      <family val="2"/>
    </font>
    <font>
      <sz val="11"/>
      <color theme="0"/>
      <name val="Czcionka tekstu podstawowego"/>
      <family val="2"/>
    </font>
    <font>
      <sz val="24"/>
      <color theme="0"/>
      <name val="Czcionka tekstu podstawowego"/>
      <family val="2"/>
    </font>
    <font>
      <b/>
      <sz val="12"/>
      <color theme="1"/>
      <name val="Czcionka tekstu podstawowego"/>
    </font>
    <font>
      <b/>
      <sz val="11"/>
      <color theme="1"/>
      <name val="Czcionka tekstu podstawowego"/>
    </font>
    <font>
      <sz val="10"/>
      <color theme="1"/>
      <name val="Czcionka tekstu podstawowego"/>
      <charset val="238"/>
    </font>
    <font>
      <b/>
      <sz val="24"/>
      <color theme="0"/>
      <name val="Czcionka tekstu podstawowego"/>
      <charset val="238"/>
    </font>
    <font>
      <sz val="11"/>
      <color theme="1"/>
      <name val="Czcionka tekstu podstawowego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rgb="FFC00000"/>
      </left>
      <right style="thin">
        <color indexed="64"/>
      </right>
      <top style="thick">
        <color rgb="FFC00000"/>
      </top>
      <bottom/>
      <diagonal/>
    </border>
    <border>
      <left style="thin">
        <color indexed="64"/>
      </left>
      <right style="thin">
        <color indexed="64"/>
      </right>
      <top style="thick">
        <color rgb="FFC00000"/>
      </top>
      <bottom/>
      <diagonal/>
    </border>
    <border>
      <left style="thin">
        <color indexed="64"/>
      </left>
      <right style="thick">
        <color rgb="FFC00000"/>
      </right>
      <top style="thick">
        <color rgb="FFC00000"/>
      </top>
      <bottom/>
      <diagonal/>
    </border>
    <border>
      <left style="thick">
        <color rgb="FFC00000"/>
      </left>
      <right style="thin">
        <color indexed="64"/>
      </right>
      <top/>
      <bottom/>
      <diagonal/>
    </border>
    <border>
      <left style="thin">
        <color indexed="64"/>
      </left>
      <right style="thick">
        <color rgb="FFC00000"/>
      </right>
      <top/>
      <bottom/>
      <diagonal/>
    </border>
    <border>
      <left style="thick">
        <color rgb="FFC00000"/>
      </left>
      <right style="thin">
        <color indexed="64"/>
      </right>
      <top/>
      <bottom style="thick">
        <color rgb="FFC00000"/>
      </bottom>
      <diagonal/>
    </border>
    <border>
      <left style="thin">
        <color indexed="64"/>
      </left>
      <right style="thin">
        <color indexed="64"/>
      </right>
      <top/>
      <bottom style="thick">
        <color rgb="FFC00000"/>
      </bottom>
      <diagonal/>
    </border>
    <border>
      <left style="thin">
        <color indexed="64"/>
      </left>
      <right style="thick">
        <color rgb="FFC00000"/>
      </right>
      <top/>
      <bottom style="thick">
        <color rgb="FFC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67">
    <xf numFmtId="0" fontId="0" fillId="0" borderId="0" xfId="0"/>
    <xf numFmtId="0" fontId="2" fillId="2" borderId="0" xfId="0" applyFont="1" applyFill="1"/>
    <xf numFmtId="0" fontId="1" fillId="2" borderId="0" xfId="0" applyFont="1" applyFill="1"/>
    <xf numFmtId="0" fontId="0" fillId="0" borderId="0" xfId="0" applyAlignment="1">
      <alignment horizontal="center"/>
    </xf>
    <xf numFmtId="0" fontId="3" fillId="3" borderId="1" xfId="0" applyFont="1" applyFill="1" applyBorder="1"/>
    <xf numFmtId="0" fontId="3" fillId="3" borderId="1" xfId="0" applyFont="1" applyFill="1" applyBorder="1" applyAlignment="1">
      <alignment wrapText="1"/>
    </xf>
    <xf numFmtId="2" fontId="4" fillId="3" borderId="2" xfId="0" applyNumberFormat="1" applyFont="1" applyFill="1" applyBorder="1"/>
    <xf numFmtId="0" fontId="1" fillId="0" borderId="0" xfId="0" applyFont="1"/>
    <xf numFmtId="0" fontId="3" fillId="4" borderId="2" xfId="0" applyFont="1" applyFill="1" applyBorder="1" applyAlignment="1">
      <alignment horizontal="center" wrapText="1"/>
    </xf>
    <xf numFmtId="0" fontId="0" fillId="3" borderId="0" xfId="0" applyFill="1"/>
    <xf numFmtId="2" fontId="0" fillId="5" borderId="1" xfId="0" applyNumberFormat="1" applyFill="1" applyBorder="1" applyAlignment="1">
      <alignment horizontal="center"/>
    </xf>
    <xf numFmtId="0" fontId="4" fillId="5" borderId="3" xfId="0" applyFont="1" applyFill="1" applyBorder="1"/>
    <xf numFmtId="0" fontId="4" fillId="5" borderId="5" xfId="0" applyFont="1" applyFill="1" applyBorder="1"/>
    <xf numFmtId="0" fontId="4" fillId="5" borderId="6" xfId="0" applyFont="1" applyFill="1" applyBorder="1"/>
    <xf numFmtId="0" fontId="0" fillId="3" borderId="3" xfId="0" applyFill="1" applyBorder="1"/>
    <xf numFmtId="0" fontId="0" fillId="0" borderId="7" xfId="0" applyBorder="1"/>
    <xf numFmtId="0" fontId="0" fillId="0" borderId="4" xfId="0" applyBorder="1"/>
    <xf numFmtId="0" fontId="0" fillId="3" borderId="8" xfId="0" applyFill="1" applyBorder="1"/>
    <xf numFmtId="0" fontId="0" fillId="3" borderId="5" xfId="0" applyFill="1" applyBorder="1"/>
    <xf numFmtId="0" fontId="3" fillId="3" borderId="2" xfId="0" applyFont="1" applyFill="1" applyBorder="1" applyAlignment="1">
      <alignment horizontal="right"/>
    </xf>
    <xf numFmtId="0" fontId="3" fillId="4" borderId="2" xfId="0" applyFont="1" applyFill="1" applyBorder="1"/>
    <xf numFmtId="0" fontId="4" fillId="5" borderId="7" xfId="0" applyFont="1" applyFill="1" applyBorder="1"/>
    <xf numFmtId="0" fontId="4" fillId="5" borderId="9" xfId="0" applyFont="1" applyFill="1" applyBorder="1"/>
    <xf numFmtId="0" fontId="0" fillId="0" borderId="11" xfId="0" applyBorder="1"/>
    <xf numFmtId="0" fontId="4" fillId="5" borderId="11" xfId="0" applyFont="1" applyFill="1" applyBorder="1"/>
    <xf numFmtId="0" fontId="4" fillId="5" borderId="1" xfId="0" applyFont="1" applyFill="1" applyBorder="1"/>
    <xf numFmtId="0" fontId="4" fillId="5" borderId="12" xfId="0" applyFont="1" applyFill="1" applyBorder="1"/>
    <xf numFmtId="0" fontId="0" fillId="6" borderId="0" xfId="0" applyFill="1" applyAlignment="1">
      <alignment horizontal="center"/>
    </xf>
    <xf numFmtId="0" fontId="0" fillId="7" borderId="0" xfId="0" applyFill="1"/>
    <xf numFmtId="0" fontId="0" fillId="6" borderId="0" xfId="0" applyFill="1"/>
    <xf numFmtId="0" fontId="0" fillId="0" borderId="2" xfId="0" applyBorder="1"/>
    <xf numFmtId="0" fontId="0" fillId="0" borderId="2" xfId="0" applyBorder="1" applyAlignment="1">
      <alignment horizontal="center"/>
    </xf>
    <xf numFmtId="0" fontId="0" fillId="6" borderId="2" xfId="0" applyFill="1" applyBorder="1"/>
    <xf numFmtId="0" fontId="4" fillId="5" borderId="10" xfId="0" applyFont="1" applyFill="1" applyBorder="1"/>
    <xf numFmtId="0" fontId="5" fillId="8" borderId="2" xfId="0" applyFont="1" applyFill="1" applyBorder="1" applyAlignment="1">
      <alignment horizontal="left"/>
    </xf>
    <xf numFmtId="0" fontId="4" fillId="5" borderId="2" xfId="0" applyFont="1" applyFill="1" applyBorder="1"/>
    <xf numFmtId="0" fontId="6" fillId="2" borderId="0" xfId="0" applyFont="1" applyFill="1"/>
    <xf numFmtId="2" fontId="4" fillId="0" borderId="1" xfId="0" applyNumberFormat="1" applyFont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3" fillId="4" borderId="11" xfId="0" applyFont="1" applyFill="1" applyBorder="1" applyAlignment="1">
      <alignment horizontal="center" wrapText="1"/>
    </xf>
    <xf numFmtId="2" fontId="4" fillId="3" borderId="12" xfId="0" applyNumberFormat="1" applyFont="1" applyFill="1" applyBorder="1"/>
    <xf numFmtId="2" fontId="0" fillId="5" borderId="13" xfId="0" applyNumberFormat="1" applyFill="1" applyBorder="1" applyAlignment="1">
      <alignment horizontal="center"/>
    </xf>
    <xf numFmtId="2" fontId="0" fillId="5" borderId="14" xfId="0" applyNumberFormat="1" applyFill="1" applyBorder="1" applyAlignment="1">
      <alignment horizontal="center"/>
    </xf>
    <xf numFmtId="2" fontId="4" fillId="5" borderId="15" xfId="0" applyNumberFormat="1" applyFont="1" applyFill="1" applyBorder="1" applyAlignment="1">
      <alignment horizontal="center"/>
    </xf>
    <xf numFmtId="2" fontId="0" fillId="5" borderId="16" xfId="0" applyNumberFormat="1" applyFill="1" applyBorder="1" applyAlignment="1">
      <alignment horizontal="center"/>
    </xf>
    <xf numFmtId="2" fontId="4" fillId="5" borderId="17" xfId="0" applyNumberFormat="1" applyFont="1" applyFill="1" applyBorder="1" applyAlignment="1">
      <alignment horizontal="center"/>
    </xf>
    <xf numFmtId="2" fontId="0" fillId="5" borderId="18" xfId="0" applyNumberFormat="1" applyFill="1" applyBorder="1" applyAlignment="1">
      <alignment horizontal="center"/>
    </xf>
    <xf numFmtId="2" fontId="0" fillId="5" borderId="19" xfId="0" applyNumberFormat="1" applyFill="1" applyBorder="1" applyAlignment="1">
      <alignment horizontal="center"/>
    </xf>
    <xf numFmtId="2" fontId="4" fillId="5" borderId="20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1" fontId="4" fillId="5" borderId="15" xfId="0" applyNumberFormat="1" applyFont="1" applyFill="1" applyBorder="1" applyAlignment="1">
      <alignment horizontal="center"/>
    </xf>
    <xf numFmtId="1" fontId="4" fillId="5" borderId="17" xfId="0" applyNumberFormat="1" applyFont="1" applyFill="1" applyBorder="1" applyAlignment="1">
      <alignment horizontal="center"/>
    </xf>
    <xf numFmtId="1" fontId="4" fillId="5" borderId="20" xfId="0" applyNumberFormat="1" applyFont="1" applyFill="1" applyBorder="1" applyAlignment="1">
      <alignment horizontal="center"/>
    </xf>
    <xf numFmtId="0" fontId="4" fillId="8" borderId="21" xfId="0" applyFont="1" applyFill="1" applyBorder="1"/>
    <xf numFmtId="0" fontId="4" fillId="8" borderId="22" xfId="0" applyFont="1" applyFill="1" applyBorder="1"/>
    <xf numFmtId="0" fontId="4" fillId="8" borderId="10" xfId="0" applyFont="1" applyFill="1" applyBorder="1"/>
    <xf numFmtId="9" fontId="4" fillId="5" borderId="2" xfId="1" applyFont="1" applyFill="1" applyBorder="1"/>
    <xf numFmtId="2" fontId="4" fillId="5" borderId="2" xfId="0" applyNumberFormat="1" applyFont="1" applyFill="1" applyBorder="1"/>
    <xf numFmtId="9" fontId="4" fillId="5" borderId="10" xfId="1" applyFont="1" applyFill="1" applyBorder="1"/>
    <xf numFmtId="9" fontId="4" fillId="5" borderId="6" xfId="1" applyFont="1" applyFill="1" applyBorder="1"/>
    <xf numFmtId="2" fontId="4" fillId="5" borderId="10" xfId="0" applyNumberFormat="1" applyFont="1" applyFill="1" applyBorder="1"/>
    <xf numFmtId="0" fontId="4" fillId="0" borderId="0" xfId="0" applyFont="1"/>
    <xf numFmtId="0" fontId="4" fillId="0" borderId="2" xfId="0" applyFont="1" applyBorder="1" applyAlignment="1">
      <alignment horizontal="center"/>
    </xf>
    <xf numFmtId="0" fontId="4" fillId="8" borderId="21" xfId="0" applyFont="1" applyFill="1" applyBorder="1" applyAlignment="1">
      <alignment horizontal="left"/>
    </xf>
    <xf numFmtId="0" fontId="4" fillId="8" borderId="22" xfId="0" applyFont="1" applyFill="1" applyBorder="1" applyAlignment="1">
      <alignment horizontal="left"/>
    </xf>
    <xf numFmtId="0" fontId="4" fillId="8" borderId="10" xfId="0" applyFont="1" applyFill="1" applyBorder="1" applyAlignment="1">
      <alignment horizontal="left"/>
    </xf>
    <xf numFmtId="0" fontId="4" fillId="8" borderId="2" xfId="0" applyFont="1" applyFill="1" applyBorder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396875</xdr:colOff>
      <xdr:row>0</xdr:row>
      <xdr:rowOff>73025</xdr:rowOff>
    </xdr:from>
    <xdr:to>
      <xdr:col>16</xdr:col>
      <xdr:colOff>412461</xdr:colOff>
      <xdr:row>10</xdr:row>
      <xdr:rowOff>82550</xdr:rowOff>
    </xdr:to>
    <xdr:pic>
      <xdr:nvPicPr>
        <xdr:cNvPr id="236583" name="Picture 2">
          <a:extLst>
            <a:ext uri="{FF2B5EF4-FFF2-40B4-BE49-F238E27FC236}">
              <a16:creationId xmlns:a16="http://schemas.microsoft.com/office/drawing/2014/main" id="{00000000-0008-0000-0100-0000279C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09275" y="73025"/>
          <a:ext cx="3977986" cy="2244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1006477</xdr:colOff>
      <xdr:row>7</xdr:row>
      <xdr:rowOff>107950</xdr:rowOff>
    </xdr:from>
    <xdr:to>
      <xdr:col>3</xdr:col>
      <xdr:colOff>958851</xdr:colOff>
      <xdr:row>12</xdr:row>
      <xdr:rowOff>38100</xdr:rowOff>
    </xdr:to>
    <xdr:sp macro="" textlink="">
      <xdr:nvSpPr>
        <xdr:cNvPr id="6" name="pole tekstow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1965327" y="1809750"/>
          <a:ext cx="1952624" cy="819150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12700" cmpd="sng">
          <a:solidFill>
            <a:schemeClr val="accent3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l-PL" sz="1800" b="1"/>
            <a:t>                    </a:t>
          </a:r>
          <a:r>
            <a:rPr lang="pl-PL" sz="1200" b="1"/>
            <a:t>D4=C4+B4</a:t>
          </a:r>
        </a:p>
        <a:p>
          <a:r>
            <a:rPr lang="pl-PL" sz="1200" b="1"/>
            <a:t>C5=D4	</a:t>
          </a:r>
          <a:r>
            <a:rPr lang="pl-PL" sz="1200" b="1" baseline="0"/>
            <a:t>   D5=C5+B5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l-PL" sz="1200" b="1">
              <a:solidFill>
                <a:schemeClr val="dk1"/>
              </a:solidFill>
              <a:latin typeface="+mn-lt"/>
              <a:ea typeface="+mn-ea"/>
              <a:cs typeface="+mn-cs"/>
            </a:rPr>
            <a:t>C6=D5	</a:t>
          </a:r>
          <a:r>
            <a:rPr lang="pl-PL" sz="12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  D6=C6+B6</a:t>
          </a:r>
          <a:endParaRPr lang="pl-PL" sz="12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pl-PL" sz="1800" b="1"/>
        </a:p>
      </xdr:txBody>
    </xdr:sp>
    <xdr:clientData/>
  </xdr:twoCellAnchor>
  <xdr:twoCellAnchor>
    <xdr:from>
      <xdr:col>10</xdr:col>
      <xdr:colOff>438150</xdr:colOff>
      <xdr:row>11</xdr:row>
      <xdr:rowOff>104775</xdr:rowOff>
    </xdr:from>
    <xdr:to>
      <xdr:col>16</xdr:col>
      <xdr:colOff>234950</xdr:colOff>
      <xdr:row>15</xdr:row>
      <xdr:rowOff>9525</xdr:rowOff>
    </xdr:to>
    <xdr:sp macro="" textlink="">
      <xdr:nvSpPr>
        <xdr:cNvPr id="7" name="pole tekstowe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10750550" y="2517775"/>
          <a:ext cx="3759200" cy="615950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12700" cmpd="sng">
          <a:solidFill>
            <a:schemeClr val="accent3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l-PL" sz="1800" b="1"/>
            <a:t>J4=VLOOKUP(H4;$C$4:$E$6;3;TRUE)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9527</xdr:colOff>
      <xdr:row>7</xdr:row>
      <xdr:rowOff>171451</xdr:rowOff>
    </xdr:from>
    <xdr:to>
      <xdr:col>4</xdr:col>
      <xdr:colOff>1</xdr:colOff>
      <xdr:row>12</xdr:row>
      <xdr:rowOff>165100</xdr:rowOff>
    </xdr:to>
    <xdr:sp macro="" textlink="">
      <xdr:nvSpPr>
        <xdr:cNvPr id="6" name="pole tekstow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/>
      </xdr:nvSpPr>
      <xdr:spPr>
        <a:xfrm>
          <a:off x="2378077" y="1911351"/>
          <a:ext cx="2003424" cy="882649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12700" cmpd="sng">
          <a:solidFill>
            <a:schemeClr val="accent3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l-PL" sz="1800" b="1"/>
            <a:t>                    </a:t>
          </a:r>
          <a:r>
            <a:rPr lang="pl-PL" sz="1400" b="1"/>
            <a:t>D4=C4+B4</a:t>
          </a:r>
        </a:p>
        <a:p>
          <a:r>
            <a:rPr lang="pl-PL" sz="1400" b="1"/>
            <a:t>C5=D4	</a:t>
          </a:r>
          <a:r>
            <a:rPr lang="pl-PL" sz="1400" b="1" baseline="0"/>
            <a:t>   D5=C5+B5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l-PL" sz="1400" b="1">
              <a:solidFill>
                <a:schemeClr val="dk1"/>
              </a:solidFill>
              <a:latin typeface="+mn-lt"/>
              <a:ea typeface="+mn-ea"/>
              <a:cs typeface="+mn-cs"/>
            </a:rPr>
            <a:t>C6=D5	</a:t>
          </a:r>
          <a:r>
            <a:rPr lang="pl-PL" sz="14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  D6=C6+B6</a:t>
          </a:r>
          <a:endParaRPr lang="pl-PL" sz="14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pl-PL" sz="1800" b="1"/>
        </a:p>
      </xdr:txBody>
    </xdr:sp>
    <xdr:clientData/>
  </xdr:twoCellAnchor>
  <xdr:twoCellAnchor>
    <xdr:from>
      <xdr:col>9</xdr:col>
      <xdr:colOff>196850</xdr:colOff>
      <xdr:row>1</xdr:row>
      <xdr:rowOff>142875</xdr:rowOff>
    </xdr:from>
    <xdr:to>
      <xdr:col>16</xdr:col>
      <xdr:colOff>3175</xdr:colOff>
      <xdr:row>3</xdr:row>
      <xdr:rowOff>187325</xdr:rowOff>
    </xdr:to>
    <xdr:sp macro="" textlink="">
      <xdr:nvSpPr>
        <xdr:cNvPr id="7" name="pole tekstowe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 txBox="1"/>
      </xdr:nvSpPr>
      <xdr:spPr>
        <a:xfrm>
          <a:off x="8953500" y="523875"/>
          <a:ext cx="4905375" cy="615950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12700" cmpd="sng">
          <a:solidFill>
            <a:schemeClr val="accent3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l-PL" sz="1800" b="1"/>
            <a:t>I4=VLOOKUP(H4;$C$4:$E$6;3;FALSE)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142876</xdr:colOff>
      <xdr:row>9</xdr:row>
      <xdr:rowOff>123825</xdr:rowOff>
    </xdr:from>
    <xdr:to>
      <xdr:col>2</xdr:col>
      <xdr:colOff>828675</xdr:colOff>
      <xdr:row>11</xdr:row>
      <xdr:rowOff>146611</xdr:rowOff>
    </xdr:to>
    <xdr:cxnSp macro="">
      <xdr:nvCxnSpPr>
        <xdr:cNvPr id="5" name="Łącznik prosty ze strzałką 5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CxnSpPr/>
      </xdr:nvCxnSpPr>
      <xdr:spPr>
        <a:xfrm flipH="1">
          <a:off x="2019301" y="2381250"/>
          <a:ext cx="685799" cy="603811"/>
        </a:xfrm>
        <a:prstGeom prst="straightConnector1">
          <a:avLst/>
        </a:prstGeom>
        <a:ln w="19050"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229870</xdr:colOff>
      <xdr:row>2</xdr:row>
      <xdr:rowOff>113030</xdr:rowOff>
    </xdr:from>
    <xdr:to>
      <xdr:col>13</xdr:col>
      <xdr:colOff>149860</xdr:colOff>
      <xdr:row>10</xdr:row>
      <xdr:rowOff>76200</xdr:rowOff>
    </xdr:to>
    <xdr:sp macro="" textlink="">
      <xdr:nvSpPr>
        <xdr:cNvPr id="6" name="pole tekstowe 5">
          <a:extLst>
            <a:ext uri="{FF2B5EF4-FFF2-40B4-BE49-F238E27FC236}">
              <a16:creationId xmlns:a16="http://schemas.microsoft.com/office/drawing/2014/main" id="{623EB24D-6AB9-42F0-9721-BE1DAF5229F2}"/>
            </a:ext>
          </a:extLst>
        </xdr:cNvPr>
        <xdr:cNvSpPr txBox="1"/>
      </xdr:nvSpPr>
      <xdr:spPr>
        <a:xfrm>
          <a:off x="4679950" y="875030"/>
          <a:ext cx="6358890" cy="15862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l-PL" sz="1600"/>
            <a:t>We toss a coin three times (one game = three throws). </a:t>
          </a:r>
        </a:p>
        <a:p>
          <a:r>
            <a:rPr lang="pl-PL" sz="1600"/>
            <a:t>Toss no. 1: if you throw a Tails you get 10 PLN, otherwise 0 PLN</a:t>
          </a:r>
          <a:endParaRPr lang="pl-PL" sz="1600" baseline="0"/>
        </a:p>
        <a:p>
          <a:r>
            <a:rPr lang="pl-PL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Toss no. 2: if you throw a Tails you get 10 PLN, otherwise 0 PLN</a:t>
          </a:r>
          <a:endParaRPr lang="en-US" sz="1600">
            <a:effectLst/>
          </a:endParaRPr>
        </a:p>
        <a:p>
          <a:r>
            <a:rPr lang="pl-PL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Toss no. 3: if you throw a Tails you get 10 PLN, otherwise -50 PLN</a:t>
          </a:r>
          <a:endParaRPr lang="en-US" sz="1600">
            <a:effectLst/>
          </a:endParaRPr>
        </a:p>
        <a:p>
          <a:endParaRPr lang="pl-PL" sz="1600" baseline="0"/>
        </a:p>
        <a:p>
          <a:r>
            <a:rPr lang="pl-PL" sz="1600" baseline="0"/>
            <a:t>The payoffs is the sum from three consecutive throws.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5"/>
  <sheetViews>
    <sheetView tabSelected="1" workbookViewId="0">
      <selection activeCell="E5" sqref="E5"/>
    </sheetView>
  </sheetViews>
  <sheetFormatPr defaultRowHeight="13.8"/>
  <cols>
    <col min="1" max="1" width="6.59765625" customWidth="1"/>
    <col min="2" max="2" width="18" customWidth="1"/>
    <col min="3" max="3" width="15.59765625" customWidth="1"/>
    <col min="4" max="4" width="18.19921875" customWidth="1"/>
    <col min="5" max="5" width="7.59765625" customWidth="1"/>
    <col min="6" max="6" width="17.59765625" customWidth="1"/>
    <col min="10" max="10" width="14" customWidth="1"/>
  </cols>
  <sheetData>
    <row r="1" spans="1:6" ht="30">
      <c r="A1" s="36" t="s">
        <v>1</v>
      </c>
      <c r="B1" s="2"/>
      <c r="C1" s="2"/>
      <c r="D1" s="7"/>
      <c r="E1" s="7"/>
      <c r="F1" s="7"/>
    </row>
    <row r="2" spans="1:6" ht="30">
      <c r="A2" s="1"/>
      <c r="B2" s="2"/>
      <c r="C2" s="2"/>
      <c r="D2" s="7"/>
      <c r="E2" s="7"/>
      <c r="F2" s="7"/>
    </row>
    <row r="5" spans="1:6" ht="15.6">
      <c r="A5" s="8" t="s">
        <v>2</v>
      </c>
      <c r="B5" s="8" t="s">
        <v>3</v>
      </c>
      <c r="C5" s="8" t="s">
        <v>4</v>
      </c>
    </row>
    <row r="6" spans="1:6">
      <c r="A6" s="9">
        <v>1</v>
      </c>
      <c r="B6">
        <f ca="1">RAND()</f>
        <v>0.24301647921898484</v>
      </c>
      <c r="C6" s="3">
        <f ca="1">IF(B6&lt;=0.5,0,1)</f>
        <v>0</v>
      </c>
    </row>
    <row r="7" spans="1:6">
      <c r="A7" s="9">
        <v>2</v>
      </c>
      <c r="B7">
        <f t="shared" ref="B7:B70" ca="1" si="0">RAND()</f>
        <v>0.52418061008131067</v>
      </c>
      <c r="C7" s="3">
        <f t="shared" ref="C7:C70" ca="1" si="1">IF(B7&lt;=0.5,0,1)</f>
        <v>1</v>
      </c>
    </row>
    <row r="8" spans="1:6">
      <c r="A8" s="9">
        <v>3</v>
      </c>
      <c r="B8">
        <f t="shared" ca="1" si="0"/>
        <v>0.50805877542533384</v>
      </c>
      <c r="C8" s="3">
        <f t="shared" ca="1" si="1"/>
        <v>1</v>
      </c>
    </row>
    <row r="9" spans="1:6">
      <c r="A9" s="9">
        <v>4</v>
      </c>
      <c r="B9">
        <f t="shared" ca="1" si="0"/>
        <v>0.98127354962853353</v>
      </c>
      <c r="C9" s="3">
        <f t="shared" ca="1" si="1"/>
        <v>1</v>
      </c>
      <c r="D9" s="3"/>
    </row>
    <row r="10" spans="1:6">
      <c r="A10" s="9">
        <v>5</v>
      </c>
      <c r="B10">
        <f t="shared" ca="1" si="0"/>
        <v>0.1220018020934075</v>
      </c>
      <c r="C10" s="3">
        <f t="shared" ca="1" si="1"/>
        <v>0</v>
      </c>
    </row>
    <row r="11" spans="1:6">
      <c r="A11" s="9">
        <v>6</v>
      </c>
      <c r="B11">
        <f t="shared" ca="1" si="0"/>
        <v>0.75221048711092298</v>
      </c>
      <c r="C11" s="3">
        <f t="shared" ca="1" si="1"/>
        <v>1</v>
      </c>
      <c r="D11" s="11" t="s">
        <v>5</v>
      </c>
      <c r="E11" s="35">
        <f ca="1">SUM(C6:C105)</f>
        <v>45</v>
      </c>
    </row>
    <row r="12" spans="1:6">
      <c r="A12" s="9">
        <v>7</v>
      </c>
      <c r="B12">
        <f t="shared" ca="1" si="0"/>
        <v>0.95576628270584374</v>
      </c>
      <c r="C12" s="3">
        <f t="shared" ca="1" si="1"/>
        <v>1</v>
      </c>
      <c r="D12" s="11" t="s">
        <v>6</v>
      </c>
      <c r="E12" s="35">
        <f ca="1">COUNTIF(C6:C105,0)</f>
        <v>55</v>
      </c>
    </row>
    <row r="13" spans="1:6">
      <c r="A13" s="9">
        <v>8</v>
      </c>
      <c r="B13">
        <f t="shared" ca="1" si="0"/>
        <v>0.83723903286377577</v>
      </c>
      <c r="C13" s="3">
        <f t="shared" ca="1" si="1"/>
        <v>1</v>
      </c>
    </row>
    <row r="14" spans="1:6">
      <c r="A14" s="9">
        <v>9</v>
      </c>
      <c r="B14">
        <f t="shared" ca="1" si="0"/>
        <v>0.73480492026347566</v>
      </c>
      <c r="C14" s="3">
        <f t="shared" ca="1" si="1"/>
        <v>1</v>
      </c>
    </row>
    <row r="15" spans="1:6">
      <c r="A15" s="9">
        <v>10</v>
      </c>
      <c r="B15">
        <f t="shared" ca="1" si="0"/>
        <v>0.23717658766614558</v>
      </c>
      <c r="C15" s="3">
        <f t="shared" ca="1" si="1"/>
        <v>0</v>
      </c>
      <c r="D15" s="11" t="s">
        <v>7</v>
      </c>
      <c r="E15" s="56">
        <f ca="1">E11/(SUM(E11:E12))</f>
        <v>0.45</v>
      </c>
    </row>
    <row r="16" spans="1:6">
      <c r="A16" s="9">
        <v>11</v>
      </c>
      <c r="B16">
        <f t="shared" ca="1" si="0"/>
        <v>0.32927957359730942</v>
      </c>
      <c r="C16" s="3">
        <f t="shared" ca="1" si="1"/>
        <v>0</v>
      </c>
      <c r="D16" s="12" t="s">
        <v>8</v>
      </c>
      <c r="E16" s="56">
        <f ca="1">E12/(SUM(E11:E12))</f>
        <v>0.55000000000000004</v>
      </c>
    </row>
    <row r="17" spans="1:3">
      <c r="A17" s="9">
        <v>12</v>
      </c>
      <c r="B17">
        <f t="shared" ca="1" si="0"/>
        <v>0.73134889852187979</v>
      </c>
      <c r="C17" s="3">
        <f t="shared" ca="1" si="1"/>
        <v>1</v>
      </c>
    </row>
    <row r="18" spans="1:3">
      <c r="A18" s="9">
        <v>13</v>
      </c>
      <c r="B18">
        <f t="shared" ca="1" si="0"/>
        <v>9.6180420240775666E-2</v>
      </c>
      <c r="C18" s="3">
        <f t="shared" ca="1" si="1"/>
        <v>0</v>
      </c>
    </row>
    <row r="19" spans="1:3">
      <c r="A19" s="9">
        <v>14</v>
      </c>
      <c r="B19">
        <f t="shared" ca="1" si="0"/>
        <v>0.61876993208942244</v>
      </c>
      <c r="C19" s="3">
        <f t="shared" ca="1" si="1"/>
        <v>1</v>
      </c>
    </row>
    <row r="20" spans="1:3">
      <c r="A20" s="9">
        <v>15</v>
      </c>
      <c r="B20">
        <f t="shared" ca="1" si="0"/>
        <v>0.96544985623878055</v>
      </c>
      <c r="C20" s="3">
        <f t="shared" ca="1" si="1"/>
        <v>1</v>
      </c>
    </row>
    <row r="21" spans="1:3">
      <c r="A21" s="9">
        <v>16</v>
      </c>
      <c r="B21">
        <f t="shared" ca="1" si="0"/>
        <v>0.63175837912762045</v>
      </c>
      <c r="C21" s="3">
        <f t="shared" ca="1" si="1"/>
        <v>1</v>
      </c>
    </row>
    <row r="22" spans="1:3">
      <c r="A22" s="9">
        <v>17</v>
      </c>
      <c r="B22">
        <f t="shared" ca="1" si="0"/>
        <v>0.9980915074561284</v>
      </c>
      <c r="C22" s="3">
        <f t="shared" ca="1" si="1"/>
        <v>1</v>
      </c>
    </row>
    <row r="23" spans="1:3">
      <c r="A23" s="9">
        <v>18</v>
      </c>
      <c r="B23">
        <f t="shared" ca="1" si="0"/>
        <v>0.93504089552974778</v>
      </c>
      <c r="C23" s="3">
        <f t="shared" ca="1" si="1"/>
        <v>1</v>
      </c>
    </row>
    <row r="24" spans="1:3">
      <c r="A24" s="9">
        <v>19</v>
      </c>
      <c r="B24">
        <f t="shared" ca="1" si="0"/>
        <v>0.45361716106523431</v>
      </c>
      <c r="C24" s="3">
        <f t="shared" ca="1" si="1"/>
        <v>0</v>
      </c>
    </row>
    <row r="25" spans="1:3">
      <c r="A25" s="9">
        <v>20</v>
      </c>
      <c r="B25">
        <f t="shared" ca="1" si="0"/>
        <v>0.37344358955136403</v>
      </c>
      <c r="C25" s="3">
        <f t="shared" ca="1" si="1"/>
        <v>0</v>
      </c>
    </row>
    <row r="26" spans="1:3">
      <c r="A26" s="9">
        <v>21</v>
      </c>
      <c r="B26">
        <f t="shared" ca="1" si="0"/>
        <v>0.16001258047724298</v>
      </c>
      <c r="C26" s="3">
        <f t="shared" ca="1" si="1"/>
        <v>0</v>
      </c>
    </row>
    <row r="27" spans="1:3">
      <c r="A27" s="9">
        <v>22</v>
      </c>
      <c r="B27">
        <f t="shared" ca="1" si="0"/>
        <v>0.72407760519538866</v>
      </c>
      <c r="C27" s="3">
        <f t="shared" ca="1" si="1"/>
        <v>1</v>
      </c>
    </row>
    <row r="28" spans="1:3">
      <c r="A28" s="9">
        <v>23</v>
      </c>
      <c r="B28">
        <f t="shared" ca="1" si="0"/>
        <v>0.50211692642371952</v>
      </c>
      <c r="C28" s="3">
        <f t="shared" ca="1" si="1"/>
        <v>1</v>
      </c>
    </row>
    <row r="29" spans="1:3">
      <c r="A29" s="9">
        <v>24</v>
      </c>
      <c r="B29">
        <f t="shared" ca="1" si="0"/>
        <v>0.48924621770090182</v>
      </c>
      <c r="C29" s="3">
        <f t="shared" ca="1" si="1"/>
        <v>0</v>
      </c>
    </row>
    <row r="30" spans="1:3">
      <c r="A30" s="9">
        <v>25</v>
      </c>
      <c r="B30">
        <f t="shared" ca="1" si="0"/>
        <v>0.82718948755863253</v>
      </c>
      <c r="C30" s="3">
        <f t="shared" ca="1" si="1"/>
        <v>1</v>
      </c>
    </row>
    <row r="31" spans="1:3">
      <c r="A31" s="9">
        <v>26</v>
      </c>
      <c r="B31">
        <f t="shared" ca="1" si="0"/>
        <v>0.10045794301297462</v>
      </c>
      <c r="C31" s="3">
        <f t="shared" ca="1" si="1"/>
        <v>0</v>
      </c>
    </row>
    <row r="32" spans="1:3">
      <c r="A32" s="9">
        <v>27</v>
      </c>
      <c r="B32">
        <f t="shared" ca="1" si="0"/>
        <v>7.0706952795399181E-2</v>
      </c>
      <c r="C32" s="3">
        <f t="shared" ca="1" si="1"/>
        <v>0</v>
      </c>
    </row>
    <row r="33" spans="1:3">
      <c r="A33" s="9">
        <v>28</v>
      </c>
      <c r="B33">
        <f t="shared" ca="1" si="0"/>
        <v>0.45835651290491575</v>
      </c>
      <c r="C33" s="3">
        <f t="shared" ca="1" si="1"/>
        <v>0</v>
      </c>
    </row>
    <row r="34" spans="1:3">
      <c r="A34" s="9">
        <v>29</v>
      </c>
      <c r="B34">
        <f t="shared" ca="1" si="0"/>
        <v>0.60760566175765984</v>
      </c>
      <c r="C34" s="3">
        <f t="shared" ca="1" si="1"/>
        <v>1</v>
      </c>
    </row>
    <row r="35" spans="1:3">
      <c r="A35" s="9">
        <v>30</v>
      </c>
      <c r="B35">
        <f t="shared" ca="1" si="0"/>
        <v>0.4121594981214397</v>
      </c>
      <c r="C35" s="3">
        <f t="shared" ca="1" si="1"/>
        <v>0</v>
      </c>
    </row>
    <row r="36" spans="1:3">
      <c r="A36" s="9">
        <v>31</v>
      </c>
      <c r="B36">
        <f t="shared" ca="1" si="0"/>
        <v>0.80288506108814062</v>
      </c>
      <c r="C36" s="3">
        <f t="shared" ca="1" si="1"/>
        <v>1</v>
      </c>
    </row>
    <row r="37" spans="1:3">
      <c r="A37" s="9">
        <v>32</v>
      </c>
      <c r="B37">
        <f t="shared" ca="1" si="0"/>
        <v>0.44261302134863878</v>
      </c>
      <c r="C37" s="3">
        <f t="shared" ca="1" si="1"/>
        <v>0</v>
      </c>
    </row>
    <row r="38" spans="1:3">
      <c r="A38" s="9">
        <v>33</v>
      </c>
      <c r="B38">
        <f t="shared" ca="1" si="0"/>
        <v>0.25524868972112702</v>
      </c>
      <c r="C38" s="3">
        <f t="shared" ca="1" si="1"/>
        <v>0</v>
      </c>
    </row>
    <row r="39" spans="1:3">
      <c r="A39" s="9">
        <v>34</v>
      </c>
      <c r="B39">
        <f t="shared" ca="1" si="0"/>
        <v>0.96094315579403555</v>
      </c>
      <c r="C39" s="3">
        <f t="shared" ca="1" si="1"/>
        <v>1</v>
      </c>
    </row>
    <row r="40" spans="1:3">
      <c r="A40" s="9">
        <v>35</v>
      </c>
      <c r="B40">
        <f t="shared" ca="1" si="0"/>
        <v>0.82754156356864739</v>
      </c>
      <c r="C40" s="3">
        <f t="shared" ca="1" si="1"/>
        <v>1</v>
      </c>
    </row>
    <row r="41" spans="1:3">
      <c r="A41" s="9">
        <v>36</v>
      </c>
      <c r="B41">
        <f t="shared" ca="1" si="0"/>
        <v>0.46794456956967112</v>
      </c>
      <c r="C41" s="3">
        <f t="shared" ca="1" si="1"/>
        <v>0</v>
      </c>
    </row>
    <row r="42" spans="1:3">
      <c r="A42" s="9">
        <v>37</v>
      </c>
      <c r="B42">
        <f t="shared" ca="1" si="0"/>
        <v>8.731922417156035E-3</v>
      </c>
      <c r="C42" s="3">
        <f t="shared" ca="1" si="1"/>
        <v>0</v>
      </c>
    </row>
    <row r="43" spans="1:3">
      <c r="A43" s="9">
        <v>38</v>
      </c>
      <c r="B43">
        <f t="shared" ca="1" si="0"/>
        <v>0.35932299390656564</v>
      </c>
      <c r="C43" s="3">
        <f t="shared" ca="1" si="1"/>
        <v>0</v>
      </c>
    </row>
    <row r="44" spans="1:3">
      <c r="A44" s="9">
        <v>39</v>
      </c>
      <c r="B44">
        <f t="shared" ca="1" si="0"/>
        <v>0.7821185853187177</v>
      </c>
      <c r="C44" s="3">
        <f t="shared" ca="1" si="1"/>
        <v>1</v>
      </c>
    </row>
    <row r="45" spans="1:3">
      <c r="A45" s="9">
        <v>40</v>
      </c>
      <c r="B45">
        <f t="shared" ca="1" si="0"/>
        <v>0.2532959057673797</v>
      </c>
      <c r="C45" s="3">
        <f t="shared" ca="1" si="1"/>
        <v>0</v>
      </c>
    </row>
    <row r="46" spans="1:3">
      <c r="A46" s="9">
        <v>41</v>
      </c>
      <c r="B46">
        <f t="shared" ca="1" si="0"/>
        <v>0.51487243735943555</v>
      </c>
      <c r="C46" s="3">
        <f t="shared" ca="1" si="1"/>
        <v>1</v>
      </c>
    </row>
    <row r="47" spans="1:3">
      <c r="A47" s="9">
        <v>42</v>
      </c>
      <c r="B47">
        <f t="shared" ca="1" si="0"/>
        <v>4.8501486027389462E-2</v>
      </c>
      <c r="C47" s="3">
        <f t="shared" ca="1" si="1"/>
        <v>0</v>
      </c>
    </row>
    <row r="48" spans="1:3">
      <c r="A48" s="9">
        <v>43</v>
      </c>
      <c r="B48">
        <f t="shared" ca="1" si="0"/>
        <v>0.21106941025520976</v>
      </c>
      <c r="C48" s="3">
        <f t="shared" ca="1" si="1"/>
        <v>0</v>
      </c>
    </row>
    <row r="49" spans="1:3">
      <c r="A49" s="9">
        <v>44</v>
      </c>
      <c r="B49">
        <f t="shared" ca="1" si="0"/>
        <v>0.17517786521793932</v>
      </c>
      <c r="C49" s="3">
        <f t="shared" ca="1" si="1"/>
        <v>0</v>
      </c>
    </row>
    <row r="50" spans="1:3">
      <c r="A50" s="9">
        <v>45</v>
      </c>
      <c r="B50">
        <f t="shared" ca="1" si="0"/>
        <v>0.20185450727540466</v>
      </c>
      <c r="C50" s="3">
        <f t="shared" ca="1" si="1"/>
        <v>0</v>
      </c>
    </row>
    <row r="51" spans="1:3">
      <c r="A51" s="9">
        <v>46</v>
      </c>
      <c r="B51">
        <f t="shared" ca="1" si="0"/>
        <v>0.36901171441082303</v>
      </c>
      <c r="C51" s="3">
        <f t="shared" ca="1" si="1"/>
        <v>0</v>
      </c>
    </row>
    <row r="52" spans="1:3">
      <c r="A52" s="9">
        <v>47</v>
      </c>
      <c r="B52">
        <f t="shared" ca="1" si="0"/>
        <v>0.40558827695652544</v>
      </c>
      <c r="C52" s="3">
        <f t="shared" ca="1" si="1"/>
        <v>0</v>
      </c>
    </row>
    <row r="53" spans="1:3">
      <c r="A53" s="9">
        <v>48</v>
      </c>
      <c r="B53">
        <f t="shared" ca="1" si="0"/>
        <v>0.10494977862608024</v>
      </c>
      <c r="C53" s="3">
        <f t="shared" ca="1" si="1"/>
        <v>0</v>
      </c>
    </row>
    <row r="54" spans="1:3">
      <c r="A54" s="9">
        <v>49</v>
      </c>
      <c r="B54">
        <f t="shared" ca="1" si="0"/>
        <v>0.10534404312269618</v>
      </c>
      <c r="C54" s="3">
        <f t="shared" ca="1" si="1"/>
        <v>0</v>
      </c>
    </row>
    <row r="55" spans="1:3">
      <c r="A55" s="9">
        <v>50</v>
      </c>
      <c r="B55">
        <f t="shared" ca="1" si="0"/>
        <v>0.14561339634609471</v>
      </c>
      <c r="C55" s="3">
        <f t="shared" ca="1" si="1"/>
        <v>0</v>
      </c>
    </row>
    <row r="56" spans="1:3">
      <c r="A56" s="9">
        <v>51</v>
      </c>
      <c r="B56">
        <f t="shared" ca="1" si="0"/>
        <v>0.9828357269848168</v>
      </c>
      <c r="C56" s="3">
        <f t="shared" ca="1" si="1"/>
        <v>1</v>
      </c>
    </row>
    <row r="57" spans="1:3">
      <c r="A57" s="9">
        <v>52</v>
      </c>
      <c r="B57">
        <f t="shared" ca="1" si="0"/>
        <v>0.72911262410633304</v>
      </c>
      <c r="C57" s="3">
        <f t="shared" ca="1" si="1"/>
        <v>1</v>
      </c>
    </row>
    <row r="58" spans="1:3">
      <c r="A58" s="9">
        <v>53</v>
      </c>
      <c r="B58">
        <f t="shared" ca="1" si="0"/>
        <v>0.52135743041182148</v>
      </c>
      <c r="C58" s="3">
        <f t="shared" ca="1" si="1"/>
        <v>1</v>
      </c>
    </row>
    <row r="59" spans="1:3">
      <c r="A59" s="9">
        <v>54</v>
      </c>
      <c r="B59">
        <f t="shared" ca="1" si="0"/>
        <v>0.79280151109360697</v>
      </c>
      <c r="C59" s="3">
        <f t="shared" ca="1" si="1"/>
        <v>1</v>
      </c>
    </row>
    <row r="60" spans="1:3">
      <c r="A60" s="9">
        <v>55</v>
      </c>
      <c r="B60">
        <f t="shared" ca="1" si="0"/>
        <v>3.3151545462822618E-2</v>
      </c>
      <c r="C60" s="3">
        <f t="shared" ca="1" si="1"/>
        <v>0</v>
      </c>
    </row>
    <row r="61" spans="1:3">
      <c r="A61" s="9">
        <v>56</v>
      </c>
      <c r="B61">
        <f t="shared" ca="1" si="0"/>
        <v>0.71908695260866906</v>
      </c>
      <c r="C61" s="3">
        <f t="shared" ca="1" si="1"/>
        <v>1</v>
      </c>
    </row>
    <row r="62" spans="1:3">
      <c r="A62" s="9">
        <v>57</v>
      </c>
      <c r="B62">
        <f t="shared" ca="1" si="0"/>
        <v>0.53410289437141456</v>
      </c>
      <c r="C62" s="3">
        <f t="shared" ca="1" si="1"/>
        <v>1</v>
      </c>
    </row>
    <row r="63" spans="1:3">
      <c r="A63" s="9">
        <v>58</v>
      </c>
      <c r="B63">
        <f t="shared" ca="1" si="0"/>
        <v>0.47784741293645416</v>
      </c>
      <c r="C63" s="3">
        <f t="shared" ca="1" si="1"/>
        <v>0</v>
      </c>
    </row>
    <row r="64" spans="1:3">
      <c r="A64" s="9">
        <v>59</v>
      </c>
      <c r="B64">
        <f t="shared" ca="1" si="0"/>
        <v>0.69331435418265031</v>
      </c>
      <c r="C64" s="3">
        <f t="shared" ca="1" si="1"/>
        <v>1</v>
      </c>
    </row>
    <row r="65" spans="1:3">
      <c r="A65" s="9">
        <v>60</v>
      </c>
      <c r="B65">
        <f t="shared" ca="1" si="0"/>
        <v>0.62223288077627881</v>
      </c>
      <c r="C65" s="3">
        <f t="shared" ca="1" si="1"/>
        <v>1</v>
      </c>
    </row>
    <row r="66" spans="1:3">
      <c r="A66" s="9">
        <v>61</v>
      </c>
      <c r="B66">
        <f t="shared" ca="1" si="0"/>
        <v>0.44894328928915173</v>
      </c>
      <c r="C66" s="3">
        <f t="shared" ca="1" si="1"/>
        <v>0</v>
      </c>
    </row>
    <row r="67" spans="1:3">
      <c r="A67" s="9">
        <v>62</v>
      </c>
      <c r="B67">
        <f t="shared" ca="1" si="0"/>
        <v>0.18121324391685323</v>
      </c>
      <c r="C67" s="3">
        <f t="shared" ca="1" si="1"/>
        <v>0</v>
      </c>
    </row>
    <row r="68" spans="1:3">
      <c r="A68" s="9">
        <v>63</v>
      </c>
      <c r="B68">
        <f t="shared" ca="1" si="0"/>
        <v>0.97327940613631359</v>
      </c>
      <c r="C68" s="3">
        <f t="shared" ca="1" si="1"/>
        <v>1</v>
      </c>
    </row>
    <row r="69" spans="1:3">
      <c r="A69" s="9">
        <v>64</v>
      </c>
      <c r="B69">
        <f t="shared" ca="1" si="0"/>
        <v>0.6310276818931907</v>
      </c>
      <c r="C69" s="3">
        <f t="shared" ca="1" si="1"/>
        <v>1</v>
      </c>
    </row>
    <row r="70" spans="1:3">
      <c r="A70" s="9">
        <v>65</v>
      </c>
      <c r="B70">
        <f t="shared" ca="1" si="0"/>
        <v>0.27285112337182327</v>
      </c>
      <c r="C70" s="3">
        <f t="shared" ca="1" si="1"/>
        <v>0</v>
      </c>
    </row>
    <row r="71" spans="1:3">
      <c r="A71" s="9">
        <v>66</v>
      </c>
      <c r="B71">
        <f t="shared" ref="B71:B105" ca="1" si="2">RAND()</f>
        <v>0.61528312185103506</v>
      </c>
      <c r="C71" s="3">
        <f t="shared" ref="C71:C105" ca="1" si="3">IF(B71&lt;=0.5,0,1)</f>
        <v>1</v>
      </c>
    </row>
    <row r="72" spans="1:3">
      <c r="A72" s="9">
        <v>67</v>
      </c>
      <c r="B72">
        <f t="shared" ca="1" si="2"/>
        <v>5.6875895170834578E-2</v>
      </c>
      <c r="C72" s="3">
        <f t="shared" ca="1" si="3"/>
        <v>0</v>
      </c>
    </row>
    <row r="73" spans="1:3">
      <c r="A73" s="9">
        <v>68</v>
      </c>
      <c r="B73">
        <f t="shared" ca="1" si="2"/>
        <v>0.43653699640988741</v>
      </c>
      <c r="C73" s="3">
        <f t="shared" ca="1" si="3"/>
        <v>0</v>
      </c>
    </row>
    <row r="74" spans="1:3">
      <c r="A74" s="9">
        <v>69</v>
      </c>
      <c r="B74">
        <f t="shared" ca="1" si="2"/>
        <v>0.4010569000510994</v>
      </c>
      <c r="C74" s="3">
        <f t="shared" ca="1" si="3"/>
        <v>0</v>
      </c>
    </row>
    <row r="75" spans="1:3">
      <c r="A75" s="9">
        <v>70</v>
      </c>
      <c r="B75">
        <f t="shared" ca="1" si="2"/>
        <v>0.13821145413538494</v>
      </c>
      <c r="C75" s="3">
        <f t="shared" ca="1" si="3"/>
        <v>0</v>
      </c>
    </row>
    <row r="76" spans="1:3">
      <c r="A76" s="9">
        <v>71</v>
      </c>
      <c r="B76">
        <f t="shared" ca="1" si="2"/>
        <v>0.60273813656783037</v>
      </c>
      <c r="C76" s="3">
        <f t="shared" ca="1" si="3"/>
        <v>1</v>
      </c>
    </row>
    <row r="77" spans="1:3">
      <c r="A77" s="9">
        <v>72</v>
      </c>
      <c r="B77">
        <f t="shared" ca="1" si="2"/>
        <v>0.51123540383301125</v>
      </c>
      <c r="C77" s="3">
        <f t="shared" ca="1" si="3"/>
        <v>1</v>
      </c>
    </row>
    <row r="78" spans="1:3">
      <c r="A78" s="9">
        <v>73</v>
      </c>
      <c r="B78">
        <f t="shared" ca="1" si="2"/>
        <v>0.20917317441512773</v>
      </c>
      <c r="C78" s="3">
        <f t="shared" ca="1" si="3"/>
        <v>0</v>
      </c>
    </row>
    <row r="79" spans="1:3">
      <c r="A79" s="9">
        <v>74</v>
      </c>
      <c r="B79">
        <f t="shared" ca="1" si="2"/>
        <v>0.12192657342135782</v>
      </c>
      <c r="C79" s="3">
        <f t="shared" ca="1" si="3"/>
        <v>0</v>
      </c>
    </row>
    <row r="80" spans="1:3">
      <c r="A80" s="9">
        <v>75</v>
      </c>
      <c r="B80">
        <f t="shared" ca="1" si="2"/>
        <v>0.43687995895727849</v>
      </c>
      <c r="C80" s="3">
        <f t="shared" ca="1" si="3"/>
        <v>0</v>
      </c>
    </row>
    <row r="81" spans="1:3">
      <c r="A81" s="9">
        <v>76</v>
      </c>
      <c r="B81">
        <f t="shared" ca="1" si="2"/>
        <v>0.23298967576640961</v>
      </c>
      <c r="C81" s="3">
        <f t="shared" ca="1" si="3"/>
        <v>0</v>
      </c>
    </row>
    <row r="82" spans="1:3">
      <c r="A82" s="9">
        <v>77</v>
      </c>
      <c r="B82">
        <f t="shared" ca="1" si="2"/>
        <v>0.70802546604435568</v>
      </c>
      <c r="C82" s="3">
        <f t="shared" ca="1" si="3"/>
        <v>1</v>
      </c>
    </row>
    <row r="83" spans="1:3">
      <c r="A83" s="9">
        <v>78</v>
      </c>
      <c r="B83">
        <f t="shared" ca="1" si="2"/>
        <v>0.20979386539282407</v>
      </c>
      <c r="C83" s="3">
        <f t="shared" ca="1" si="3"/>
        <v>0</v>
      </c>
    </row>
    <row r="84" spans="1:3">
      <c r="A84" s="9">
        <v>79</v>
      </c>
      <c r="B84">
        <f t="shared" ca="1" si="2"/>
        <v>9.2412840117999662E-2</v>
      </c>
      <c r="C84" s="3">
        <f t="shared" ca="1" si="3"/>
        <v>0</v>
      </c>
    </row>
    <row r="85" spans="1:3">
      <c r="A85" s="9">
        <v>80</v>
      </c>
      <c r="B85">
        <f t="shared" ca="1" si="2"/>
        <v>0.87512810944130892</v>
      </c>
      <c r="C85" s="3">
        <f t="shared" ca="1" si="3"/>
        <v>1</v>
      </c>
    </row>
    <row r="86" spans="1:3">
      <c r="A86" s="9">
        <v>81</v>
      </c>
      <c r="B86">
        <f t="shared" ca="1" si="2"/>
        <v>0.49271347914485009</v>
      </c>
      <c r="C86" s="3">
        <f t="shared" ca="1" si="3"/>
        <v>0</v>
      </c>
    </row>
    <row r="87" spans="1:3">
      <c r="A87" s="9">
        <v>82</v>
      </c>
      <c r="B87">
        <f t="shared" ca="1" si="2"/>
        <v>0.17075541692118767</v>
      </c>
      <c r="C87" s="3">
        <f t="shared" ca="1" si="3"/>
        <v>0</v>
      </c>
    </row>
    <row r="88" spans="1:3">
      <c r="A88" s="9">
        <v>83</v>
      </c>
      <c r="B88">
        <f t="shared" ca="1" si="2"/>
        <v>2.1064997033543142E-2</v>
      </c>
      <c r="C88" s="3">
        <f t="shared" ca="1" si="3"/>
        <v>0</v>
      </c>
    </row>
    <row r="89" spans="1:3">
      <c r="A89" s="9">
        <v>84</v>
      </c>
      <c r="B89">
        <f t="shared" ca="1" si="2"/>
        <v>0.93750423889845558</v>
      </c>
      <c r="C89" s="3">
        <f t="shared" ca="1" si="3"/>
        <v>1</v>
      </c>
    </row>
    <row r="90" spans="1:3">
      <c r="A90" s="9">
        <v>85</v>
      </c>
      <c r="B90">
        <f t="shared" ca="1" si="2"/>
        <v>0.72839454974466722</v>
      </c>
      <c r="C90" s="3">
        <f t="shared" ca="1" si="3"/>
        <v>1</v>
      </c>
    </row>
    <row r="91" spans="1:3">
      <c r="A91" s="9">
        <v>86</v>
      </c>
      <c r="B91">
        <f t="shared" ca="1" si="2"/>
        <v>0.18176816604358959</v>
      </c>
      <c r="C91" s="3">
        <f t="shared" ca="1" si="3"/>
        <v>0</v>
      </c>
    </row>
    <row r="92" spans="1:3">
      <c r="A92" s="9">
        <v>87</v>
      </c>
      <c r="B92">
        <f t="shared" ca="1" si="2"/>
        <v>0.50719694851667674</v>
      </c>
      <c r="C92" s="3">
        <f t="shared" ca="1" si="3"/>
        <v>1</v>
      </c>
    </row>
    <row r="93" spans="1:3">
      <c r="A93" s="9">
        <v>88</v>
      </c>
      <c r="B93">
        <f t="shared" ca="1" si="2"/>
        <v>0.90485939313213815</v>
      </c>
      <c r="C93" s="3">
        <f t="shared" ca="1" si="3"/>
        <v>1</v>
      </c>
    </row>
    <row r="94" spans="1:3">
      <c r="A94" s="9">
        <v>89</v>
      </c>
      <c r="B94">
        <f t="shared" ca="1" si="2"/>
        <v>0.23732838916086008</v>
      </c>
      <c r="C94" s="3">
        <f t="shared" ca="1" si="3"/>
        <v>0</v>
      </c>
    </row>
    <row r="95" spans="1:3">
      <c r="A95" s="9">
        <v>90</v>
      </c>
      <c r="B95">
        <f t="shared" ca="1" si="2"/>
        <v>0.10975450728262004</v>
      </c>
      <c r="C95" s="3">
        <f t="shared" ca="1" si="3"/>
        <v>0</v>
      </c>
    </row>
    <row r="96" spans="1:3">
      <c r="A96" s="9">
        <v>91</v>
      </c>
      <c r="B96">
        <f t="shared" ca="1" si="2"/>
        <v>0.89751956127121457</v>
      </c>
      <c r="C96" s="3">
        <f t="shared" ca="1" si="3"/>
        <v>1</v>
      </c>
    </row>
    <row r="97" spans="1:3">
      <c r="A97" s="9">
        <v>92</v>
      </c>
      <c r="B97">
        <f t="shared" ca="1" si="2"/>
        <v>0.44208604056847589</v>
      </c>
      <c r="C97" s="3">
        <f t="shared" ca="1" si="3"/>
        <v>0</v>
      </c>
    </row>
    <row r="98" spans="1:3">
      <c r="A98" s="9">
        <v>93</v>
      </c>
      <c r="B98">
        <f t="shared" ca="1" si="2"/>
        <v>0.87324709481764995</v>
      </c>
      <c r="C98" s="3">
        <f t="shared" ca="1" si="3"/>
        <v>1</v>
      </c>
    </row>
    <row r="99" spans="1:3">
      <c r="A99" s="9">
        <v>94</v>
      </c>
      <c r="B99">
        <f t="shared" ca="1" si="2"/>
        <v>0.20863517890488881</v>
      </c>
      <c r="C99" s="3">
        <f t="shared" ca="1" si="3"/>
        <v>0</v>
      </c>
    </row>
    <row r="100" spans="1:3">
      <c r="A100" s="9">
        <v>95</v>
      </c>
      <c r="B100">
        <f t="shared" ca="1" si="2"/>
        <v>0.10730788700417049</v>
      </c>
      <c r="C100" s="3">
        <f t="shared" ca="1" si="3"/>
        <v>0</v>
      </c>
    </row>
    <row r="101" spans="1:3">
      <c r="A101" s="9">
        <v>96</v>
      </c>
      <c r="B101">
        <f t="shared" ca="1" si="2"/>
        <v>0.64426358954314911</v>
      </c>
      <c r="C101" s="3">
        <f t="shared" ca="1" si="3"/>
        <v>1</v>
      </c>
    </row>
    <row r="102" spans="1:3">
      <c r="A102" s="9">
        <v>97</v>
      </c>
      <c r="B102">
        <f t="shared" ca="1" si="2"/>
        <v>0.55899261603616934</v>
      </c>
      <c r="C102" s="3">
        <f t="shared" ca="1" si="3"/>
        <v>1</v>
      </c>
    </row>
    <row r="103" spans="1:3">
      <c r="A103" s="9">
        <v>98</v>
      </c>
      <c r="B103">
        <f t="shared" ca="1" si="2"/>
        <v>0.41331770297031645</v>
      </c>
      <c r="C103" s="3">
        <f t="shared" ca="1" si="3"/>
        <v>0</v>
      </c>
    </row>
    <row r="104" spans="1:3">
      <c r="A104" s="9">
        <v>99</v>
      </c>
      <c r="B104">
        <f t="shared" ca="1" si="2"/>
        <v>0.337005911962589</v>
      </c>
      <c r="C104" s="3">
        <f t="shared" ca="1" si="3"/>
        <v>0</v>
      </c>
    </row>
    <row r="105" spans="1:3">
      <c r="A105" s="9">
        <v>100</v>
      </c>
      <c r="B105">
        <f t="shared" ca="1" si="2"/>
        <v>9.1865686532936586E-2</v>
      </c>
      <c r="C105" s="3">
        <f t="shared" ca="1" si="3"/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3"/>
  <sheetViews>
    <sheetView workbookViewId="0">
      <selection activeCell="L93" sqref="L93"/>
    </sheetView>
  </sheetViews>
  <sheetFormatPr defaultRowHeight="13.8"/>
  <cols>
    <col min="1" max="1" width="12.59765625" customWidth="1"/>
    <col min="2" max="2" width="13.19921875" customWidth="1"/>
    <col min="3" max="3" width="12.8984375" customWidth="1"/>
    <col min="4" max="4" width="12.69921875" customWidth="1"/>
    <col min="5" max="5" width="17.59765625" customWidth="1"/>
    <col min="8" max="8" width="12.09765625" customWidth="1"/>
    <col min="9" max="9" width="14" customWidth="1"/>
    <col min="10" max="10" width="15.19921875" customWidth="1"/>
  </cols>
  <sheetData>
    <row r="1" spans="1:10" ht="30">
      <c r="A1" s="1" t="s">
        <v>9</v>
      </c>
      <c r="B1" s="2"/>
      <c r="C1" s="7"/>
      <c r="D1" s="7"/>
      <c r="E1" s="7"/>
    </row>
    <row r="3" spans="1:10" ht="31.8" thickBot="1">
      <c r="A3" s="20" t="s">
        <v>10</v>
      </c>
      <c r="B3" s="8" t="s">
        <v>14</v>
      </c>
      <c r="C3" s="39" t="s">
        <v>15</v>
      </c>
      <c r="D3" s="39" t="s">
        <v>16</v>
      </c>
      <c r="E3" s="39" t="s">
        <v>10</v>
      </c>
      <c r="G3" s="8" t="s">
        <v>2</v>
      </c>
      <c r="H3" s="8" t="s">
        <v>3</v>
      </c>
      <c r="I3" s="8" t="s">
        <v>17</v>
      </c>
      <c r="J3" s="8" t="s">
        <v>18</v>
      </c>
    </row>
    <row r="4" spans="1:10" ht="14.4" thickTop="1">
      <c r="A4" s="37" t="s">
        <v>11</v>
      </c>
      <c r="B4" s="38">
        <v>0.5</v>
      </c>
      <c r="C4" s="41">
        <v>0</v>
      </c>
      <c r="D4" s="42">
        <v>0.5</v>
      </c>
      <c r="E4" s="43" t="str">
        <f>A4</f>
        <v>Red</v>
      </c>
      <c r="G4" s="14">
        <v>1</v>
      </c>
      <c r="H4" s="15">
        <f ca="1">RAND()</f>
        <v>0.8354580482040479</v>
      </c>
      <c r="I4" s="16" t="str">
        <f ca="1">IF(H4&lt;=0.5,"Red",IF(H4&lt;=0.75,"Yellow",IF(H4&lt;=1,"Green")))</f>
        <v>Green</v>
      </c>
      <c r="J4" s="23" t="str">
        <f ca="1">VLOOKUP(H4,$C$4:$E$6,3,TRUE)</f>
        <v>Green</v>
      </c>
    </row>
    <row r="5" spans="1:10">
      <c r="A5" s="37" t="s">
        <v>12</v>
      </c>
      <c r="B5" s="38">
        <v>0.25</v>
      </c>
      <c r="C5" s="44">
        <v>0.5</v>
      </c>
      <c r="D5" s="10">
        <v>0.75</v>
      </c>
      <c r="E5" s="45" t="str">
        <f t="shared" ref="E5:E6" si="0">A5</f>
        <v>Yellow</v>
      </c>
      <c r="G5" s="17">
        <v>2</v>
      </c>
      <c r="H5" s="15">
        <f t="shared" ref="H5:H68" ca="1" si="1">RAND()</f>
        <v>3.1903883977003611E-2</v>
      </c>
      <c r="I5" s="16" t="str">
        <f t="shared" ref="I5:I68" ca="1" si="2">IF(H5&lt;=0.5,"Red",IF(H5&lt;=0.75,"Yellow",IF(H5&lt;=1,"Green")))</f>
        <v>Red</v>
      </c>
      <c r="J5" s="23" t="str">
        <f t="shared" ref="J5:J68" ca="1" si="3">VLOOKUP(H5,$C$4:$E$6,3,TRUE)</f>
        <v>Red</v>
      </c>
    </row>
    <row r="6" spans="1:10" ht="14.4" thickBot="1">
      <c r="A6" s="37" t="s">
        <v>13</v>
      </c>
      <c r="B6" s="38">
        <v>0.25</v>
      </c>
      <c r="C6" s="46">
        <v>0.75</v>
      </c>
      <c r="D6" s="47">
        <v>1</v>
      </c>
      <c r="E6" s="48" t="str">
        <f t="shared" si="0"/>
        <v>Green</v>
      </c>
      <c r="G6" s="17">
        <v>3</v>
      </c>
      <c r="H6" s="15">
        <f t="shared" ca="1" si="1"/>
        <v>0.44575903689153529</v>
      </c>
      <c r="I6" s="16" t="str">
        <f t="shared" ca="1" si="2"/>
        <v>Red</v>
      </c>
      <c r="J6" s="23" t="str">
        <f t="shared" ca="1" si="3"/>
        <v>Red</v>
      </c>
    </row>
    <row r="7" spans="1:10" ht="16.2" thickTop="1">
      <c r="A7" s="19" t="s">
        <v>0</v>
      </c>
      <c r="B7" s="6">
        <f>SUM(B4:B6)</f>
        <v>1</v>
      </c>
      <c r="C7" s="40"/>
      <c r="D7" s="40"/>
      <c r="E7" s="40"/>
      <c r="G7" s="17">
        <v>4</v>
      </c>
      <c r="H7" s="15">
        <f t="shared" ca="1" si="1"/>
        <v>0.35279450882957086</v>
      </c>
      <c r="I7" s="16" t="str">
        <f t="shared" ca="1" si="2"/>
        <v>Red</v>
      </c>
      <c r="J7" s="23" t="str">
        <f t="shared" ca="1" si="3"/>
        <v>Red</v>
      </c>
    </row>
    <row r="8" spans="1:10">
      <c r="C8" s="3"/>
      <c r="G8" s="17">
        <v>5</v>
      </c>
      <c r="H8" s="15">
        <f t="shared" ca="1" si="1"/>
        <v>0.88419898425411758</v>
      </c>
      <c r="I8" s="16" t="str">
        <f t="shared" ca="1" si="2"/>
        <v>Green</v>
      </c>
      <c r="J8" s="23" t="str">
        <f t="shared" ca="1" si="3"/>
        <v>Green</v>
      </c>
    </row>
    <row r="9" spans="1:10">
      <c r="G9" s="17">
        <v>6</v>
      </c>
      <c r="H9" s="15">
        <f t="shared" ca="1" si="1"/>
        <v>0.82065898751091293</v>
      </c>
      <c r="I9" s="16" t="str">
        <f t="shared" ca="1" si="2"/>
        <v>Green</v>
      </c>
      <c r="J9" s="23" t="str">
        <f t="shared" ca="1" si="3"/>
        <v>Green</v>
      </c>
    </row>
    <row r="10" spans="1:10">
      <c r="G10" s="17">
        <v>7</v>
      </c>
      <c r="H10" s="15">
        <f t="shared" ca="1" si="1"/>
        <v>0.8899161362247513</v>
      </c>
      <c r="I10" s="16" t="str">
        <f t="shared" ca="1" si="2"/>
        <v>Green</v>
      </c>
      <c r="J10" s="23" t="str">
        <f t="shared" ca="1" si="3"/>
        <v>Green</v>
      </c>
    </row>
    <row r="11" spans="1:10">
      <c r="G11" s="17">
        <v>8</v>
      </c>
      <c r="H11" s="15">
        <f t="shared" ca="1" si="1"/>
        <v>0.70725833054010911</v>
      </c>
      <c r="I11" s="16" t="str">
        <f t="shared" ca="1" si="2"/>
        <v>Yellow</v>
      </c>
      <c r="J11" s="23" t="str">
        <f t="shared" ca="1" si="3"/>
        <v>Yellow</v>
      </c>
    </row>
    <row r="12" spans="1:10">
      <c r="G12" s="17">
        <v>9</v>
      </c>
      <c r="H12" s="15">
        <f t="shared" ca="1" si="1"/>
        <v>0.34757812483437889</v>
      </c>
      <c r="I12" s="16" t="str">
        <f t="shared" ca="1" si="2"/>
        <v>Red</v>
      </c>
      <c r="J12" s="23" t="str">
        <f t="shared" ca="1" si="3"/>
        <v>Red</v>
      </c>
    </row>
    <row r="13" spans="1:10">
      <c r="G13" s="17">
        <v>10</v>
      </c>
      <c r="H13" s="15">
        <f t="shared" ca="1" si="1"/>
        <v>0.86209351692016811</v>
      </c>
      <c r="I13" s="16" t="str">
        <f t="shared" ca="1" si="2"/>
        <v>Green</v>
      </c>
      <c r="J13" s="23" t="str">
        <f t="shared" ca="1" si="3"/>
        <v>Green</v>
      </c>
    </row>
    <row r="14" spans="1:10">
      <c r="G14" s="17">
        <v>11</v>
      </c>
      <c r="H14" s="15">
        <f t="shared" ca="1" si="1"/>
        <v>0.27177120417664991</v>
      </c>
      <c r="I14" s="16" t="str">
        <f t="shared" ca="1" si="2"/>
        <v>Red</v>
      </c>
      <c r="J14" s="23" t="str">
        <f t="shared" ca="1" si="3"/>
        <v>Red</v>
      </c>
    </row>
    <row r="15" spans="1:10">
      <c r="A15" s="11" t="s">
        <v>19</v>
      </c>
      <c r="B15" s="24"/>
      <c r="C15" s="35">
        <f ca="1">COUNTIF(J4:J103,"Red")</f>
        <v>51</v>
      </c>
      <c r="G15" s="17">
        <v>12</v>
      </c>
      <c r="H15" s="15">
        <f t="shared" ca="1" si="1"/>
        <v>0.3224736153406903</v>
      </c>
      <c r="I15" s="16" t="str">
        <f t="shared" ca="1" si="2"/>
        <v>Red</v>
      </c>
      <c r="J15" s="23" t="str">
        <f t="shared" ca="1" si="3"/>
        <v>Red</v>
      </c>
    </row>
    <row r="16" spans="1:10">
      <c r="A16" s="11" t="s">
        <v>20</v>
      </c>
      <c r="B16" s="25"/>
      <c r="C16" s="35">
        <f ca="1">COUNTIF(J4:J103,"Yellow")</f>
        <v>21</v>
      </c>
      <c r="G16" s="17">
        <v>13</v>
      </c>
      <c r="H16" s="15">
        <f t="shared" ca="1" si="1"/>
        <v>0.82666490414978488</v>
      </c>
      <c r="I16" s="16" t="str">
        <f t="shared" ca="1" si="2"/>
        <v>Green</v>
      </c>
      <c r="J16" s="23" t="str">
        <f t="shared" ca="1" si="3"/>
        <v>Green</v>
      </c>
    </row>
    <row r="17" spans="1:10">
      <c r="A17" s="11" t="s">
        <v>21</v>
      </c>
      <c r="B17" s="26"/>
      <c r="C17" s="35">
        <f ca="1">COUNTIF(J4:J103,"Green")</f>
        <v>28</v>
      </c>
      <c r="G17" s="17">
        <v>14</v>
      </c>
      <c r="H17" s="15">
        <f t="shared" ca="1" si="1"/>
        <v>0.76610121673851039</v>
      </c>
      <c r="I17" s="16" t="str">
        <f t="shared" ca="1" si="2"/>
        <v>Green</v>
      </c>
      <c r="J17" s="23" t="str">
        <f t="shared" ca="1" si="3"/>
        <v>Green</v>
      </c>
    </row>
    <row r="18" spans="1:10">
      <c r="G18" s="17">
        <v>15</v>
      </c>
      <c r="H18" s="15">
        <f t="shared" ca="1" si="1"/>
        <v>0.13173918770618698</v>
      </c>
      <c r="I18" s="16" t="str">
        <f t="shared" ca="1" si="2"/>
        <v>Red</v>
      </c>
      <c r="J18" s="23" t="str">
        <f t="shared" ca="1" si="3"/>
        <v>Red</v>
      </c>
    </row>
    <row r="19" spans="1:10">
      <c r="A19" s="11" t="s">
        <v>22</v>
      </c>
      <c r="B19" s="24"/>
      <c r="C19" s="56">
        <f ca="1">C15/(SUM(C15:C17))</f>
        <v>0.51</v>
      </c>
      <c r="G19" s="17">
        <v>16</v>
      </c>
      <c r="H19" s="15">
        <f t="shared" ca="1" si="1"/>
        <v>0.50542426203382551</v>
      </c>
      <c r="I19" s="16" t="str">
        <f t="shared" ca="1" si="2"/>
        <v>Yellow</v>
      </c>
      <c r="J19" s="23" t="str">
        <f t="shared" ca="1" si="3"/>
        <v>Yellow</v>
      </c>
    </row>
    <row r="20" spans="1:10">
      <c r="A20" s="11" t="s">
        <v>23</v>
      </c>
      <c r="B20" s="25"/>
      <c r="C20" s="56">
        <f ca="1">C16/(SUM(C15:C17))</f>
        <v>0.21</v>
      </c>
      <c r="G20" s="17">
        <v>17</v>
      </c>
      <c r="H20" s="15">
        <f t="shared" ca="1" si="1"/>
        <v>0.70526016649459977</v>
      </c>
      <c r="I20" s="16" t="str">
        <f t="shared" ca="1" si="2"/>
        <v>Yellow</v>
      </c>
      <c r="J20" s="23" t="str">
        <f t="shared" ca="1" si="3"/>
        <v>Yellow</v>
      </c>
    </row>
    <row r="21" spans="1:10">
      <c r="A21" s="11" t="s">
        <v>24</v>
      </c>
      <c r="B21" s="26"/>
      <c r="C21" s="56">
        <f ca="1">C17/(SUM(C15:C17))</f>
        <v>0.28000000000000003</v>
      </c>
      <c r="G21" s="17">
        <v>18</v>
      </c>
      <c r="H21" s="15">
        <f t="shared" ca="1" si="1"/>
        <v>0.26780502761948499</v>
      </c>
      <c r="I21" s="16" t="str">
        <f t="shared" ca="1" si="2"/>
        <v>Red</v>
      </c>
      <c r="J21" s="23" t="str">
        <f t="shared" ca="1" si="3"/>
        <v>Red</v>
      </c>
    </row>
    <row r="22" spans="1:10">
      <c r="G22" s="17">
        <v>19</v>
      </c>
      <c r="H22" s="15">
        <f t="shared" ca="1" si="1"/>
        <v>0.36393057916479832</v>
      </c>
      <c r="I22" s="16" t="str">
        <f t="shared" ca="1" si="2"/>
        <v>Red</v>
      </c>
      <c r="J22" s="23" t="str">
        <f t="shared" ca="1" si="3"/>
        <v>Red</v>
      </c>
    </row>
    <row r="23" spans="1:10">
      <c r="G23" s="17">
        <v>20</v>
      </c>
      <c r="H23" s="15">
        <f t="shared" ca="1" si="1"/>
        <v>0.43170914401179139</v>
      </c>
      <c r="I23" s="16" t="str">
        <f t="shared" ca="1" si="2"/>
        <v>Red</v>
      </c>
      <c r="J23" s="23" t="str">
        <f t="shared" ca="1" si="3"/>
        <v>Red</v>
      </c>
    </row>
    <row r="24" spans="1:10">
      <c r="G24" s="17">
        <v>21</v>
      </c>
      <c r="H24" s="15">
        <f t="shared" ca="1" si="1"/>
        <v>0.14140874655939462</v>
      </c>
      <c r="I24" s="16" t="str">
        <f t="shared" ca="1" si="2"/>
        <v>Red</v>
      </c>
      <c r="J24" s="23" t="str">
        <f t="shared" ca="1" si="3"/>
        <v>Red</v>
      </c>
    </row>
    <row r="25" spans="1:10">
      <c r="G25" s="17">
        <v>22</v>
      </c>
      <c r="H25" s="15">
        <f t="shared" ca="1" si="1"/>
        <v>0.79467180013899541</v>
      </c>
      <c r="I25" s="16" t="str">
        <f t="shared" ca="1" si="2"/>
        <v>Green</v>
      </c>
      <c r="J25" s="23" t="str">
        <f t="shared" ca="1" si="3"/>
        <v>Green</v>
      </c>
    </row>
    <row r="26" spans="1:10">
      <c r="G26" s="17">
        <v>23</v>
      </c>
      <c r="H26" s="15">
        <f t="shared" ca="1" si="1"/>
        <v>5.0749720431761292E-2</v>
      </c>
      <c r="I26" s="16" t="str">
        <f t="shared" ca="1" si="2"/>
        <v>Red</v>
      </c>
      <c r="J26" s="23" t="str">
        <f t="shared" ca="1" si="3"/>
        <v>Red</v>
      </c>
    </row>
    <row r="27" spans="1:10">
      <c r="G27" s="17">
        <v>24</v>
      </c>
      <c r="H27" s="15">
        <f t="shared" ca="1" si="1"/>
        <v>5.1199828380359858E-2</v>
      </c>
      <c r="I27" s="16" t="str">
        <f t="shared" ca="1" si="2"/>
        <v>Red</v>
      </c>
      <c r="J27" s="23" t="str">
        <f t="shared" ca="1" si="3"/>
        <v>Red</v>
      </c>
    </row>
    <row r="28" spans="1:10">
      <c r="G28" s="17">
        <v>25</v>
      </c>
      <c r="H28" s="15">
        <f t="shared" ca="1" si="1"/>
        <v>0.466625454274611</v>
      </c>
      <c r="I28" s="16" t="str">
        <f t="shared" ca="1" si="2"/>
        <v>Red</v>
      </c>
      <c r="J28" s="23" t="str">
        <f t="shared" ca="1" si="3"/>
        <v>Red</v>
      </c>
    </row>
    <row r="29" spans="1:10">
      <c r="G29" s="17">
        <v>26</v>
      </c>
      <c r="H29" s="15">
        <f t="shared" ca="1" si="1"/>
        <v>0.22962946168293741</v>
      </c>
      <c r="I29" s="16" t="str">
        <f t="shared" ca="1" si="2"/>
        <v>Red</v>
      </c>
      <c r="J29" s="23" t="str">
        <f t="shared" ca="1" si="3"/>
        <v>Red</v>
      </c>
    </row>
    <row r="30" spans="1:10">
      <c r="G30" s="17">
        <v>27</v>
      </c>
      <c r="H30" s="15">
        <f t="shared" ca="1" si="1"/>
        <v>0.99610937960863577</v>
      </c>
      <c r="I30" s="16" t="str">
        <f t="shared" ca="1" si="2"/>
        <v>Green</v>
      </c>
      <c r="J30" s="23" t="str">
        <f t="shared" ca="1" si="3"/>
        <v>Green</v>
      </c>
    </row>
    <row r="31" spans="1:10">
      <c r="G31" s="17">
        <v>28</v>
      </c>
      <c r="H31" s="15">
        <f t="shared" ca="1" si="1"/>
        <v>0.9912603096751389</v>
      </c>
      <c r="I31" s="16" t="str">
        <f t="shared" ca="1" si="2"/>
        <v>Green</v>
      </c>
      <c r="J31" s="23" t="str">
        <f t="shared" ca="1" si="3"/>
        <v>Green</v>
      </c>
    </row>
    <row r="32" spans="1:10">
      <c r="G32" s="17">
        <v>29</v>
      </c>
      <c r="H32" s="15">
        <f t="shared" ca="1" si="1"/>
        <v>0.13493075463372328</v>
      </c>
      <c r="I32" s="16" t="str">
        <f t="shared" ca="1" si="2"/>
        <v>Red</v>
      </c>
      <c r="J32" s="23" t="str">
        <f t="shared" ca="1" si="3"/>
        <v>Red</v>
      </c>
    </row>
    <row r="33" spans="7:10">
      <c r="G33" s="17">
        <v>30</v>
      </c>
      <c r="H33" s="15">
        <f t="shared" ca="1" si="1"/>
        <v>0.9716893240497616</v>
      </c>
      <c r="I33" s="16" t="str">
        <f t="shared" ca="1" si="2"/>
        <v>Green</v>
      </c>
      <c r="J33" s="23" t="str">
        <f t="shared" ca="1" si="3"/>
        <v>Green</v>
      </c>
    </row>
    <row r="34" spans="7:10">
      <c r="G34" s="17">
        <v>31</v>
      </c>
      <c r="H34" s="15">
        <f t="shared" ca="1" si="1"/>
        <v>0.49173532357263228</v>
      </c>
      <c r="I34" s="16" t="str">
        <f t="shared" ca="1" si="2"/>
        <v>Red</v>
      </c>
      <c r="J34" s="23" t="str">
        <f t="shared" ca="1" si="3"/>
        <v>Red</v>
      </c>
    </row>
    <row r="35" spans="7:10">
      <c r="G35" s="17">
        <v>32</v>
      </c>
      <c r="H35" s="15">
        <f t="shared" ca="1" si="1"/>
        <v>0.36300466148304544</v>
      </c>
      <c r="I35" s="16" t="str">
        <f t="shared" ca="1" si="2"/>
        <v>Red</v>
      </c>
      <c r="J35" s="23" t="str">
        <f t="shared" ca="1" si="3"/>
        <v>Red</v>
      </c>
    </row>
    <row r="36" spans="7:10">
      <c r="G36" s="17">
        <v>33</v>
      </c>
      <c r="H36" s="15">
        <f t="shared" ca="1" si="1"/>
        <v>0.34056478909940602</v>
      </c>
      <c r="I36" s="16" t="str">
        <f t="shared" ca="1" si="2"/>
        <v>Red</v>
      </c>
      <c r="J36" s="23" t="str">
        <f t="shared" ca="1" si="3"/>
        <v>Red</v>
      </c>
    </row>
    <row r="37" spans="7:10">
      <c r="G37" s="17">
        <v>34</v>
      </c>
      <c r="H37" s="15">
        <f t="shared" ca="1" si="1"/>
        <v>0.87117628880626063</v>
      </c>
      <c r="I37" s="16" t="str">
        <f t="shared" ca="1" si="2"/>
        <v>Green</v>
      </c>
      <c r="J37" s="23" t="str">
        <f t="shared" ca="1" si="3"/>
        <v>Green</v>
      </c>
    </row>
    <row r="38" spans="7:10">
      <c r="G38" s="17">
        <v>35</v>
      </c>
      <c r="H38" s="15">
        <f t="shared" ca="1" si="1"/>
        <v>0.16370217085038774</v>
      </c>
      <c r="I38" s="16" t="str">
        <f t="shared" ca="1" si="2"/>
        <v>Red</v>
      </c>
      <c r="J38" s="23" t="str">
        <f t="shared" ca="1" si="3"/>
        <v>Red</v>
      </c>
    </row>
    <row r="39" spans="7:10">
      <c r="G39" s="17">
        <v>36</v>
      </c>
      <c r="H39" s="15">
        <f t="shared" ca="1" si="1"/>
        <v>0.26211013237091851</v>
      </c>
      <c r="I39" s="16" t="str">
        <f t="shared" ca="1" si="2"/>
        <v>Red</v>
      </c>
      <c r="J39" s="23" t="str">
        <f t="shared" ca="1" si="3"/>
        <v>Red</v>
      </c>
    </row>
    <row r="40" spans="7:10">
      <c r="G40" s="17">
        <v>37</v>
      </c>
      <c r="H40" s="15">
        <f t="shared" ca="1" si="1"/>
        <v>0.18031907265125324</v>
      </c>
      <c r="I40" s="16" t="str">
        <f t="shared" ca="1" si="2"/>
        <v>Red</v>
      </c>
      <c r="J40" s="23" t="str">
        <f t="shared" ca="1" si="3"/>
        <v>Red</v>
      </c>
    </row>
    <row r="41" spans="7:10">
      <c r="G41" s="17">
        <v>38</v>
      </c>
      <c r="H41" s="15">
        <f t="shared" ca="1" si="1"/>
        <v>0.38771784085849581</v>
      </c>
      <c r="I41" s="16" t="str">
        <f t="shared" ca="1" si="2"/>
        <v>Red</v>
      </c>
      <c r="J41" s="23" t="str">
        <f t="shared" ca="1" si="3"/>
        <v>Red</v>
      </c>
    </row>
    <row r="42" spans="7:10">
      <c r="G42" s="17">
        <v>39</v>
      </c>
      <c r="H42" s="15">
        <f t="shared" ca="1" si="1"/>
        <v>0.99961336766487208</v>
      </c>
      <c r="I42" s="16" t="str">
        <f t="shared" ca="1" si="2"/>
        <v>Green</v>
      </c>
      <c r="J42" s="23" t="str">
        <f t="shared" ca="1" si="3"/>
        <v>Green</v>
      </c>
    </row>
    <row r="43" spans="7:10">
      <c r="G43" s="17">
        <v>40</v>
      </c>
      <c r="H43" s="15">
        <f t="shared" ca="1" si="1"/>
        <v>0.50616276010882333</v>
      </c>
      <c r="I43" s="16" t="str">
        <f t="shared" ca="1" si="2"/>
        <v>Yellow</v>
      </c>
      <c r="J43" s="23" t="str">
        <f t="shared" ca="1" si="3"/>
        <v>Yellow</v>
      </c>
    </row>
    <row r="44" spans="7:10">
      <c r="G44" s="17">
        <v>41</v>
      </c>
      <c r="H44" s="15">
        <f t="shared" ca="1" si="1"/>
        <v>0.50078273013442531</v>
      </c>
      <c r="I44" s="16" t="str">
        <f t="shared" ca="1" si="2"/>
        <v>Yellow</v>
      </c>
      <c r="J44" s="23" t="str">
        <f t="shared" ca="1" si="3"/>
        <v>Yellow</v>
      </c>
    </row>
    <row r="45" spans="7:10">
      <c r="G45" s="17">
        <v>42</v>
      </c>
      <c r="H45" s="15">
        <f t="shared" ca="1" si="1"/>
        <v>0.56073299466128057</v>
      </c>
      <c r="I45" s="16" t="str">
        <f t="shared" ca="1" si="2"/>
        <v>Yellow</v>
      </c>
      <c r="J45" s="23" t="str">
        <f t="shared" ca="1" si="3"/>
        <v>Yellow</v>
      </c>
    </row>
    <row r="46" spans="7:10">
      <c r="G46" s="17">
        <v>43</v>
      </c>
      <c r="H46" s="15">
        <f t="shared" ca="1" si="1"/>
        <v>0.57511233980626097</v>
      </c>
      <c r="I46" s="16" t="str">
        <f t="shared" ca="1" si="2"/>
        <v>Yellow</v>
      </c>
      <c r="J46" s="23" t="str">
        <f t="shared" ca="1" si="3"/>
        <v>Yellow</v>
      </c>
    </row>
    <row r="47" spans="7:10">
      <c r="G47" s="17">
        <v>44</v>
      </c>
      <c r="H47" s="15">
        <f t="shared" ca="1" si="1"/>
        <v>0.28507151884689441</v>
      </c>
      <c r="I47" s="16" t="str">
        <f t="shared" ca="1" si="2"/>
        <v>Red</v>
      </c>
      <c r="J47" s="23" t="str">
        <f t="shared" ca="1" si="3"/>
        <v>Red</v>
      </c>
    </row>
    <row r="48" spans="7:10">
      <c r="G48" s="17">
        <v>45</v>
      </c>
      <c r="H48" s="15">
        <f t="shared" ca="1" si="1"/>
        <v>0.79106189056973708</v>
      </c>
      <c r="I48" s="16" t="str">
        <f t="shared" ca="1" si="2"/>
        <v>Green</v>
      </c>
      <c r="J48" s="23" t="str">
        <f t="shared" ca="1" si="3"/>
        <v>Green</v>
      </c>
    </row>
    <row r="49" spans="7:10">
      <c r="G49" s="17">
        <v>46</v>
      </c>
      <c r="H49" s="15">
        <f t="shared" ca="1" si="1"/>
        <v>0.86967513952463715</v>
      </c>
      <c r="I49" s="16" t="str">
        <f t="shared" ca="1" si="2"/>
        <v>Green</v>
      </c>
      <c r="J49" s="23" t="str">
        <f t="shared" ca="1" si="3"/>
        <v>Green</v>
      </c>
    </row>
    <row r="50" spans="7:10">
      <c r="G50" s="17">
        <v>47</v>
      </c>
      <c r="H50" s="15">
        <f t="shared" ca="1" si="1"/>
        <v>0.12710644413723804</v>
      </c>
      <c r="I50" s="16" t="str">
        <f t="shared" ca="1" si="2"/>
        <v>Red</v>
      </c>
      <c r="J50" s="23" t="str">
        <f t="shared" ca="1" si="3"/>
        <v>Red</v>
      </c>
    </row>
    <row r="51" spans="7:10">
      <c r="G51" s="17">
        <v>48</v>
      </c>
      <c r="H51" s="15">
        <f t="shared" ca="1" si="1"/>
        <v>0.37741644360529591</v>
      </c>
      <c r="I51" s="16" t="str">
        <f t="shared" ca="1" si="2"/>
        <v>Red</v>
      </c>
      <c r="J51" s="23" t="str">
        <f t="shared" ca="1" si="3"/>
        <v>Red</v>
      </c>
    </row>
    <row r="52" spans="7:10">
      <c r="G52" s="17">
        <v>49</v>
      </c>
      <c r="H52" s="15">
        <f t="shared" ca="1" si="1"/>
        <v>0.94131840756960417</v>
      </c>
      <c r="I52" s="16" t="str">
        <f t="shared" ca="1" si="2"/>
        <v>Green</v>
      </c>
      <c r="J52" s="23" t="str">
        <f t="shared" ca="1" si="3"/>
        <v>Green</v>
      </c>
    </row>
    <row r="53" spans="7:10">
      <c r="G53" s="17">
        <v>50</v>
      </c>
      <c r="H53" s="15">
        <f t="shared" ca="1" si="1"/>
        <v>0.64211108522929539</v>
      </c>
      <c r="I53" s="16" t="str">
        <f t="shared" ca="1" si="2"/>
        <v>Yellow</v>
      </c>
      <c r="J53" s="23" t="str">
        <f t="shared" ca="1" si="3"/>
        <v>Yellow</v>
      </c>
    </row>
    <row r="54" spans="7:10">
      <c r="G54" s="17">
        <v>51</v>
      </c>
      <c r="H54" s="15">
        <f t="shared" ca="1" si="1"/>
        <v>0.81376460009317719</v>
      </c>
      <c r="I54" s="16" t="str">
        <f t="shared" ca="1" si="2"/>
        <v>Green</v>
      </c>
      <c r="J54" s="23" t="str">
        <f t="shared" ca="1" si="3"/>
        <v>Green</v>
      </c>
    </row>
    <row r="55" spans="7:10">
      <c r="G55" s="17">
        <v>52</v>
      </c>
      <c r="H55" s="15">
        <f t="shared" ca="1" si="1"/>
        <v>0.25614174500945819</v>
      </c>
      <c r="I55" s="16" t="str">
        <f t="shared" ca="1" si="2"/>
        <v>Red</v>
      </c>
      <c r="J55" s="23" t="str">
        <f t="shared" ca="1" si="3"/>
        <v>Red</v>
      </c>
    </row>
    <row r="56" spans="7:10">
      <c r="G56" s="17">
        <v>53</v>
      </c>
      <c r="H56" s="15">
        <f t="shared" ca="1" si="1"/>
        <v>0.44717023075870188</v>
      </c>
      <c r="I56" s="16" t="str">
        <f t="shared" ca="1" si="2"/>
        <v>Red</v>
      </c>
      <c r="J56" s="23" t="str">
        <f t="shared" ca="1" si="3"/>
        <v>Red</v>
      </c>
    </row>
    <row r="57" spans="7:10">
      <c r="G57" s="17">
        <v>54</v>
      </c>
      <c r="H57" s="15">
        <f t="shared" ca="1" si="1"/>
        <v>0.87145942412653754</v>
      </c>
      <c r="I57" s="16" t="str">
        <f t="shared" ca="1" si="2"/>
        <v>Green</v>
      </c>
      <c r="J57" s="23" t="str">
        <f t="shared" ca="1" si="3"/>
        <v>Green</v>
      </c>
    </row>
    <row r="58" spans="7:10">
      <c r="G58" s="17">
        <v>55</v>
      </c>
      <c r="H58" s="15">
        <f t="shared" ca="1" si="1"/>
        <v>0.60921560983448841</v>
      </c>
      <c r="I58" s="16" t="str">
        <f t="shared" ca="1" si="2"/>
        <v>Yellow</v>
      </c>
      <c r="J58" s="23" t="str">
        <f t="shared" ca="1" si="3"/>
        <v>Yellow</v>
      </c>
    </row>
    <row r="59" spans="7:10">
      <c r="G59" s="17">
        <v>56</v>
      </c>
      <c r="H59" s="15">
        <f t="shared" ca="1" si="1"/>
        <v>0.2777428116289018</v>
      </c>
      <c r="I59" s="16" t="str">
        <f t="shared" ca="1" si="2"/>
        <v>Red</v>
      </c>
      <c r="J59" s="23" t="str">
        <f t="shared" ca="1" si="3"/>
        <v>Red</v>
      </c>
    </row>
    <row r="60" spans="7:10">
      <c r="G60" s="17">
        <v>57</v>
      </c>
      <c r="H60" s="15">
        <f t="shared" ca="1" si="1"/>
        <v>0.61498785030553993</v>
      </c>
      <c r="I60" s="16" t="str">
        <f t="shared" ca="1" si="2"/>
        <v>Yellow</v>
      </c>
      <c r="J60" s="23" t="str">
        <f t="shared" ca="1" si="3"/>
        <v>Yellow</v>
      </c>
    </row>
    <row r="61" spans="7:10">
      <c r="G61" s="17">
        <v>58</v>
      </c>
      <c r="H61" s="15">
        <f t="shared" ca="1" si="1"/>
        <v>0.38626550028032758</v>
      </c>
      <c r="I61" s="16" t="str">
        <f t="shared" ca="1" si="2"/>
        <v>Red</v>
      </c>
      <c r="J61" s="23" t="str">
        <f t="shared" ca="1" si="3"/>
        <v>Red</v>
      </c>
    </row>
    <row r="62" spans="7:10">
      <c r="G62" s="17">
        <v>59</v>
      </c>
      <c r="H62" s="15">
        <f t="shared" ca="1" si="1"/>
        <v>0.69271440865559319</v>
      </c>
      <c r="I62" s="16" t="str">
        <f t="shared" ca="1" si="2"/>
        <v>Yellow</v>
      </c>
      <c r="J62" s="23" t="str">
        <f t="shared" ca="1" si="3"/>
        <v>Yellow</v>
      </c>
    </row>
    <row r="63" spans="7:10">
      <c r="G63" s="17">
        <v>60</v>
      </c>
      <c r="H63" s="15">
        <f t="shared" ca="1" si="1"/>
        <v>0.20477750996457122</v>
      </c>
      <c r="I63" s="16" t="str">
        <f t="shared" ca="1" si="2"/>
        <v>Red</v>
      </c>
      <c r="J63" s="23" t="str">
        <f t="shared" ca="1" si="3"/>
        <v>Red</v>
      </c>
    </row>
    <row r="64" spans="7:10">
      <c r="G64" s="17">
        <v>61</v>
      </c>
      <c r="H64" s="15">
        <f t="shared" ca="1" si="1"/>
        <v>0.23110249628019031</v>
      </c>
      <c r="I64" s="16" t="str">
        <f t="shared" ca="1" si="2"/>
        <v>Red</v>
      </c>
      <c r="J64" s="23" t="str">
        <f t="shared" ca="1" si="3"/>
        <v>Red</v>
      </c>
    </row>
    <row r="65" spans="7:10">
      <c r="G65" s="17">
        <v>62</v>
      </c>
      <c r="H65" s="15">
        <f t="shared" ca="1" si="1"/>
        <v>0.53057136672912897</v>
      </c>
      <c r="I65" s="16" t="str">
        <f t="shared" ca="1" si="2"/>
        <v>Yellow</v>
      </c>
      <c r="J65" s="23" t="str">
        <f t="shared" ca="1" si="3"/>
        <v>Yellow</v>
      </c>
    </row>
    <row r="66" spans="7:10">
      <c r="G66" s="17">
        <v>63</v>
      </c>
      <c r="H66" s="15">
        <f t="shared" ca="1" si="1"/>
        <v>7.8876433767876231E-2</v>
      </c>
      <c r="I66" s="16" t="str">
        <f t="shared" ca="1" si="2"/>
        <v>Red</v>
      </c>
      <c r="J66" s="23" t="str">
        <f t="shared" ca="1" si="3"/>
        <v>Red</v>
      </c>
    </row>
    <row r="67" spans="7:10">
      <c r="G67" s="17">
        <v>64</v>
      </c>
      <c r="H67" s="15">
        <f t="shared" ca="1" si="1"/>
        <v>0.76536322212417451</v>
      </c>
      <c r="I67" s="16" t="str">
        <f t="shared" ca="1" si="2"/>
        <v>Green</v>
      </c>
      <c r="J67" s="23" t="str">
        <f t="shared" ca="1" si="3"/>
        <v>Green</v>
      </c>
    </row>
    <row r="68" spans="7:10">
      <c r="G68" s="17">
        <v>65</v>
      </c>
      <c r="H68" s="15">
        <f t="shared" ca="1" si="1"/>
        <v>0.75500435361974161</v>
      </c>
      <c r="I68" s="16" t="str">
        <f t="shared" ca="1" si="2"/>
        <v>Green</v>
      </c>
      <c r="J68" s="23" t="str">
        <f t="shared" ca="1" si="3"/>
        <v>Green</v>
      </c>
    </row>
    <row r="69" spans="7:10">
      <c r="G69" s="17">
        <v>66</v>
      </c>
      <c r="H69" s="15">
        <f t="shared" ref="H69:H103" ca="1" si="4">RAND()</f>
        <v>0.46932060099839767</v>
      </c>
      <c r="I69" s="16" t="str">
        <f t="shared" ref="I69:I103" ca="1" si="5">IF(H69&lt;=0.5,"Red",IF(H69&lt;=0.75,"Yellow",IF(H69&lt;=1,"Green")))</f>
        <v>Red</v>
      </c>
      <c r="J69" s="23" t="str">
        <f t="shared" ref="J69:J103" ca="1" si="6">VLOOKUP(H69,$C$4:$E$6,3,TRUE)</f>
        <v>Red</v>
      </c>
    </row>
    <row r="70" spans="7:10">
      <c r="G70" s="17">
        <v>67</v>
      </c>
      <c r="H70" s="15">
        <f t="shared" ca="1" si="4"/>
        <v>0.13950466610642498</v>
      </c>
      <c r="I70" s="16" t="str">
        <f t="shared" ca="1" si="5"/>
        <v>Red</v>
      </c>
      <c r="J70" s="23" t="str">
        <f t="shared" ca="1" si="6"/>
        <v>Red</v>
      </c>
    </row>
    <row r="71" spans="7:10">
      <c r="G71" s="17">
        <v>68</v>
      </c>
      <c r="H71" s="15">
        <f t="shared" ca="1" si="4"/>
        <v>0.36534168985517246</v>
      </c>
      <c r="I71" s="16" t="str">
        <f t="shared" ca="1" si="5"/>
        <v>Red</v>
      </c>
      <c r="J71" s="23" t="str">
        <f t="shared" ca="1" si="6"/>
        <v>Red</v>
      </c>
    </row>
    <row r="72" spans="7:10">
      <c r="G72" s="17">
        <v>69</v>
      </c>
      <c r="H72" s="15">
        <f t="shared" ca="1" si="4"/>
        <v>0.29111322419007213</v>
      </c>
      <c r="I72" s="16" t="str">
        <f t="shared" ca="1" si="5"/>
        <v>Red</v>
      </c>
      <c r="J72" s="23" t="str">
        <f t="shared" ca="1" si="6"/>
        <v>Red</v>
      </c>
    </row>
    <row r="73" spans="7:10">
      <c r="G73" s="17">
        <v>70</v>
      </c>
      <c r="H73" s="15">
        <f t="shared" ca="1" si="4"/>
        <v>0.93072577120772981</v>
      </c>
      <c r="I73" s="16" t="str">
        <f t="shared" ca="1" si="5"/>
        <v>Green</v>
      </c>
      <c r="J73" s="23" t="str">
        <f t="shared" ca="1" si="6"/>
        <v>Green</v>
      </c>
    </row>
    <row r="74" spans="7:10">
      <c r="G74" s="17">
        <v>71</v>
      </c>
      <c r="H74" s="15">
        <f t="shared" ca="1" si="4"/>
        <v>0.9722676041883942</v>
      </c>
      <c r="I74" s="16" t="str">
        <f t="shared" ca="1" si="5"/>
        <v>Green</v>
      </c>
      <c r="J74" s="23" t="str">
        <f t="shared" ca="1" si="6"/>
        <v>Green</v>
      </c>
    </row>
    <row r="75" spans="7:10">
      <c r="G75" s="17">
        <v>72</v>
      </c>
      <c r="H75" s="15">
        <f t="shared" ca="1" si="4"/>
        <v>0.95076603231377366</v>
      </c>
      <c r="I75" s="16" t="str">
        <f t="shared" ca="1" si="5"/>
        <v>Green</v>
      </c>
      <c r="J75" s="23" t="str">
        <f t="shared" ca="1" si="6"/>
        <v>Green</v>
      </c>
    </row>
    <row r="76" spans="7:10">
      <c r="G76" s="17">
        <v>73</v>
      </c>
      <c r="H76" s="15">
        <f t="shared" ca="1" si="4"/>
        <v>0.31717362386954562</v>
      </c>
      <c r="I76" s="16" t="str">
        <f t="shared" ca="1" si="5"/>
        <v>Red</v>
      </c>
      <c r="J76" s="23" t="str">
        <f t="shared" ca="1" si="6"/>
        <v>Red</v>
      </c>
    </row>
    <row r="77" spans="7:10">
      <c r="G77" s="17">
        <v>74</v>
      </c>
      <c r="H77" s="15">
        <f t="shared" ca="1" si="4"/>
        <v>0.11671082841001523</v>
      </c>
      <c r="I77" s="16" t="str">
        <f t="shared" ca="1" si="5"/>
        <v>Red</v>
      </c>
      <c r="J77" s="23" t="str">
        <f t="shared" ca="1" si="6"/>
        <v>Red</v>
      </c>
    </row>
    <row r="78" spans="7:10">
      <c r="G78" s="17">
        <v>75</v>
      </c>
      <c r="H78" s="15">
        <f t="shared" ca="1" si="4"/>
        <v>0.61953441887689198</v>
      </c>
      <c r="I78" s="16" t="str">
        <f t="shared" ca="1" si="5"/>
        <v>Yellow</v>
      </c>
      <c r="J78" s="23" t="str">
        <f t="shared" ca="1" si="6"/>
        <v>Yellow</v>
      </c>
    </row>
    <row r="79" spans="7:10">
      <c r="G79" s="17">
        <v>76</v>
      </c>
      <c r="H79" s="15">
        <f t="shared" ca="1" si="4"/>
        <v>0.21340583937678359</v>
      </c>
      <c r="I79" s="16" t="str">
        <f t="shared" ca="1" si="5"/>
        <v>Red</v>
      </c>
      <c r="J79" s="23" t="str">
        <f t="shared" ca="1" si="6"/>
        <v>Red</v>
      </c>
    </row>
    <row r="80" spans="7:10">
      <c r="G80" s="17">
        <v>77</v>
      </c>
      <c r="H80" s="15">
        <f t="shared" ca="1" si="4"/>
        <v>0.43674498382277149</v>
      </c>
      <c r="I80" s="16" t="str">
        <f t="shared" ca="1" si="5"/>
        <v>Red</v>
      </c>
      <c r="J80" s="23" t="str">
        <f t="shared" ca="1" si="6"/>
        <v>Red</v>
      </c>
    </row>
    <row r="81" spans="7:10">
      <c r="G81" s="17">
        <v>78</v>
      </c>
      <c r="H81" s="15">
        <f t="shared" ca="1" si="4"/>
        <v>0.84059855865557354</v>
      </c>
      <c r="I81" s="16" t="str">
        <f t="shared" ca="1" si="5"/>
        <v>Green</v>
      </c>
      <c r="J81" s="23" t="str">
        <f t="shared" ca="1" si="6"/>
        <v>Green</v>
      </c>
    </row>
    <row r="82" spans="7:10">
      <c r="G82" s="17">
        <v>79</v>
      </c>
      <c r="H82" s="15">
        <f t="shared" ca="1" si="4"/>
        <v>0.4291634852114885</v>
      </c>
      <c r="I82" s="16" t="str">
        <f t="shared" ca="1" si="5"/>
        <v>Red</v>
      </c>
      <c r="J82" s="23" t="str">
        <f t="shared" ca="1" si="6"/>
        <v>Red</v>
      </c>
    </row>
    <row r="83" spans="7:10">
      <c r="G83" s="17">
        <v>80</v>
      </c>
      <c r="H83" s="15">
        <f t="shared" ca="1" si="4"/>
        <v>0.95552528201979237</v>
      </c>
      <c r="I83" s="16" t="str">
        <f t="shared" ca="1" si="5"/>
        <v>Green</v>
      </c>
      <c r="J83" s="23" t="str">
        <f t="shared" ca="1" si="6"/>
        <v>Green</v>
      </c>
    </row>
    <row r="84" spans="7:10">
      <c r="G84" s="17">
        <v>81</v>
      </c>
      <c r="H84" s="15">
        <f t="shared" ca="1" si="4"/>
        <v>0.51510379197507616</v>
      </c>
      <c r="I84" s="16" t="str">
        <f t="shared" ca="1" si="5"/>
        <v>Yellow</v>
      </c>
      <c r="J84" s="23" t="str">
        <f t="shared" ca="1" si="6"/>
        <v>Yellow</v>
      </c>
    </row>
    <row r="85" spans="7:10">
      <c r="G85" s="17">
        <v>82</v>
      </c>
      <c r="H85" s="15">
        <f t="shared" ca="1" si="4"/>
        <v>0.65390238579910898</v>
      </c>
      <c r="I85" s="16" t="str">
        <f t="shared" ca="1" si="5"/>
        <v>Yellow</v>
      </c>
      <c r="J85" s="23" t="str">
        <f t="shared" ca="1" si="6"/>
        <v>Yellow</v>
      </c>
    </row>
    <row r="86" spans="7:10">
      <c r="G86" s="17">
        <v>83</v>
      </c>
      <c r="H86" s="15">
        <f t="shared" ca="1" si="4"/>
        <v>0.96239058262607136</v>
      </c>
      <c r="I86" s="16" t="str">
        <f t="shared" ca="1" si="5"/>
        <v>Green</v>
      </c>
      <c r="J86" s="23" t="str">
        <f t="shared" ca="1" si="6"/>
        <v>Green</v>
      </c>
    </row>
    <row r="87" spans="7:10">
      <c r="G87" s="17">
        <v>84</v>
      </c>
      <c r="H87" s="15">
        <f t="shared" ca="1" si="4"/>
        <v>0.10071798629970541</v>
      </c>
      <c r="I87" s="16" t="str">
        <f t="shared" ca="1" si="5"/>
        <v>Red</v>
      </c>
      <c r="J87" s="23" t="str">
        <f t="shared" ca="1" si="6"/>
        <v>Red</v>
      </c>
    </row>
    <row r="88" spans="7:10">
      <c r="G88" s="17">
        <v>85</v>
      </c>
      <c r="H88" s="15">
        <f t="shared" ca="1" si="4"/>
        <v>0.51092852773833719</v>
      </c>
      <c r="I88" s="16" t="str">
        <f t="shared" ca="1" si="5"/>
        <v>Yellow</v>
      </c>
      <c r="J88" s="23" t="str">
        <f t="shared" ca="1" si="6"/>
        <v>Yellow</v>
      </c>
    </row>
    <row r="89" spans="7:10">
      <c r="G89" s="17">
        <v>86</v>
      </c>
      <c r="H89" s="15">
        <f t="shared" ca="1" si="4"/>
        <v>4.9090808837902178E-2</v>
      </c>
      <c r="I89" s="16" t="str">
        <f t="shared" ca="1" si="5"/>
        <v>Red</v>
      </c>
      <c r="J89" s="23" t="str">
        <f t="shared" ca="1" si="6"/>
        <v>Red</v>
      </c>
    </row>
    <row r="90" spans="7:10">
      <c r="G90" s="17">
        <v>87</v>
      </c>
      <c r="H90" s="15">
        <f t="shared" ca="1" si="4"/>
        <v>0.63637031205150796</v>
      </c>
      <c r="I90" s="16" t="str">
        <f t="shared" ca="1" si="5"/>
        <v>Yellow</v>
      </c>
      <c r="J90" s="23" t="str">
        <f t="shared" ca="1" si="6"/>
        <v>Yellow</v>
      </c>
    </row>
    <row r="91" spans="7:10">
      <c r="G91" s="17">
        <v>88</v>
      </c>
      <c r="H91" s="15">
        <f t="shared" ca="1" si="4"/>
        <v>0.68449906856232456</v>
      </c>
      <c r="I91" s="16" t="str">
        <f t="shared" ca="1" si="5"/>
        <v>Yellow</v>
      </c>
      <c r="J91" s="23" t="str">
        <f t="shared" ca="1" si="6"/>
        <v>Yellow</v>
      </c>
    </row>
    <row r="92" spans="7:10">
      <c r="G92" s="17">
        <v>89</v>
      </c>
      <c r="H92" s="15">
        <f t="shared" ca="1" si="4"/>
        <v>0.74827831629402553</v>
      </c>
      <c r="I92" s="16" t="str">
        <f t="shared" ca="1" si="5"/>
        <v>Yellow</v>
      </c>
      <c r="J92" s="23" t="str">
        <f t="shared" ca="1" si="6"/>
        <v>Yellow</v>
      </c>
    </row>
    <row r="93" spans="7:10">
      <c r="G93" s="17">
        <v>90</v>
      </c>
      <c r="H93" s="15">
        <f t="shared" ca="1" si="4"/>
        <v>0.2729531519071926</v>
      </c>
      <c r="I93" s="16" t="str">
        <f t="shared" ca="1" si="5"/>
        <v>Red</v>
      </c>
      <c r="J93" s="23" t="str">
        <f t="shared" ca="1" si="6"/>
        <v>Red</v>
      </c>
    </row>
    <row r="94" spans="7:10">
      <c r="G94" s="17">
        <v>91</v>
      </c>
      <c r="H94" s="15">
        <f t="shared" ca="1" si="4"/>
        <v>0.92055131526273193</v>
      </c>
      <c r="I94" s="16" t="str">
        <f t="shared" ca="1" si="5"/>
        <v>Green</v>
      </c>
      <c r="J94" s="23" t="str">
        <f t="shared" ca="1" si="6"/>
        <v>Green</v>
      </c>
    </row>
    <row r="95" spans="7:10">
      <c r="G95" s="17">
        <v>92</v>
      </c>
      <c r="H95" s="15">
        <f t="shared" ca="1" si="4"/>
        <v>0.29571229236040708</v>
      </c>
      <c r="I95" s="16" t="str">
        <f t="shared" ca="1" si="5"/>
        <v>Red</v>
      </c>
      <c r="J95" s="23" t="str">
        <f t="shared" ca="1" si="6"/>
        <v>Red</v>
      </c>
    </row>
    <row r="96" spans="7:10">
      <c r="G96" s="17">
        <v>93</v>
      </c>
      <c r="H96" s="15">
        <f t="shared" ca="1" si="4"/>
        <v>0.88233790287063074</v>
      </c>
      <c r="I96" s="16" t="str">
        <f t="shared" ca="1" si="5"/>
        <v>Green</v>
      </c>
      <c r="J96" s="23" t="str">
        <f t="shared" ca="1" si="6"/>
        <v>Green</v>
      </c>
    </row>
    <row r="97" spans="7:10">
      <c r="G97" s="17">
        <v>94</v>
      </c>
      <c r="H97" s="15">
        <f t="shared" ca="1" si="4"/>
        <v>0.22060671198179538</v>
      </c>
      <c r="I97" s="16" t="str">
        <f t="shared" ca="1" si="5"/>
        <v>Red</v>
      </c>
      <c r="J97" s="23" t="str">
        <f t="shared" ca="1" si="6"/>
        <v>Red</v>
      </c>
    </row>
    <row r="98" spans="7:10">
      <c r="G98" s="17">
        <v>95</v>
      </c>
      <c r="H98" s="15">
        <f t="shared" ca="1" si="4"/>
        <v>0.36113277922136799</v>
      </c>
      <c r="I98" s="16" t="str">
        <f t="shared" ca="1" si="5"/>
        <v>Red</v>
      </c>
      <c r="J98" s="23" t="str">
        <f t="shared" ca="1" si="6"/>
        <v>Red</v>
      </c>
    </row>
    <row r="99" spans="7:10">
      <c r="G99" s="17">
        <v>96</v>
      </c>
      <c r="H99" s="15">
        <f t="shared" ca="1" si="4"/>
        <v>0.38250729882185441</v>
      </c>
      <c r="I99" s="16" t="str">
        <f t="shared" ca="1" si="5"/>
        <v>Red</v>
      </c>
      <c r="J99" s="23" t="str">
        <f t="shared" ca="1" si="6"/>
        <v>Red</v>
      </c>
    </row>
    <row r="100" spans="7:10">
      <c r="G100" s="17">
        <v>97</v>
      </c>
      <c r="H100" s="15">
        <f t="shared" ca="1" si="4"/>
        <v>0.48802507232316039</v>
      </c>
      <c r="I100" s="16" t="str">
        <f t="shared" ca="1" si="5"/>
        <v>Red</v>
      </c>
      <c r="J100" s="23" t="str">
        <f t="shared" ca="1" si="6"/>
        <v>Red</v>
      </c>
    </row>
    <row r="101" spans="7:10">
      <c r="G101" s="17">
        <v>98</v>
      </c>
      <c r="H101" s="15">
        <f t="shared" ca="1" si="4"/>
        <v>0.63863773020330405</v>
      </c>
      <c r="I101" s="16" t="str">
        <f t="shared" ca="1" si="5"/>
        <v>Yellow</v>
      </c>
      <c r="J101" s="23" t="str">
        <f t="shared" ca="1" si="6"/>
        <v>Yellow</v>
      </c>
    </row>
    <row r="102" spans="7:10">
      <c r="G102" s="17">
        <v>99</v>
      </c>
      <c r="H102" s="15">
        <f t="shared" ca="1" si="4"/>
        <v>0.73198229950547011</v>
      </c>
      <c r="I102" s="16" t="str">
        <f t="shared" ca="1" si="5"/>
        <v>Yellow</v>
      </c>
      <c r="J102" s="23" t="str">
        <f t="shared" ca="1" si="6"/>
        <v>Yellow</v>
      </c>
    </row>
    <row r="103" spans="7:10">
      <c r="G103" s="18">
        <v>100</v>
      </c>
      <c r="H103" s="15">
        <f t="shared" ca="1" si="4"/>
        <v>3.7759187492799606E-2</v>
      </c>
      <c r="I103" s="16" t="str">
        <f t="shared" ca="1" si="5"/>
        <v>Red</v>
      </c>
      <c r="J103" s="23" t="str">
        <f t="shared" ca="1" si="6"/>
        <v>Red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3"/>
  <sheetViews>
    <sheetView workbookViewId="0">
      <selection activeCell="D28" sqref="D28"/>
    </sheetView>
  </sheetViews>
  <sheetFormatPr defaultRowHeight="13.8"/>
  <cols>
    <col min="1" max="1" width="14.5" customWidth="1"/>
    <col min="2" max="2" width="16.59765625" customWidth="1"/>
    <col min="3" max="3" width="12.19921875" customWidth="1"/>
    <col min="4" max="4" width="14.09765625" customWidth="1"/>
    <col min="5" max="5" width="14" customWidth="1"/>
    <col min="8" max="8" width="12.09765625" customWidth="1"/>
    <col min="9" max="9" width="14" customWidth="1"/>
    <col min="10" max="11" width="11.5" customWidth="1"/>
    <col min="12" max="12" width="9.19921875" bestFit="1" customWidth="1"/>
  </cols>
  <sheetData>
    <row r="1" spans="1:10" ht="30">
      <c r="A1" s="36" t="s">
        <v>26</v>
      </c>
      <c r="B1" s="2"/>
      <c r="C1" s="7"/>
      <c r="D1" s="7"/>
      <c r="E1" s="7"/>
    </row>
    <row r="3" spans="1:10" ht="31.8" thickBot="1">
      <c r="A3" s="20" t="s">
        <v>25</v>
      </c>
      <c r="B3" s="8" t="s">
        <v>14</v>
      </c>
      <c r="C3" s="39" t="s">
        <v>15</v>
      </c>
      <c r="D3" s="39" t="s">
        <v>16</v>
      </c>
      <c r="E3" s="39" t="s">
        <v>27</v>
      </c>
      <c r="G3" s="8" t="s">
        <v>2</v>
      </c>
      <c r="H3" s="8" t="s">
        <v>3</v>
      </c>
      <c r="I3" s="8" t="s">
        <v>30</v>
      </c>
      <c r="J3" s="49"/>
    </row>
    <row r="4" spans="1:10" ht="16.2" thickTop="1">
      <c r="A4" s="4">
        <v>2</v>
      </c>
      <c r="B4" s="38">
        <v>0.25</v>
      </c>
      <c r="C4" s="41">
        <v>0</v>
      </c>
      <c r="D4" s="42">
        <v>0.25</v>
      </c>
      <c r="E4" s="50">
        <f>A4</f>
        <v>2</v>
      </c>
      <c r="G4" s="14">
        <v>1</v>
      </c>
      <c r="H4" s="15">
        <f ca="1">RAND()</f>
        <v>0.85179484177325582</v>
      </c>
      <c r="I4" s="16">
        <f ca="1">VLOOKUP(H4,$C$4:$E$6,3,TRUE)</f>
        <v>100</v>
      </c>
    </row>
    <row r="5" spans="1:10" ht="15.6">
      <c r="A5" s="5">
        <v>10</v>
      </c>
      <c r="B5" s="38">
        <v>0.25</v>
      </c>
      <c r="C5" s="44">
        <v>0.25</v>
      </c>
      <c r="D5" s="10">
        <v>0.5</v>
      </c>
      <c r="E5" s="51">
        <f t="shared" ref="E5:E6" si="0">A5</f>
        <v>10</v>
      </c>
      <c r="G5" s="17">
        <v>2</v>
      </c>
      <c r="H5" s="15">
        <f t="shared" ref="H5:H68" ca="1" si="1">RAND()</f>
        <v>0.10700727561918932</v>
      </c>
      <c r="I5" s="16">
        <f t="shared" ref="I5:I68" ca="1" si="2">VLOOKUP(H5,$C$4:$E$6,3,TRUE)</f>
        <v>2</v>
      </c>
    </row>
    <row r="6" spans="1:10" ht="16.2" thickBot="1">
      <c r="A6" s="5">
        <v>100</v>
      </c>
      <c r="B6" s="38">
        <v>0.5</v>
      </c>
      <c r="C6" s="46">
        <v>0.5</v>
      </c>
      <c r="D6" s="47">
        <v>1</v>
      </c>
      <c r="E6" s="52">
        <f t="shared" si="0"/>
        <v>100</v>
      </c>
      <c r="G6" s="17">
        <v>3</v>
      </c>
      <c r="H6" s="15">
        <f t="shared" ca="1" si="1"/>
        <v>0.16225581351359419</v>
      </c>
      <c r="I6" s="16">
        <f t="shared" ca="1" si="2"/>
        <v>2</v>
      </c>
    </row>
    <row r="7" spans="1:10" ht="16.2" thickTop="1">
      <c r="A7" s="19" t="s">
        <v>0</v>
      </c>
      <c r="B7" s="6">
        <f>SUM(B4:B6)</f>
        <v>1</v>
      </c>
      <c r="C7" s="40"/>
      <c r="D7" s="40"/>
      <c r="E7" s="40"/>
      <c r="G7" s="17">
        <v>4</v>
      </c>
      <c r="H7" s="15">
        <f t="shared" ca="1" si="1"/>
        <v>0.32548839943202612</v>
      </c>
      <c r="I7" s="16">
        <f t="shared" ca="1" si="2"/>
        <v>10</v>
      </c>
    </row>
    <row r="8" spans="1:10">
      <c r="C8" s="3"/>
      <c r="G8" s="17">
        <v>5</v>
      </c>
      <c r="H8" s="15">
        <f t="shared" ca="1" si="1"/>
        <v>0.19450811036039117</v>
      </c>
      <c r="I8" s="16">
        <f t="shared" ca="1" si="2"/>
        <v>2</v>
      </c>
    </row>
    <row r="9" spans="1:10">
      <c r="G9" s="17">
        <v>6</v>
      </c>
      <c r="H9" s="15">
        <f t="shared" ca="1" si="1"/>
        <v>0.15590031444008046</v>
      </c>
      <c r="I9" s="16">
        <f t="shared" ca="1" si="2"/>
        <v>2</v>
      </c>
    </row>
    <row r="10" spans="1:10">
      <c r="G10" s="17">
        <v>7</v>
      </c>
      <c r="H10" s="15">
        <f t="shared" ca="1" si="1"/>
        <v>1.0079747170884445E-2</v>
      </c>
      <c r="I10" s="16">
        <f t="shared" ca="1" si="2"/>
        <v>2</v>
      </c>
    </row>
    <row r="11" spans="1:10">
      <c r="G11" s="17">
        <v>8</v>
      </c>
      <c r="H11" s="15">
        <f t="shared" ca="1" si="1"/>
        <v>0.14274702623335844</v>
      </c>
      <c r="I11" s="16">
        <f t="shared" ca="1" si="2"/>
        <v>2</v>
      </c>
    </row>
    <row r="12" spans="1:10">
      <c r="G12" s="17">
        <v>9</v>
      </c>
      <c r="H12" s="15">
        <f t="shared" ca="1" si="1"/>
        <v>0.1137588108931179</v>
      </c>
      <c r="I12" s="16">
        <f t="shared" ca="1" si="2"/>
        <v>2</v>
      </c>
    </row>
    <row r="13" spans="1:10">
      <c r="G13" s="17">
        <v>10</v>
      </c>
      <c r="H13" s="15">
        <f t="shared" ca="1" si="1"/>
        <v>0.40754452346886372</v>
      </c>
      <c r="I13" s="16">
        <f t="shared" ca="1" si="2"/>
        <v>10</v>
      </c>
    </row>
    <row r="14" spans="1:10">
      <c r="G14" s="17">
        <v>11</v>
      </c>
      <c r="H14" s="15">
        <f t="shared" ca="1" si="1"/>
        <v>0.45945131926692451</v>
      </c>
      <c r="I14" s="16">
        <f t="shared" ca="1" si="2"/>
        <v>10</v>
      </c>
    </row>
    <row r="15" spans="1:10">
      <c r="G15" s="17">
        <v>12</v>
      </c>
      <c r="H15" s="15">
        <f t="shared" ca="1" si="1"/>
        <v>0.67334781701960333</v>
      </c>
      <c r="I15" s="16">
        <f t="shared" ca="1" si="2"/>
        <v>100</v>
      </c>
    </row>
    <row r="16" spans="1:10">
      <c r="A16" s="34" t="s">
        <v>31</v>
      </c>
      <c r="B16" s="35">
        <f ca="1">AVERAGE(I4:I103)</f>
        <v>46.56</v>
      </c>
      <c r="G16" s="17">
        <v>13</v>
      </c>
      <c r="H16" s="15">
        <f t="shared" ca="1" si="1"/>
        <v>0.83363140019133819</v>
      </c>
      <c r="I16" s="16">
        <f t="shared" ca="1" si="2"/>
        <v>100</v>
      </c>
    </row>
    <row r="17" spans="1:9">
      <c r="A17" s="34" t="s">
        <v>28</v>
      </c>
      <c r="B17" s="57">
        <f ca="1">_xlfn.STDEV.S(I4:I103)</f>
        <v>47.690991886001989</v>
      </c>
      <c r="G17" s="17">
        <v>14</v>
      </c>
      <c r="H17" s="15">
        <f t="shared" ca="1" si="1"/>
        <v>0.88522930912046915</v>
      </c>
      <c r="I17" s="16">
        <f t="shared" ca="1" si="2"/>
        <v>100</v>
      </c>
    </row>
    <row r="18" spans="1:9">
      <c r="A18" s="34" t="s">
        <v>29</v>
      </c>
      <c r="B18" s="57">
        <f ca="1">CONFIDENCE(0.05,B17,100)</f>
        <v>9.3472626483555832</v>
      </c>
      <c r="G18" s="17">
        <v>15</v>
      </c>
      <c r="H18" s="15">
        <f t="shared" ca="1" si="1"/>
        <v>3.3179858868840451E-2</v>
      </c>
      <c r="I18" s="16">
        <f t="shared" ca="1" si="2"/>
        <v>2</v>
      </c>
    </row>
    <row r="19" spans="1:9">
      <c r="G19" s="17">
        <v>16</v>
      </c>
      <c r="H19" s="15">
        <f t="shared" ca="1" si="1"/>
        <v>0.23894003178407985</v>
      </c>
      <c r="I19" s="16">
        <f t="shared" ca="1" si="2"/>
        <v>2</v>
      </c>
    </row>
    <row r="20" spans="1:9">
      <c r="G20" s="17">
        <v>17</v>
      </c>
      <c r="H20" s="15">
        <f t="shared" ca="1" si="1"/>
        <v>0.20441612590402514</v>
      </c>
      <c r="I20" s="16">
        <f t="shared" ca="1" si="2"/>
        <v>2</v>
      </c>
    </row>
    <row r="21" spans="1:9">
      <c r="G21" s="17">
        <v>18</v>
      </c>
      <c r="H21" s="15">
        <f t="shared" ca="1" si="1"/>
        <v>0.58719354774860821</v>
      </c>
      <c r="I21" s="16">
        <f t="shared" ca="1" si="2"/>
        <v>100</v>
      </c>
    </row>
    <row r="22" spans="1:9">
      <c r="G22" s="17">
        <v>19</v>
      </c>
      <c r="H22" s="15">
        <f t="shared" ca="1" si="1"/>
        <v>0.41894739110950108</v>
      </c>
      <c r="I22" s="16">
        <f t="shared" ca="1" si="2"/>
        <v>10</v>
      </c>
    </row>
    <row r="23" spans="1:9">
      <c r="G23" s="17">
        <v>20</v>
      </c>
      <c r="H23" s="15">
        <f t="shared" ca="1" si="1"/>
        <v>0.13922162288692819</v>
      </c>
      <c r="I23" s="16">
        <f t="shared" ca="1" si="2"/>
        <v>2</v>
      </c>
    </row>
    <row r="24" spans="1:9">
      <c r="G24" s="17">
        <v>21</v>
      </c>
      <c r="H24" s="15">
        <f t="shared" ca="1" si="1"/>
        <v>0.53134490059548922</v>
      </c>
      <c r="I24" s="16">
        <f t="shared" ca="1" si="2"/>
        <v>100</v>
      </c>
    </row>
    <row r="25" spans="1:9">
      <c r="G25" s="17">
        <v>22</v>
      </c>
      <c r="H25" s="15">
        <f t="shared" ca="1" si="1"/>
        <v>0.65359451564928572</v>
      </c>
      <c r="I25" s="16">
        <f t="shared" ca="1" si="2"/>
        <v>100</v>
      </c>
    </row>
    <row r="26" spans="1:9">
      <c r="G26" s="17">
        <v>23</v>
      </c>
      <c r="H26" s="15">
        <f t="shared" ca="1" si="1"/>
        <v>0.2443768377523744</v>
      </c>
      <c r="I26" s="16">
        <f t="shared" ca="1" si="2"/>
        <v>2</v>
      </c>
    </row>
    <row r="27" spans="1:9">
      <c r="G27" s="17">
        <v>24</v>
      </c>
      <c r="H27" s="15">
        <f t="shared" ca="1" si="1"/>
        <v>0.12194633951383471</v>
      </c>
      <c r="I27" s="16">
        <f t="shared" ca="1" si="2"/>
        <v>2</v>
      </c>
    </row>
    <row r="28" spans="1:9">
      <c r="G28" s="17">
        <v>25</v>
      </c>
      <c r="H28" s="15">
        <f t="shared" ca="1" si="1"/>
        <v>6.0712018415067348E-2</v>
      </c>
      <c r="I28" s="16">
        <f t="shared" ca="1" si="2"/>
        <v>2</v>
      </c>
    </row>
    <row r="29" spans="1:9">
      <c r="G29" s="17">
        <v>26</v>
      </c>
      <c r="H29" s="15">
        <f t="shared" ca="1" si="1"/>
        <v>7.9220074586492939E-2</v>
      </c>
      <c r="I29" s="16">
        <f t="shared" ca="1" si="2"/>
        <v>2</v>
      </c>
    </row>
    <row r="30" spans="1:9">
      <c r="G30" s="17">
        <v>27</v>
      </c>
      <c r="H30" s="15">
        <f t="shared" ca="1" si="1"/>
        <v>0.74206211880751882</v>
      </c>
      <c r="I30" s="16">
        <f t="shared" ca="1" si="2"/>
        <v>100</v>
      </c>
    </row>
    <row r="31" spans="1:9">
      <c r="G31" s="17">
        <v>28</v>
      </c>
      <c r="H31" s="15">
        <f t="shared" ca="1" si="1"/>
        <v>0.56110319128198671</v>
      </c>
      <c r="I31" s="16">
        <f t="shared" ca="1" si="2"/>
        <v>100</v>
      </c>
    </row>
    <row r="32" spans="1:9">
      <c r="G32" s="17">
        <v>29</v>
      </c>
      <c r="H32" s="15">
        <f t="shared" ca="1" si="1"/>
        <v>0.74315779661937054</v>
      </c>
      <c r="I32" s="16">
        <f t="shared" ca="1" si="2"/>
        <v>100</v>
      </c>
    </row>
    <row r="33" spans="7:9">
      <c r="G33" s="17">
        <v>30</v>
      </c>
      <c r="H33" s="15">
        <f t="shared" ca="1" si="1"/>
        <v>0.5702975247275972</v>
      </c>
      <c r="I33" s="16">
        <f t="shared" ca="1" si="2"/>
        <v>100</v>
      </c>
    </row>
    <row r="34" spans="7:9">
      <c r="G34" s="17">
        <v>31</v>
      </c>
      <c r="H34" s="15">
        <f t="shared" ca="1" si="1"/>
        <v>0.57946894171617946</v>
      </c>
      <c r="I34" s="16">
        <f t="shared" ca="1" si="2"/>
        <v>100</v>
      </c>
    </row>
    <row r="35" spans="7:9">
      <c r="G35" s="17">
        <v>32</v>
      </c>
      <c r="H35" s="15">
        <f t="shared" ca="1" si="1"/>
        <v>0.15831137645709192</v>
      </c>
      <c r="I35" s="16">
        <f t="shared" ca="1" si="2"/>
        <v>2</v>
      </c>
    </row>
    <row r="36" spans="7:9">
      <c r="G36" s="17">
        <v>33</v>
      </c>
      <c r="H36" s="15">
        <f t="shared" ca="1" si="1"/>
        <v>5.4731458694585289E-2</v>
      </c>
      <c r="I36" s="16">
        <f t="shared" ca="1" si="2"/>
        <v>2</v>
      </c>
    </row>
    <row r="37" spans="7:9">
      <c r="G37" s="17">
        <v>34</v>
      </c>
      <c r="H37" s="15">
        <f t="shared" ca="1" si="1"/>
        <v>0.19727050991962747</v>
      </c>
      <c r="I37" s="16">
        <f t="shared" ca="1" si="2"/>
        <v>2</v>
      </c>
    </row>
    <row r="38" spans="7:9">
      <c r="G38" s="17">
        <v>35</v>
      </c>
      <c r="H38" s="15">
        <f t="shared" ca="1" si="1"/>
        <v>0.59824673725547961</v>
      </c>
      <c r="I38" s="16">
        <f t="shared" ca="1" si="2"/>
        <v>100</v>
      </c>
    </row>
    <row r="39" spans="7:9">
      <c r="G39" s="17">
        <v>36</v>
      </c>
      <c r="H39" s="15">
        <f t="shared" ca="1" si="1"/>
        <v>0.1003231893443115</v>
      </c>
      <c r="I39" s="16">
        <f t="shared" ca="1" si="2"/>
        <v>2</v>
      </c>
    </row>
    <row r="40" spans="7:9">
      <c r="G40" s="17">
        <v>37</v>
      </c>
      <c r="H40" s="15">
        <f t="shared" ca="1" si="1"/>
        <v>3.6589296371335456E-3</v>
      </c>
      <c r="I40" s="16">
        <f t="shared" ca="1" si="2"/>
        <v>2</v>
      </c>
    </row>
    <row r="41" spans="7:9">
      <c r="G41" s="17">
        <v>38</v>
      </c>
      <c r="H41" s="15">
        <f t="shared" ca="1" si="1"/>
        <v>0.44053988232792862</v>
      </c>
      <c r="I41" s="16">
        <f t="shared" ca="1" si="2"/>
        <v>10</v>
      </c>
    </row>
    <row r="42" spans="7:9">
      <c r="G42" s="17">
        <v>39</v>
      </c>
      <c r="H42" s="15">
        <f t="shared" ca="1" si="1"/>
        <v>0.20994697959184672</v>
      </c>
      <c r="I42" s="16">
        <f t="shared" ca="1" si="2"/>
        <v>2</v>
      </c>
    </row>
    <row r="43" spans="7:9">
      <c r="G43" s="17">
        <v>40</v>
      </c>
      <c r="H43" s="15">
        <f t="shared" ca="1" si="1"/>
        <v>0.66098122865544062</v>
      </c>
      <c r="I43" s="16">
        <f t="shared" ca="1" si="2"/>
        <v>100</v>
      </c>
    </row>
    <row r="44" spans="7:9">
      <c r="G44" s="17">
        <v>41</v>
      </c>
      <c r="H44" s="15">
        <f t="shared" ca="1" si="1"/>
        <v>0.8676527111220228</v>
      </c>
      <c r="I44" s="16">
        <f t="shared" ca="1" si="2"/>
        <v>100</v>
      </c>
    </row>
    <row r="45" spans="7:9">
      <c r="G45" s="17">
        <v>42</v>
      </c>
      <c r="H45" s="15">
        <f t="shared" ca="1" si="1"/>
        <v>0.1972223654819506</v>
      </c>
      <c r="I45" s="16">
        <f t="shared" ca="1" si="2"/>
        <v>2</v>
      </c>
    </row>
    <row r="46" spans="7:9">
      <c r="G46" s="17">
        <v>43</v>
      </c>
      <c r="H46" s="15">
        <f t="shared" ca="1" si="1"/>
        <v>0.68300397653221645</v>
      </c>
      <c r="I46" s="16">
        <f t="shared" ca="1" si="2"/>
        <v>100</v>
      </c>
    </row>
    <row r="47" spans="7:9">
      <c r="G47" s="17">
        <v>44</v>
      </c>
      <c r="H47" s="15">
        <f t="shared" ca="1" si="1"/>
        <v>0.30187224952338798</v>
      </c>
      <c r="I47" s="16">
        <f t="shared" ca="1" si="2"/>
        <v>10</v>
      </c>
    </row>
    <row r="48" spans="7:9">
      <c r="G48" s="17">
        <v>45</v>
      </c>
      <c r="H48" s="15">
        <f t="shared" ca="1" si="1"/>
        <v>0.5982327234635989</v>
      </c>
      <c r="I48" s="16">
        <f t="shared" ca="1" si="2"/>
        <v>100</v>
      </c>
    </row>
    <row r="49" spans="7:9">
      <c r="G49" s="17">
        <v>46</v>
      </c>
      <c r="H49" s="15">
        <f t="shared" ca="1" si="1"/>
        <v>0.83152437882084496</v>
      </c>
      <c r="I49" s="16">
        <f t="shared" ca="1" si="2"/>
        <v>100</v>
      </c>
    </row>
    <row r="50" spans="7:9">
      <c r="G50" s="17">
        <v>47</v>
      </c>
      <c r="H50" s="15">
        <f t="shared" ca="1" si="1"/>
        <v>0.22760312429357721</v>
      </c>
      <c r="I50" s="16">
        <f t="shared" ca="1" si="2"/>
        <v>2</v>
      </c>
    </row>
    <row r="51" spans="7:9">
      <c r="G51" s="17">
        <v>48</v>
      </c>
      <c r="H51" s="15">
        <f t="shared" ca="1" si="1"/>
        <v>0.52722158037399958</v>
      </c>
      <c r="I51" s="16">
        <f t="shared" ca="1" si="2"/>
        <v>100</v>
      </c>
    </row>
    <row r="52" spans="7:9">
      <c r="G52" s="17">
        <v>49</v>
      </c>
      <c r="H52" s="15">
        <f t="shared" ca="1" si="1"/>
        <v>0.57741446803852292</v>
      </c>
      <c r="I52" s="16">
        <f t="shared" ca="1" si="2"/>
        <v>100</v>
      </c>
    </row>
    <row r="53" spans="7:9">
      <c r="G53" s="17">
        <v>50</v>
      </c>
      <c r="H53" s="15">
        <f t="shared" ca="1" si="1"/>
        <v>0.76628052448475181</v>
      </c>
      <c r="I53" s="16">
        <f t="shared" ca="1" si="2"/>
        <v>100</v>
      </c>
    </row>
    <row r="54" spans="7:9">
      <c r="G54" s="17">
        <v>51</v>
      </c>
      <c r="H54" s="15">
        <f t="shared" ca="1" si="1"/>
        <v>0.42173715868278516</v>
      </c>
      <c r="I54" s="16">
        <f t="shared" ca="1" si="2"/>
        <v>10</v>
      </c>
    </row>
    <row r="55" spans="7:9">
      <c r="G55" s="17">
        <v>52</v>
      </c>
      <c r="H55" s="15">
        <f t="shared" ca="1" si="1"/>
        <v>0.42885521124545678</v>
      </c>
      <c r="I55" s="16">
        <f t="shared" ca="1" si="2"/>
        <v>10</v>
      </c>
    </row>
    <row r="56" spans="7:9">
      <c r="G56" s="17">
        <v>53</v>
      </c>
      <c r="H56" s="15">
        <f t="shared" ca="1" si="1"/>
        <v>0.11625648975430569</v>
      </c>
      <c r="I56" s="16">
        <f t="shared" ca="1" si="2"/>
        <v>2</v>
      </c>
    </row>
    <row r="57" spans="7:9">
      <c r="G57" s="17">
        <v>54</v>
      </c>
      <c r="H57" s="15">
        <f t="shared" ca="1" si="1"/>
        <v>0.57403164317460176</v>
      </c>
      <c r="I57" s="16">
        <f t="shared" ca="1" si="2"/>
        <v>100</v>
      </c>
    </row>
    <row r="58" spans="7:9">
      <c r="G58" s="17">
        <v>55</v>
      </c>
      <c r="H58" s="15">
        <f t="shared" ca="1" si="1"/>
        <v>0.65466741755163027</v>
      </c>
      <c r="I58" s="16">
        <f t="shared" ca="1" si="2"/>
        <v>100</v>
      </c>
    </row>
    <row r="59" spans="7:9">
      <c r="G59" s="17">
        <v>56</v>
      </c>
      <c r="H59" s="15">
        <f t="shared" ca="1" si="1"/>
        <v>0.32398135933598071</v>
      </c>
      <c r="I59" s="16">
        <f t="shared" ca="1" si="2"/>
        <v>10</v>
      </c>
    </row>
    <row r="60" spans="7:9">
      <c r="G60" s="17">
        <v>57</v>
      </c>
      <c r="H60" s="15">
        <f t="shared" ca="1" si="1"/>
        <v>0.13250472104094224</v>
      </c>
      <c r="I60" s="16">
        <f t="shared" ca="1" si="2"/>
        <v>2</v>
      </c>
    </row>
    <row r="61" spans="7:9">
      <c r="G61" s="17">
        <v>58</v>
      </c>
      <c r="H61" s="15">
        <f t="shared" ca="1" si="1"/>
        <v>0.82610943895892563</v>
      </c>
      <c r="I61" s="16">
        <f t="shared" ca="1" si="2"/>
        <v>100</v>
      </c>
    </row>
    <row r="62" spans="7:9">
      <c r="G62" s="17">
        <v>59</v>
      </c>
      <c r="H62" s="15">
        <f t="shared" ca="1" si="1"/>
        <v>0.11718211395449485</v>
      </c>
      <c r="I62" s="16">
        <f t="shared" ca="1" si="2"/>
        <v>2</v>
      </c>
    </row>
    <row r="63" spans="7:9">
      <c r="G63" s="17">
        <v>60</v>
      </c>
      <c r="H63" s="15">
        <f t="shared" ca="1" si="1"/>
        <v>0.28666522293062124</v>
      </c>
      <c r="I63" s="16">
        <f t="shared" ca="1" si="2"/>
        <v>10</v>
      </c>
    </row>
    <row r="64" spans="7:9">
      <c r="G64" s="17">
        <v>61</v>
      </c>
      <c r="H64" s="15">
        <f t="shared" ca="1" si="1"/>
        <v>0.64500935459926023</v>
      </c>
      <c r="I64" s="16">
        <f t="shared" ca="1" si="2"/>
        <v>100</v>
      </c>
    </row>
    <row r="65" spans="7:9">
      <c r="G65" s="17">
        <v>62</v>
      </c>
      <c r="H65" s="15">
        <f t="shared" ca="1" si="1"/>
        <v>0.41352680944068743</v>
      </c>
      <c r="I65" s="16">
        <f t="shared" ca="1" si="2"/>
        <v>10</v>
      </c>
    </row>
    <row r="66" spans="7:9">
      <c r="G66" s="17">
        <v>63</v>
      </c>
      <c r="H66" s="15">
        <f t="shared" ca="1" si="1"/>
        <v>0.14143665252348359</v>
      </c>
      <c r="I66" s="16">
        <f t="shared" ca="1" si="2"/>
        <v>2</v>
      </c>
    </row>
    <row r="67" spans="7:9">
      <c r="G67" s="17">
        <v>64</v>
      </c>
      <c r="H67" s="15">
        <f t="shared" ca="1" si="1"/>
        <v>0.53775114122771672</v>
      </c>
      <c r="I67" s="16">
        <f t="shared" ca="1" si="2"/>
        <v>100</v>
      </c>
    </row>
    <row r="68" spans="7:9">
      <c r="G68" s="17">
        <v>65</v>
      </c>
      <c r="H68" s="15">
        <f t="shared" ca="1" si="1"/>
        <v>0.94890505528450364</v>
      </c>
      <c r="I68" s="16">
        <f t="shared" ca="1" si="2"/>
        <v>100</v>
      </c>
    </row>
    <row r="69" spans="7:9">
      <c r="G69" s="17">
        <v>66</v>
      </c>
      <c r="H69" s="15">
        <f t="shared" ref="H69:H103" ca="1" si="3">RAND()</f>
        <v>0.77636547491737462</v>
      </c>
      <c r="I69" s="16">
        <f t="shared" ref="I69:I103" ca="1" si="4">VLOOKUP(H69,$C$4:$E$6,3,TRUE)</f>
        <v>100</v>
      </c>
    </row>
    <row r="70" spans="7:9">
      <c r="G70" s="17">
        <v>67</v>
      </c>
      <c r="H70" s="15">
        <f t="shared" ca="1" si="3"/>
        <v>0.30832913324543099</v>
      </c>
      <c r="I70" s="16">
        <f t="shared" ca="1" si="4"/>
        <v>10</v>
      </c>
    </row>
    <row r="71" spans="7:9">
      <c r="G71" s="17">
        <v>68</v>
      </c>
      <c r="H71" s="15">
        <f t="shared" ca="1" si="3"/>
        <v>0.11779893250603291</v>
      </c>
      <c r="I71" s="16">
        <f t="shared" ca="1" si="4"/>
        <v>2</v>
      </c>
    </row>
    <row r="72" spans="7:9">
      <c r="G72" s="17">
        <v>69</v>
      </c>
      <c r="H72" s="15">
        <f t="shared" ca="1" si="3"/>
        <v>0.18871005141084296</v>
      </c>
      <c r="I72" s="16">
        <f t="shared" ca="1" si="4"/>
        <v>2</v>
      </c>
    </row>
    <row r="73" spans="7:9">
      <c r="G73" s="17">
        <v>70</v>
      </c>
      <c r="H73" s="15">
        <f t="shared" ca="1" si="3"/>
        <v>0.31202726976269657</v>
      </c>
      <c r="I73" s="16">
        <f t="shared" ca="1" si="4"/>
        <v>10</v>
      </c>
    </row>
    <row r="74" spans="7:9">
      <c r="G74" s="17">
        <v>71</v>
      </c>
      <c r="H74" s="15">
        <f t="shared" ca="1" si="3"/>
        <v>2.3207057176600987E-2</v>
      </c>
      <c r="I74" s="16">
        <f t="shared" ca="1" si="4"/>
        <v>2</v>
      </c>
    </row>
    <row r="75" spans="7:9">
      <c r="G75" s="17">
        <v>72</v>
      </c>
      <c r="H75" s="15">
        <f t="shared" ca="1" si="3"/>
        <v>0.55525472955113087</v>
      </c>
      <c r="I75" s="16">
        <f t="shared" ca="1" si="4"/>
        <v>100</v>
      </c>
    </row>
    <row r="76" spans="7:9">
      <c r="G76" s="17">
        <v>73</v>
      </c>
      <c r="H76" s="15">
        <f t="shared" ca="1" si="3"/>
        <v>0.10565375996758719</v>
      </c>
      <c r="I76" s="16">
        <f t="shared" ca="1" si="4"/>
        <v>2</v>
      </c>
    </row>
    <row r="77" spans="7:9">
      <c r="G77" s="17">
        <v>74</v>
      </c>
      <c r="H77" s="15">
        <f t="shared" ca="1" si="3"/>
        <v>0.19521418732127838</v>
      </c>
      <c r="I77" s="16">
        <f t="shared" ca="1" si="4"/>
        <v>2</v>
      </c>
    </row>
    <row r="78" spans="7:9">
      <c r="G78" s="17">
        <v>75</v>
      </c>
      <c r="H78" s="15">
        <f t="shared" ca="1" si="3"/>
        <v>0.2481059432567122</v>
      </c>
      <c r="I78" s="16">
        <f t="shared" ca="1" si="4"/>
        <v>2</v>
      </c>
    </row>
    <row r="79" spans="7:9">
      <c r="G79" s="17">
        <v>76</v>
      </c>
      <c r="H79" s="15">
        <f t="shared" ca="1" si="3"/>
        <v>0.89775355203831364</v>
      </c>
      <c r="I79" s="16">
        <f t="shared" ca="1" si="4"/>
        <v>100</v>
      </c>
    </row>
    <row r="80" spans="7:9">
      <c r="G80" s="17">
        <v>77</v>
      </c>
      <c r="H80" s="15">
        <f t="shared" ca="1" si="3"/>
        <v>0.41533765119985067</v>
      </c>
      <c r="I80" s="16">
        <f t="shared" ca="1" si="4"/>
        <v>10</v>
      </c>
    </row>
    <row r="81" spans="7:9">
      <c r="G81" s="17">
        <v>78</v>
      </c>
      <c r="H81" s="15">
        <f t="shared" ca="1" si="3"/>
        <v>0.77056120066908962</v>
      </c>
      <c r="I81" s="16">
        <f t="shared" ca="1" si="4"/>
        <v>100</v>
      </c>
    </row>
    <row r="82" spans="7:9">
      <c r="G82" s="17">
        <v>79</v>
      </c>
      <c r="H82" s="15">
        <f t="shared" ca="1" si="3"/>
        <v>0.67872933951278192</v>
      </c>
      <c r="I82" s="16">
        <f t="shared" ca="1" si="4"/>
        <v>100</v>
      </c>
    </row>
    <row r="83" spans="7:9">
      <c r="G83" s="17">
        <v>80</v>
      </c>
      <c r="H83" s="15">
        <f t="shared" ca="1" si="3"/>
        <v>0.93172037728536317</v>
      </c>
      <c r="I83" s="16">
        <f t="shared" ca="1" si="4"/>
        <v>100</v>
      </c>
    </row>
    <row r="84" spans="7:9">
      <c r="G84" s="17">
        <v>81</v>
      </c>
      <c r="H84" s="15">
        <f t="shared" ca="1" si="3"/>
        <v>0.6174002954832456</v>
      </c>
      <c r="I84" s="16">
        <f t="shared" ca="1" si="4"/>
        <v>100</v>
      </c>
    </row>
    <row r="85" spans="7:9">
      <c r="G85" s="17">
        <v>82</v>
      </c>
      <c r="H85" s="15">
        <f t="shared" ca="1" si="3"/>
        <v>0.30085184311973823</v>
      </c>
      <c r="I85" s="16">
        <f t="shared" ca="1" si="4"/>
        <v>10</v>
      </c>
    </row>
    <row r="86" spans="7:9">
      <c r="G86" s="17">
        <v>83</v>
      </c>
      <c r="H86" s="15">
        <f t="shared" ca="1" si="3"/>
        <v>0.8434729739217951</v>
      </c>
      <c r="I86" s="16">
        <f t="shared" ca="1" si="4"/>
        <v>100</v>
      </c>
    </row>
    <row r="87" spans="7:9">
      <c r="G87" s="17">
        <v>84</v>
      </c>
      <c r="H87" s="15">
        <f t="shared" ca="1" si="3"/>
        <v>0.93643204249292888</v>
      </c>
      <c r="I87" s="16">
        <f t="shared" ca="1" si="4"/>
        <v>100</v>
      </c>
    </row>
    <row r="88" spans="7:9">
      <c r="G88" s="17">
        <v>85</v>
      </c>
      <c r="H88" s="15">
        <f t="shared" ca="1" si="3"/>
        <v>6.0533829502808834E-2</v>
      </c>
      <c r="I88" s="16">
        <f t="shared" ca="1" si="4"/>
        <v>2</v>
      </c>
    </row>
    <row r="89" spans="7:9">
      <c r="G89" s="17">
        <v>86</v>
      </c>
      <c r="H89" s="15">
        <f t="shared" ca="1" si="3"/>
        <v>0.4283806965321294</v>
      </c>
      <c r="I89" s="16">
        <f t="shared" ca="1" si="4"/>
        <v>10</v>
      </c>
    </row>
    <row r="90" spans="7:9">
      <c r="G90" s="17">
        <v>87</v>
      </c>
      <c r="H90" s="15">
        <f t="shared" ca="1" si="3"/>
        <v>0.75271851085310371</v>
      </c>
      <c r="I90" s="16">
        <f t="shared" ca="1" si="4"/>
        <v>100</v>
      </c>
    </row>
    <row r="91" spans="7:9">
      <c r="G91" s="17">
        <v>88</v>
      </c>
      <c r="H91" s="15">
        <f t="shared" ca="1" si="3"/>
        <v>0.84537063370345233</v>
      </c>
      <c r="I91" s="16">
        <f t="shared" ca="1" si="4"/>
        <v>100</v>
      </c>
    </row>
    <row r="92" spans="7:9">
      <c r="G92" s="17">
        <v>89</v>
      </c>
      <c r="H92" s="15">
        <f t="shared" ca="1" si="3"/>
        <v>0.33167264859989853</v>
      </c>
      <c r="I92" s="16">
        <f t="shared" ca="1" si="4"/>
        <v>10</v>
      </c>
    </row>
    <row r="93" spans="7:9">
      <c r="G93" s="17">
        <v>90</v>
      </c>
      <c r="H93" s="15">
        <f t="shared" ca="1" si="3"/>
        <v>0.5474923228055486</v>
      </c>
      <c r="I93" s="16">
        <f t="shared" ca="1" si="4"/>
        <v>100</v>
      </c>
    </row>
    <row r="94" spans="7:9">
      <c r="G94" s="17">
        <v>91</v>
      </c>
      <c r="H94" s="15">
        <f t="shared" ca="1" si="3"/>
        <v>4.2314691002094285E-2</v>
      </c>
      <c r="I94" s="16">
        <f t="shared" ca="1" si="4"/>
        <v>2</v>
      </c>
    </row>
    <row r="95" spans="7:9">
      <c r="G95" s="17">
        <v>92</v>
      </c>
      <c r="H95" s="15">
        <f t="shared" ca="1" si="3"/>
        <v>2.5064757440829144E-3</v>
      </c>
      <c r="I95" s="16">
        <f t="shared" ca="1" si="4"/>
        <v>2</v>
      </c>
    </row>
    <row r="96" spans="7:9">
      <c r="G96" s="17">
        <v>93</v>
      </c>
      <c r="H96" s="15">
        <f t="shared" ca="1" si="3"/>
        <v>0.80641437839443109</v>
      </c>
      <c r="I96" s="16">
        <f t="shared" ca="1" si="4"/>
        <v>100</v>
      </c>
    </row>
    <row r="97" spans="7:9">
      <c r="G97" s="17">
        <v>94</v>
      </c>
      <c r="H97" s="15">
        <f t="shared" ca="1" si="3"/>
        <v>0.81472495348110663</v>
      </c>
      <c r="I97" s="16">
        <f t="shared" ca="1" si="4"/>
        <v>100</v>
      </c>
    </row>
    <row r="98" spans="7:9">
      <c r="G98" s="17">
        <v>95</v>
      </c>
      <c r="H98" s="15">
        <f t="shared" ca="1" si="3"/>
        <v>6.3222562365611967E-2</v>
      </c>
      <c r="I98" s="16">
        <f t="shared" ca="1" si="4"/>
        <v>2</v>
      </c>
    </row>
    <row r="99" spans="7:9">
      <c r="G99" s="17">
        <v>96</v>
      </c>
      <c r="H99" s="15">
        <f t="shared" ca="1" si="3"/>
        <v>0.43177699413664627</v>
      </c>
      <c r="I99" s="16">
        <f t="shared" ca="1" si="4"/>
        <v>10</v>
      </c>
    </row>
    <row r="100" spans="7:9">
      <c r="G100" s="17">
        <v>97</v>
      </c>
      <c r="H100" s="15">
        <f t="shared" ca="1" si="3"/>
        <v>0.70062511957951434</v>
      </c>
      <c r="I100" s="16">
        <f t="shared" ca="1" si="4"/>
        <v>100</v>
      </c>
    </row>
    <row r="101" spans="7:9">
      <c r="G101" s="17">
        <v>98</v>
      </c>
      <c r="H101" s="15">
        <f t="shared" ca="1" si="3"/>
        <v>0.70901990772437051</v>
      </c>
      <c r="I101" s="16">
        <f t="shared" ca="1" si="4"/>
        <v>100</v>
      </c>
    </row>
    <row r="102" spans="7:9">
      <c r="G102" s="17">
        <v>99</v>
      </c>
      <c r="H102" s="15">
        <f t="shared" ca="1" si="3"/>
        <v>0.96822317243192979</v>
      </c>
      <c r="I102" s="16">
        <f t="shared" ca="1" si="4"/>
        <v>100</v>
      </c>
    </row>
    <row r="103" spans="7:9">
      <c r="G103" s="18">
        <v>100</v>
      </c>
      <c r="H103" s="15">
        <f t="shared" ca="1" si="3"/>
        <v>0.24496450394677005</v>
      </c>
      <c r="I103" s="16">
        <f t="shared" ca="1" si="4"/>
        <v>2</v>
      </c>
    </row>
  </sheetData>
  <pageMargins left="0.7" right="0.7" top="0.75" bottom="0.75" header="0.3" footer="0.3"/>
  <pageSetup paperSize="9" orientation="portrait" horizontalDpi="4294967293" verticalDpi="4294967293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9"/>
  <sheetViews>
    <sheetView workbookViewId="0">
      <selection activeCell="J15" sqref="J15"/>
    </sheetView>
  </sheetViews>
  <sheetFormatPr defaultRowHeight="13.8"/>
  <cols>
    <col min="1" max="1" width="6.59765625" customWidth="1"/>
    <col min="2" max="2" width="18" customWidth="1"/>
    <col min="3" max="3" width="15.59765625" customWidth="1"/>
    <col min="4" max="4" width="13" customWidth="1"/>
    <col min="5" max="5" width="7.59765625" customWidth="1"/>
    <col min="6" max="6" width="12.8984375" customWidth="1"/>
    <col min="10" max="10" width="14" customWidth="1"/>
  </cols>
  <sheetData>
    <row r="1" spans="1:6" ht="30">
      <c r="A1" s="36" t="s">
        <v>32</v>
      </c>
      <c r="B1" s="2"/>
      <c r="C1" s="7"/>
      <c r="D1" s="7"/>
      <c r="E1" s="7"/>
      <c r="F1" s="7"/>
    </row>
    <row r="2" spans="1:6" ht="30">
      <c r="A2" s="1"/>
      <c r="B2" s="2"/>
      <c r="C2" s="7"/>
      <c r="D2" s="7"/>
      <c r="E2" s="7"/>
      <c r="F2" s="7"/>
    </row>
    <row r="5" spans="1:6" ht="15.6">
      <c r="B5" s="8" t="s">
        <v>3</v>
      </c>
      <c r="C5" s="8" t="s">
        <v>30</v>
      </c>
    </row>
    <row r="6" spans="1:6">
      <c r="B6">
        <f ca="1">RAND()</f>
        <v>0.67640901494630779</v>
      </c>
      <c r="C6" s="27" t="str">
        <f ca="1">IF(B6&lt;=0.5,"Tail","Head")</f>
        <v>Head</v>
      </c>
    </row>
    <row r="7" spans="1:6">
      <c r="C7" s="3"/>
    </row>
    <row r="8" spans="1:6">
      <c r="C8" s="3"/>
    </row>
    <row r="9" spans="1:6" ht="15.6">
      <c r="A9" s="8" t="s">
        <v>2</v>
      </c>
      <c r="B9" s="8" t="s">
        <v>30</v>
      </c>
      <c r="C9" s="3"/>
      <c r="D9" s="3"/>
    </row>
    <row r="10" spans="1:6">
      <c r="A10" s="28">
        <v>1</v>
      </c>
      <c r="B10" s="29" t="str">
        <f ca="1">C6</f>
        <v>Head</v>
      </c>
      <c r="C10" s="3"/>
    </row>
    <row r="11" spans="1:6">
      <c r="A11" s="28">
        <v>2</v>
      </c>
      <c r="B11" s="28" t="str">
        <f t="dataTable" ref="B11:B109" dt2D="0" dtr="0" r1="J24" ca="1"/>
        <v>Head</v>
      </c>
      <c r="C11" s="3"/>
      <c r="D11" s="11" t="s">
        <v>34</v>
      </c>
      <c r="E11" s="35">
        <f ca="1">COUNTIF(B10:B109,"Tail")</f>
        <v>47</v>
      </c>
    </row>
    <row r="12" spans="1:6">
      <c r="A12" s="28">
        <v>3</v>
      </c>
      <c r="B12" s="28" t="str">
        <v>Head</v>
      </c>
      <c r="C12" s="3"/>
      <c r="D12" s="12" t="s">
        <v>35</v>
      </c>
      <c r="E12" s="35">
        <f ca="1">COUNTIF(B10:B103,"Head")</f>
        <v>50</v>
      </c>
    </row>
    <row r="13" spans="1:6">
      <c r="A13" s="28">
        <v>4</v>
      </c>
      <c r="B13" s="28" t="str">
        <v>Head</v>
      </c>
      <c r="C13" s="3"/>
    </row>
    <row r="14" spans="1:6">
      <c r="A14" s="28">
        <v>5</v>
      </c>
      <c r="B14" s="28" t="str">
        <v>Head</v>
      </c>
      <c r="C14" s="3"/>
    </row>
    <row r="15" spans="1:6">
      <c r="A15" s="28">
        <v>6</v>
      </c>
      <c r="B15" s="28" t="str">
        <v>Head</v>
      </c>
      <c r="C15" s="3"/>
      <c r="D15" s="11" t="s">
        <v>36</v>
      </c>
      <c r="E15" s="21"/>
      <c r="F15" s="56">
        <f ca="1">E11/100</f>
        <v>0.47</v>
      </c>
    </row>
    <row r="16" spans="1:6">
      <c r="A16" s="28">
        <v>7</v>
      </c>
      <c r="B16" s="28" t="str">
        <v>Tail</v>
      </c>
      <c r="C16" s="3"/>
      <c r="D16" s="12" t="s">
        <v>33</v>
      </c>
      <c r="E16" s="22"/>
      <c r="F16" s="56">
        <f ca="1">E12/100</f>
        <v>0.5</v>
      </c>
    </row>
    <row r="17" spans="1:3">
      <c r="A17" s="28">
        <v>8</v>
      </c>
      <c r="B17" s="28" t="str">
        <v>Tail</v>
      </c>
      <c r="C17" s="3"/>
    </row>
    <row r="18" spans="1:3">
      <c r="A18" s="28">
        <v>9</v>
      </c>
      <c r="B18" s="28" t="str">
        <v>Head</v>
      </c>
      <c r="C18" s="3"/>
    </row>
    <row r="19" spans="1:3">
      <c r="A19" s="28">
        <v>10</v>
      </c>
      <c r="B19" s="28" t="str">
        <v>Head</v>
      </c>
      <c r="C19" s="3"/>
    </row>
    <row r="20" spans="1:3">
      <c r="A20" s="28">
        <v>11</v>
      </c>
      <c r="B20" s="28" t="str">
        <v>Tail</v>
      </c>
      <c r="C20" s="3"/>
    </row>
    <row r="21" spans="1:3">
      <c r="A21" s="28">
        <v>12</v>
      </c>
      <c r="B21" s="28" t="str">
        <v>Head</v>
      </c>
      <c r="C21" s="3"/>
    </row>
    <row r="22" spans="1:3">
      <c r="A22" s="28">
        <v>13</v>
      </c>
      <c r="B22" s="28" t="str">
        <v>Head</v>
      </c>
      <c r="C22" s="3"/>
    </row>
    <row r="23" spans="1:3">
      <c r="A23" s="28">
        <v>14</v>
      </c>
      <c r="B23" s="28" t="str">
        <v>Head</v>
      </c>
      <c r="C23" s="3"/>
    </row>
    <row r="24" spans="1:3">
      <c r="A24" s="28">
        <v>15</v>
      </c>
      <c r="B24" s="28" t="str">
        <v>Tail</v>
      </c>
      <c r="C24" s="3"/>
    </row>
    <row r="25" spans="1:3">
      <c r="A25" s="28">
        <v>16</v>
      </c>
      <c r="B25" s="28" t="str">
        <v>Head</v>
      </c>
      <c r="C25" s="3"/>
    </row>
    <row r="26" spans="1:3">
      <c r="A26" s="28">
        <v>17</v>
      </c>
      <c r="B26" s="28" t="str">
        <v>Tail</v>
      </c>
      <c r="C26" s="3"/>
    </row>
    <row r="27" spans="1:3">
      <c r="A27" s="28">
        <v>18</v>
      </c>
      <c r="B27" s="28" t="str">
        <v>Tail</v>
      </c>
      <c r="C27" s="3"/>
    </row>
    <row r="28" spans="1:3">
      <c r="A28" s="28">
        <v>19</v>
      </c>
      <c r="B28" s="28" t="str">
        <v>Tail</v>
      </c>
      <c r="C28" s="3"/>
    </row>
    <row r="29" spans="1:3">
      <c r="A29" s="28">
        <v>20</v>
      </c>
      <c r="B29" s="28" t="str">
        <v>Tail</v>
      </c>
      <c r="C29" s="3"/>
    </row>
    <row r="30" spans="1:3">
      <c r="A30" s="28">
        <v>21</v>
      </c>
      <c r="B30" s="28" t="str">
        <v>Head</v>
      </c>
      <c r="C30" s="3"/>
    </row>
    <row r="31" spans="1:3">
      <c r="A31" s="28">
        <v>22</v>
      </c>
      <c r="B31" s="28" t="str">
        <v>Head</v>
      </c>
      <c r="C31" s="3"/>
    </row>
    <row r="32" spans="1:3">
      <c r="A32" s="28">
        <v>23</v>
      </c>
      <c r="B32" s="28" t="str">
        <v>Tail</v>
      </c>
      <c r="C32" s="3"/>
    </row>
    <row r="33" spans="1:3">
      <c r="A33" s="28">
        <v>24</v>
      </c>
      <c r="B33" s="28" t="str">
        <v>Tail</v>
      </c>
      <c r="C33" s="3"/>
    </row>
    <row r="34" spans="1:3">
      <c r="A34" s="28">
        <v>25</v>
      </c>
      <c r="B34" s="28" t="str">
        <v>Head</v>
      </c>
      <c r="C34" s="3"/>
    </row>
    <row r="35" spans="1:3">
      <c r="A35" s="28">
        <v>26</v>
      </c>
      <c r="B35" s="28" t="str">
        <v>Tail</v>
      </c>
      <c r="C35" s="3"/>
    </row>
    <row r="36" spans="1:3">
      <c r="A36" s="28">
        <v>27</v>
      </c>
      <c r="B36" s="28" t="str">
        <v>Tail</v>
      </c>
      <c r="C36" s="3"/>
    </row>
    <row r="37" spans="1:3">
      <c r="A37" s="28">
        <v>28</v>
      </c>
      <c r="B37" s="28" t="str">
        <v>Head</v>
      </c>
      <c r="C37" s="3"/>
    </row>
    <row r="38" spans="1:3">
      <c r="A38" s="28">
        <v>29</v>
      </c>
      <c r="B38" s="28" t="str">
        <v>Head</v>
      </c>
      <c r="C38" s="3"/>
    </row>
    <row r="39" spans="1:3">
      <c r="A39" s="28">
        <v>30</v>
      </c>
      <c r="B39" s="28" t="str">
        <v>Head</v>
      </c>
      <c r="C39" s="3"/>
    </row>
    <row r="40" spans="1:3">
      <c r="A40" s="28">
        <v>31</v>
      </c>
      <c r="B40" s="28" t="str">
        <v>Tail</v>
      </c>
      <c r="C40" s="3"/>
    </row>
    <row r="41" spans="1:3">
      <c r="A41" s="28">
        <v>32</v>
      </c>
      <c r="B41" s="28" t="str">
        <v>Tail</v>
      </c>
      <c r="C41" s="3"/>
    </row>
    <row r="42" spans="1:3">
      <c r="A42" s="28">
        <v>33</v>
      </c>
      <c r="B42" s="28" t="str">
        <v>Tail</v>
      </c>
      <c r="C42" s="3"/>
    </row>
    <row r="43" spans="1:3">
      <c r="A43" s="28">
        <v>34</v>
      </c>
      <c r="B43" s="28" t="str">
        <v>Head</v>
      </c>
      <c r="C43" s="3"/>
    </row>
    <row r="44" spans="1:3">
      <c r="A44" s="28">
        <v>35</v>
      </c>
      <c r="B44" s="28" t="str">
        <v>Tail</v>
      </c>
      <c r="C44" s="3"/>
    </row>
    <row r="45" spans="1:3">
      <c r="A45" s="28">
        <v>36</v>
      </c>
      <c r="B45" s="28" t="str">
        <v>Head</v>
      </c>
      <c r="C45" s="3"/>
    </row>
    <row r="46" spans="1:3">
      <c r="A46" s="28">
        <v>37</v>
      </c>
      <c r="B46" s="28" t="str">
        <v>Tail</v>
      </c>
      <c r="C46" s="3"/>
    </row>
    <row r="47" spans="1:3">
      <c r="A47" s="28">
        <v>38</v>
      </c>
      <c r="B47" s="28" t="str">
        <v>Head</v>
      </c>
      <c r="C47" s="3"/>
    </row>
    <row r="48" spans="1:3">
      <c r="A48" s="28">
        <v>39</v>
      </c>
      <c r="B48" s="28" t="str">
        <v>Tail</v>
      </c>
      <c r="C48" s="3"/>
    </row>
    <row r="49" spans="1:3">
      <c r="A49" s="28">
        <v>40</v>
      </c>
      <c r="B49" s="28" t="str">
        <v>Tail</v>
      </c>
      <c r="C49" s="3"/>
    </row>
    <row r="50" spans="1:3">
      <c r="A50" s="28">
        <v>41</v>
      </c>
      <c r="B50" s="28" t="str">
        <v>Tail</v>
      </c>
      <c r="C50" s="3"/>
    </row>
    <row r="51" spans="1:3">
      <c r="A51" s="28">
        <v>42</v>
      </c>
      <c r="B51" s="28" t="str">
        <v>Head</v>
      </c>
      <c r="C51" s="3"/>
    </row>
    <row r="52" spans="1:3">
      <c r="A52" s="28">
        <v>43</v>
      </c>
      <c r="B52" s="28" t="str">
        <v>Tail</v>
      </c>
      <c r="C52" s="3"/>
    </row>
    <row r="53" spans="1:3">
      <c r="A53" s="28">
        <v>44</v>
      </c>
      <c r="B53" s="28" t="str">
        <v>Tail</v>
      </c>
      <c r="C53" s="3"/>
    </row>
    <row r="54" spans="1:3">
      <c r="A54" s="28">
        <v>45</v>
      </c>
      <c r="B54" s="28" t="str">
        <v>Head</v>
      </c>
      <c r="C54" s="3"/>
    </row>
    <row r="55" spans="1:3">
      <c r="A55" s="28">
        <v>46</v>
      </c>
      <c r="B55" s="28" t="str">
        <v>Head</v>
      </c>
      <c r="C55" s="3"/>
    </row>
    <row r="56" spans="1:3">
      <c r="A56" s="28">
        <v>47</v>
      </c>
      <c r="B56" s="28" t="str">
        <v>Head</v>
      </c>
      <c r="C56" s="3"/>
    </row>
    <row r="57" spans="1:3">
      <c r="A57" s="28">
        <v>48</v>
      </c>
      <c r="B57" s="28" t="str">
        <v>Head</v>
      </c>
      <c r="C57" s="3"/>
    </row>
    <row r="58" spans="1:3">
      <c r="A58" s="28">
        <v>49</v>
      </c>
      <c r="B58" s="28" t="str">
        <v>Head</v>
      </c>
      <c r="C58" s="3"/>
    </row>
    <row r="59" spans="1:3">
      <c r="A59" s="28">
        <v>50</v>
      </c>
      <c r="B59" s="28" t="str">
        <v>Tail</v>
      </c>
      <c r="C59" s="3"/>
    </row>
    <row r="60" spans="1:3">
      <c r="A60" s="28">
        <v>51</v>
      </c>
      <c r="B60" s="28" t="str">
        <v>Head</v>
      </c>
      <c r="C60" s="3"/>
    </row>
    <row r="61" spans="1:3">
      <c r="A61" s="28">
        <v>52</v>
      </c>
      <c r="B61" s="28" t="str">
        <v>Head</v>
      </c>
      <c r="C61" s="3"/>
    </row>
    <row r="62" spans="1:3">
      <c r="A62" s="28">
        <v>53</v>
      </c>
      <c r="B62" s="28" t="str">
        <v>Head</v>
      </c>
      <c r="C62" s="3"/>
    </row>
    <row r="63" spans="1:3">
      <c r="A63" s="28">
        <v>54</v>
      </c>
      <c r="B63" s="28" t="str">
        <v>Head</v>
      </c>
      <c r="C63" s="3"/>
    </row>
    <row r="64" spans="1:3">
      <c r="A64" s="28">
        <v>55</v>
      </c>
      <c r="B64" s="28" t="str">
        <v>Head</v>
      </c>
      <c r="C64" s="3"/>
    </row>
    <row r="65" spans="1:3">
      <c r="A65" s="28">
        <v>56</v>
      </c>
      <c r="B65" s="28" t="str">
        <v>Tail</v>
      </c>
      <c r="C65" s="3"/>
    </row>
    <row r="66" spans="1:3">
      <c r="A66" s="28">
        <v>57</v>
      </c>
      <c r="B66" s="28" t="str">
        <v>Head</v>
      </c>
      <c r="C66" s="3"/>
    </row>
    <row r="67" spans="1:3">
      <c r="A67" s="28">
        <v>58</v>
      </c>
      <c r="B67" s="28" t="str">
        <v>Tail</v>
      </c>
      <c r="C67" s="3"/>
    </row>
    <row r="68" spans="1:3">
      <c r="A68" s="28">
        <v>59</v>
      </c>
      <c r="B68" s="28" t="str">
        <v>Head</v>
      </c>
      <c r="C68" s="3"/>
    </row>
    <row r="69" spans="1:3">
      <c r="A69" s="28">
        <v>60</v>
      </c>
      <c r="B69" s="28" t="str">
        <v>Head</v>
      </c>
      <c r="C69" s="3"/>
    </row>
    <row r="70" spans="1:3">
      <c r="A70" s="28">
        <v>61</v>
      </c>
      <c r="B70" s="28" t="str">
        <v>Head</v>
      </c>
      <c r="C70" s="3"/>
    </row>
    <row r="71" spans="1:3">
      <c r="A71" s="28">
        <v>62</v>
      </c>
      <c r="B71" s="28" t="str">
        <v>Tail</v>
      </c>
      <c r="C71" s="3"/>
    </row>
    <row r="72" spans="1:3">
      <c r="A72" s="28">
        <v>63</v>
      </c>
      <c r="B72" s="28" t="str">
        <v>Head</v>
      </c>
      <c r="C72" s="3"/>
    </row>
    <row r="73" spans="1:3">
      <c r="A73" s="28">
        <v>64</v>
      </c>
      <c r="B73" s="28" t="str">
        <v>Head</v>
      </c>
      <c r="C73" s="3"/>
    </row>
    <row r="74" spans="1:3">
      <c r="A74" s="28">
        <v>65</v>
      </c>
      <c r="B74" s="28" t="str">
        <v>Tail</v>
      </c>
      <c r="C74" s="3"/>
    </row>
    <row r="75" spans="1:3">
      <c r="A75" s="28">
        <v>66</v>
      </c>
      <c r="B75" s="28" t="str">
        <v>Head</v>
      </c>
      <c r="C75" s="3"/>
    </row>
    <row r="76" spans="1:3">
      <c r="A76" s="28">
        <v>67</v>
      </c>
      <c r="B76" s="28" t="str">
        <v>Tail</v>
      </c>
      <c r="C76" s="3"/>
    </row>
    <row r="77" spans="1:3">
      <c r="A77" s="28">
        <v>68</v>
      </c>
      <c r="B77" s="28" t="str">
        <v>Head</v>
      </c>
      <c r="C77" s="3"/>
    </row>
    <row r="78" spans="1:3">
      <c r="A78" s="28">
        <v>69</v>
      </c>
      <c r="B78" s="28" t="str">
        <v>Tail</v>
      </c>
      <c r="C78" s="3"/>
    </row>
    <row r="79" spans="1:3">
      <c r="A79" s="28">
        <v>70</v>
      </c>
      <c r="B79" s="28" t="str">
        <v>Tail</v>
      </c>
      <c r="C79" s="3"/>
    </row>
    <row r="80" spans="1:3">
      <c r="A80" s="28">
        <v>71</v>
      </c>
      <c r="B80" s="28" t="str">
        <v>Tail</v>
      </c>
      <c r="C80" s="3"/>
    </row>
    <row r="81" spans="1:3">
      <c r="A81" s="28">
        <v>72</v>
      </c>
      <c r="B81" s="28" t="str">
        <v>Tail</v>
      </c>
      <c r="C81" s="3"/>
    </row>
    <row r="82" spans="1:3">
      <c r="A82" s="28">
        <v>73</v>
      </c>
      <c r="B82" s="28" t="str">
        <v>Head</v>
      </c>
      <c r="C82" s="3"/>
    </row>
    <row r="83" spans="1:3">
      <c r="A83" s="28">
        <v>74</v>
      </c>
      <c r="B83" s="28" t="str">
        <v>Head</v>
      </c>
      <c r="C83" s="3"/>
    </row>
    <row r="84" spans="1:3">
      <c r="A84" s="28">
        <v>75</v>
      </c>
      <c r="B84" s="28" t="str">
        <v>Tail</v>
      </c>
      <c r="C84" s="3"/>
    </row>
    <row r="85" spans="1:3">
      <c r="A85" s="28">
        <v>76</v>
      </c>
      <c r="B85" s="28" t="str">
        <v>Tail</v>
      </c>
      <c r="C85" s="3"/>
    </row>
    <row r="86" spans="1:3">
      <c r="A86" s="28">
        <v>77</v>
      </c>
      <c r="B86" s="28" t="str">
        <v>Tail</v>
      </c>
      <c r="C86" s="3"/>
    </row>
    <row r="87" spans="1:3">
      <c r="A87" s="28">
        <v>78</v>
      </c>
      <c r="B87" s="28" t="str">
        <v>Tail</v>
      </c>
      <c r="C87" s="3"/>
    </row>
    <row r="88" spans="1:3">
      <c r="A88" s="28">
        <v>79</v>
      </c>
      <c r="B88" s="28" t="str">
        <v>Head</v>
      </c>
      <c r="C88" s="3"/>
    </row>
    <row r="89" spans="1:3">
      <c r="A89" s="28">
        <v>80</v>
      </c>
      <c r="B89" s="28" t="str">
        <v>Tail</v>
      </c>
      <c r="C89" s="3"/>
    </row>
    <row r="90" spans="1:3">
      <c r="A90" s="28">
        <v>81</v>
      </c>
      <c r="B90" s="28" t="str">
        <v>Head</v>
      </c>
      <c r="C90" s="3"/>
    </row>
    <row r="91" spans="1:3">
      <c r="A91" s="28">
        <v>82</v>
      </c>
      <c r="B91" s="28" t="str">
        <v>Head</v>
      </c>
      <c r="C91" s="3"/>
    </row>
    <row r="92" spans="1:3">
      <c r="A92" s="28">
        <v>83</v>
      </c>
      <c r="B92" s="28" t="str">
        <v>Tail</v>
      </c>
      <c r="C92" s="3"/>
    </row>
    <row r="93" spans="1:3">
      <c r="A93" s="28">
        <v>84</v>
      </c>
      <c r="B93" s="28" t="str">
        <v>Head</v>
      </c>
      <c r="C93" s="3"/>
    </row>
    <row r="94" spans="1:3">
      <c r="A94" s="28">
        <v>85</v>
      </c>
      <c r="B94" s="28" t="str">
        <v>Head</v>
      </c>
      <c r="C94" s="3"/>
    </row>
    <row r="95" spans="1:3">
      <c r="A95" s="28">
        <v>86</v>
      </c>
      <c r="B95" s="28" t="str">
        <v>Head</v>
      </c>
      <c r="C95" s="3"/>
    </row>
    <row r="96" spans="1:3">
      <c r="A96" s="28">
        <v>87</v>
      </c>
      <c r="B96" s="28" t="str">
        <v>Tail</v>
      </c>
      <c r="C96" s="3"/>
    </row>
    <row r="97" spans="1:3">
      <c r="A97" s="28">
        <v>88</v>
      </c>
      <c r="B97" s="28" t="str">
        <v>Tail</v>
      </c>
      <c r="C97" s="3"/>
    </row>
    <row r="98" spans="1:3">
      <c r="A98" s="28">
        <v>89</v>
      </c>
      <c r="B98" s="28" t="str">
        <v>Head</v>
      </c>
      <c r="C98" s="3"/>
    </row>
    <row r="99" spans="1:3">
      <c r="A99" s="28">
        <v>90</v>
      </c>
      <c r="B99" s="28" t="str">
        <v>Tail</v>
      </c>
      <c r="C99" s="3"/>
    </row>
    <row r="100" spans="1:3">
      <c r="A100" s="28">
        <v>91</v>
      </c>
      <c r="B100" s="28" t="str">
        <v>Tail</v>
      </c>
      <c r="C100" s="3"/>
    </row>
    <row r="101" spans="1:3">
      <c r="A101" s="28">
        <v>92</v>
      </c>
      <c r="B101" s="28" t="str">
        <v>Head</v>
      </c>
      <c r="C101" s="3"/>
    </row>
    <row r="102" spans="1:3">
      <c r="A102" s="28">
        <v>93</v>
      </c>
      <c r="B102" s="28" t="str">
        <v>Tail</v>
      </c>
      <c r="C102" s="3"/>
    </row>
    <row r="103" spans="1:3">
      <c r="A103" s="28">
        <v>94</v>
      </c>
      <c r="B103" s="28" t="str">
        <v>Tail</v>
      </c>
      <c r="C103" s="3"/>
    </row>
    <row r="104" spans="1:3">
      <c r="A104" s="28">
        <v>95</v>
      </c>
      <c r="B104" s="28" t="str">
        <v>Tail</v>
      </c>
      <c r="C104" s="3"/>
    </row>
    <row r="105" spans="1:3">
      <c r="A105" s="28">
        <v>96</v>
      </c>
      <c r="B105" s="28" t="str">
        <v>Tail</v>
      </c>
      <c r="C105" s="3"/>
    </row>
    <row r="106" spans="1:3">
      <c r="A106" s="28">
        <v>97</v>
      </c>
      <c r="B106" s="28" t="str">
        <v>Head</v>
      </c>
    </row>
    <row r="107" spans="1:3">
      <c r="A107" s="28">
        <v>98</v>
      </c>
      <c r="B107" s="28" t="str">
        <v>Head</v>
      </c>
    </row>
    <row r="108" spans="1:3">
      <c r="A108" s="28">
        <v>99</v>
      </c>
      <c r="B108" s="28" t="str">
        <v>Head</v>
      </c>
    </row>
    <row r="109" spans="1:3">
      <c r="A109" s="28">
        <v>100</v>
      </c>
      <c r="B109" s="28" t="str">
        <v>Tail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511"/>
  <sheetViews>
    <sheetView workbookViewId="0">
      <selection activeCell="L16" sqref="L16"/>
    </sheetView>
  </sheetViews>
  <sheetFormatPr defaultRowHeight="13.8"/>
  <cols>
    <col min="1" max="1" width="6.59765625" customWidth="1"/>
    <col min="2" max="2" width="18" customWidth="1"/>
    <col min="3" max="3" width="15.59765625" customWidth="1"/>
    <col min="4" max="4" width="18.19921875" customWidth="1"/>
    <col min="5" max="5" width="10.09765625" customWidth="1"/>
    <col min="6" max="6" width="7.59765625" customWidth="1"/>
    <col min="10" max="10" width="14" customWidth="1"/>
  </cols>
  <sheetData>
    <row r="1" spans="1:10" ht="30">
      <c r="A1" s="36" t="s">
        <v>32</v>
      </c>
      <c r="B1" s="2"/>
      <c r="C1" s="7"/>
      <c r="D1" s="7"/>
      <c r="E1" s="7"/>
      <c r="F1" s="7"/>
    </row>
    <row r="2" spans="1:10" ht="30">
      <c r="A2" s="1"/>
      <c r="B2" s="2"/>
      <c r="C2" s="7"/>
      <c r="D2" s="7"/>
      <c r="E2" s="7"/>
      <c r="F2" s="7"/>
    </row>
    <row r="5" spans="1:10" ht="31.2">
      <c r="A5" s="8" t="s">
        <v>39</v>
      </c>
      <c r="B5" s="8" t="s">
        <v>3</v>
      </c>
      <c r="C5" s="8" t="s">
        <v>41</v>
      </c>
    </row>
    <row r="6" spans="1:10">
      <c r="A6" s="30">
        <v>1</v>
      </c>
      <c r="B6" s="30">
        <f ca="1">RAND()</f>
        <v>0.19536166082330342</v>
      </c>
      <c r="C6" s="31">
        <f ca="1">IF(B6&gt;=0.5,10,0)</f>
        <v>0</v>
      </c>
    </row>
    <row r="7" spans="1:10">
      <c r="A7" s="30">
        <v>2</v>
      </c>
      <c r="B7" s="30">
        <f ca="1">RAND()</f>
        <v>0.71723143139001511</v>
      </c>
      <c r="C7" s="31">
        <f ca="1">IF(B7&gt;=0.5,10,0)</f>
        <v>10</v>
      </c>
    </row>
    <row r="8" spans="1:10">
      <c r="A8" s="30">
        <v>3</v>
      </c>
      <c r="B8" s="30">
        <f ca="1">RAND()</f>
        <v>0.62194983514483992</v>
      </c>
      <c r="C8" s="31">
        <f ca="1">IF(B8&gt;=0.5,10,-50)</f>
        <v>10</v>
      </c>
    </row>
    <row r="9" spans="1:10">
      <c r="A9" s="62" t="s">
        <v>38</v>
      </c>
      <c r="B9" s="62"/>
      <c r="C9" s="32">
        <f ca="1">SUM(C6:C8)</f>
        <v>20</v>
      </c>
    </row>
    <row r="10" spans="1:10">
      <c r="C10" s="3"/>
    </row>
    <row r="11" spans="1:10" ht="31.2">
      <c r="A11" s="8" t="s">
        <v>37</v>
      </c>
      <c r="B11" s="8" t="s">
        <v>40</v>
      </c>
      <c r="C11" s="3"/>
      <c r="D11" s="3"/>
    </row>
    <row r="12" spans="1:10">
      <c r="A12" s="28">
        <v>1</v>
      </c>
      <c r="B12" s="29">
        <f ca="1">C9</f>
        <v>20</v>
      </c>
      <c r="C12" s="3"/>
    </row>
    <row r="13" spans="1:10">
      <c r="A13" s="28">
        <v>2</v>
      </c>
      <c r="B13" s="28">
        <f t="dataTable" ref="B13:B511" dt2D="0" dtr="0" r1="N14" ca="1"/>
        <v>10</v>
      </c>
      <c r="C13" s="3"/>
      <c r="D13" s="63" t="s">
        <v>48</v>
      </c>
      <c r="E13" s="64"/>
      <c r="F13" s="64"/>
      <c r="G13" s="65"/>
      <c r="H13" s="33">
        <f ca="1">AVERAGE(B12:B511)</f>
        <v>-9.76</v>
      </c>
      <c r="J13" t="s">
        <v>51</v>
      </c>
    </row>
    <row r="14" spans="1:10">
      <c r="A14" s="28">
        <v>3</v>
      </c>
      <c r="B14" s="28">
        <v>30</v>
      </c>
      <c r="C14" s="3"/>
      <c r="D14" s="66" t="s">
        <v>49</v>
      </c>
      <c r="E14" s="66"/>
      <c r="F14" s="66"/>
      <c r="G14" s="66"/>
      <c r="H14" s="60">
        <f ca="1">AVERAGEIF(B12:B511,"&gt;=0")</f>
        <v>19.763779527559056</v>
      </c>
      <c r="J14">
        <f ca="1">COUNT(B12:B511)</f>
        <v>500</v>
      </c>
    </row>
    <row r="15" spans="1:10">
      <c r="A15" s="28">
        <v>4</v>
      </c>
      <c r="B15" s="28">
        <v>20</v>
      </c>
      <c r="C15" s="3"/>
      <c r="D15" s="66" t="s">
        <v>50</v>
      </c>
      <c r="E15" s="66"/>
      <c r="F15" s="66"/>
      <c r="G15" s="66"/>
      <c r="H15" s="60">
        <f ca="1">AVERAGEIF(B12:B511,"&lt;0")</f>
        <v>-40.243902439024389</v>
      </c>
    </row>
    <row r="16" spans="1:10">
      <c r="A16" s="28">
        <v>5</v>
      </c>
      <c r="B16" s="28">
        <v>30</v>
      </c>
      <c r="C16" s="3"/>
      <c r="D16" s="63" t="s">
        <v>42</v>
      </c>
      <c r="E16" s="64"/>
      <c r="F16" s="64"/>
      <c r="G16" s="65"/>
      <c r="H16" s="58">
        <f ca="1">(COUNTIF(B12:B511,"&gt;=0"))/J14</f>
        <v>0.50800000000000001</v>
      </c>
    </row>
    <row r="17" spans="1:12">
      <c r="A17" s="28">
        <v>6</v>
      </c>
      <c r="B17" s="28">
        <v>30</v>
      </c>
      <c r="C17" s="3"/>
      <c r="D17" s="53" t="s">
        <v>43</v>
      </c>
      <c r="E17" s="54"/>
      <c r="F17" s="54"/>
      <c r="G17" s="55"/>
      <c r="H17" s="59">
        <f ca="1">(COUNTIF(B12:B511,"&lt;0"))/J14</f>
        <v>0.49199999999999999</v>
      </c>
      <c r="L17" s="61"/>
    </row>
    <row r="18" spans="1:12">
      <c r="A18" s="28">
        <v>7</v>
      </c>
      <c r="B18" s="28">
        <v>10</v>
      </c>
      <c r="D18" s="53" t="s">
        <v>44</v>
      </c>
      <c r="E18" s="54"/>
      <c r="F18" s="54"/>
      <c r="G18" s="55"/>
      <c r="H18" s="13">
        <f ca="1">(COUNTIF(B12:B511,0))/J14</f>
        <v>0</v>
      </c>
    </row>
    <row r="19" spans="1:12">
      <c r="A19" s="28">
        <v>8</v>
      </c>
      <c r="B19" s="28">
        <v>-40</v>
      </c>
      <c r="D19" s="53" t="s">
        <v>45</v>
      </c>
      <c r="E19" s="54"/>
      <c r="F19" s="54"/>
      <c r="G19" s="55"/>
      <c r="H19" s="33">
        <f ca="1">COUNTIF(B12:B511,"&gt;=0")</f>
        <v>254</v>
      </c>
    </row>
    <row r="20" spans="1:12">
      <c r="A20" s="28">
        <v>9</v>
      </c>
      <c r="B20" s="28">
        <v>-40</v>
      </c>
      <c r="D20" s="53" t="s">
        <v>46</v>
      </c>
      <c r="E20" s="54"/>
      <c r="F20" s="54"/>
      <c r="G20" s="55"/>
      <c r="H20" s="33">
        <f ca="1">MIN(B12:B511)</f>
        <v>-50</v>
      </c>
    </row>
    <row r="21" spans="1:12">
      <c r="A21" s="28">
        <v>10</v>
      </c>
      <c r="B21" s="28">
        <v>20</v>
      </c>
      <c r="D21" s="53" t="s">
        <v>47</v>
      </c>
      <c r="E21" s="54"/>
      <c r="F21" s="54"/>
      <c r="G21" s="55"/>
      <c r="H21" s="33">
        <f ca="1">MAX(B12:B511)</f>
        <v>30</v>
      </c>
      <c r="L21" s="61" t="s">
        <v>52</v>
      </c>
    </row>
    <row r="22" spans="1:12">
      <c r="A22" s="28">
        <v>11</v>
      </c>
      <c r="B22" s="28">
        <v>-50</v>
      </c>
      <c r="L22" t="s">
        <v>53</v>
      </c>
    </row>
    <row r="23" spans="1:12">
      <c r="A23" s="28">
        <v>12</v>
      </c>
      <c r="B23" s="28">
        <v>-30</v>
      </c>
      <c r="C23" s="3"/>
      <c r="L23" t="s">
        <v>54</v>
      </c>
    </row>
    <row r="24" spans="1:12">
      <c r="A24" s="28">
        <v>13</v>
      </c>
      <c r="B24" s="28">
        <v>-40</v>
      </c>
      <c r="C24" s="3"/>
      <c r="L24" t="s">
        <v>55</v>
      </c>
    </row>
    <row r="25" spans="1:12">
      <c r="A25" s="28">
        <v>14</v>
      </c>
      <c r="B25" s="28">
        <v>-40</v>
      </c>
      <c r="C25" s="3"/>
      <c r="L25" t="s">
        <v>56</v>
      </c>
    </row>
    <row r="26" spans="1:12">
      <c r="A26" s="28">
        <v>15</v>
      </c>
      <c r="B26" s="28">
        <v>-40</v>
      </c>
      <c r="C26" s="3"/>
    </row>
    <row r="27" spans="1:12">
      <c r="A27" s="28">
        <v>16</v>
      </c>
      <c r="B27" s="28">
        <v>20</v>
      </c>
      <c r="C27" s="3"/>
    </row>
    <row r="28" spans="1:12">
      <c r="A28" s="28">
        <v>17</v>
      </c>
      <c r="B28" s="28">
        <v>-50</v>
      </c>
      <c r="C28" s="3"/>
    </row>
    <row r="29" spans="1:12">
      <c r="A29" s="28">
        <v>18</v>
      </c>
      <c r="B29" s="28">
        <v>20</v>
      </c>
      <c r="C29" s="3"/>
    </row>
    <row r="30" spans="1:12">
      <c r="A30" s="28">
        <v>19</v>
      </c>
      <c r="B30" s="28">
        <v>-30</v>
      </c>
      <c r="C30" s="3"/>
    </row>
    <row r="31" spans="1:12">
      <c r="A31" s="28">
        <v>20</v>
      </c>
      <c r="B31" s="28">
        <v>-50</v>
      </c>
      <c r="C31" s="3"/>
    </row>
    <row r="32" spans="1:12">
      <c r="A32" s="28">
        <v>21</v>
      </c>
      <c r="B32" s="28">
        <v>30</v>
      </c>
      <c r="C32" s="3"/>
    </row>
    <row r="33" spans="1:3">
      <c r="A33" s="28">
        <v>22</v>
      </c>
      <c r="B33" s="28">
        <v>10</v>
      </c>
      <c r="C33" s="3"/>
    </row>
    <row r="34" spans="1:3">
      <c r="A34" s="28">
        <v>23</v>
      </c>
      <c r="B34" s="28">
        <v>-40</v>
      </c>
      <c r="C34" s="3"/>
    </row>
    <row r="35" spans="1:3">
      <c r="A35" s="28">
        <v>24</v>
      </c>
      <c r="B35" s="28">
        <v>-50</v>
      </c>
      <c r="C35" s="3"/>
    </row>
    <row r="36" spans="1:3">
      <c r="A36" s="28">
        <v>25</v>
      </c>
      <c r="B36" s="28">
        <v>-50</v>
      </c>
      <c r="C36" s="3"/>
    </row>
    <row r="37" spans="1:3">
      <c r="A37" s="28">
        <v>26</v>
      </c>
      <c r="B37" s="28">
        <v>-50</v>
      </c>
      <c r="C37" s="3"/>
    </row>
    <row r="38" spans="1:3">
      <c r="A38" s="28">
        <v>27</v>
      </c>
      <c r="B38" s="28">
        <v>10</v>
      </c>
      <c r="C38" s="3"/>
    </row>
    <row r="39" spans="1:3">
      <c r="A39" s="28">
        <v>28</v>
      </c>
      <c r="B39" s="28">
        <v>-30</v>
      </c>
      <c r="C39" s="3"/>
    </row>
    <row r="40" spans="1:3">
      <c r="A40" s="28">
        <v>29</v>
      </c>
      <c r="B40" s="28">
        <v>30</v>
      </c>
      <c r="C40" s="3"/>
    </row>
    <row r="41" spans="1:3">
      <c r="A41" s="28">
        <v>30</v>
      </c>
      <c r="B41" s="28">
        <v>20</v>
      </c>
      <c r="C41" s="3"/>
    </row>
    <row r="42" spans="1:3">
      <c r="A42" s="28">
        <v>31</v>
      </c>
      <c r="B42" s="28">
        <v>20</v>
      </c>
      <c r="C42" s="3"/>
    </row>
    <row r="43" spans="1:3">
      <c r="A43" s="28">
        <v>32</v>
      </c>
      <c r="B43" s="28">
        <v>-40</v>
      </c>
      <c r="C43" s="3"/>
    </row>
    <row r="44" spans="1:3">
      <c r="A44" s="28">
        <v>33</v>
      </c>
      <c r="B44" s="28">
        <v>30</v>
      </c>
      <c r="C44" s="3"/>
    </row>
    <row r="45" spans="1:3">
      <c r="A45" s="28">
        <v>34</v>
      </c>
      <c r="B45" s="28">
        <v>20</v>
      </c>
      <c r="C45" s="3"/>
    </row>
    <row r="46" spans="1:3">
      <c r="A46" s="28">
        <v>35</v>
      </c>
      <c r="B46" s="28">
        <v>20</v>
      </c>
      <c r="C46" s="3"/>
    </row>
    <row r="47" spans="1:3">
      <c r="A47" s="28">
        <v>36</v>
      </c>
      <c r="B47" s="28">
        <v>20</v>
      </c>
      <c r="C47" s="3"/>
    </row>
    <row r="48" spans="1:3">
      <c r="A48" s="28">
        <v>37</v>
      </c>
      <c r="B48" s="28">
        <v>10</v>
      </c>
      <c r="C48" s="3"/>
    </row>
    <row r="49" spans="1:3">
      <c r="A49" s="28">
        <v>38</v>
      </c>
      <c r="B49" s="28">
        <v>20</v>
      </c>
      <c r="C49" s="3"/>
    </row>
    <row r="50" spans="1:3">
      <c r="A50" s="28">
        <v>39</v>
      </c>
      <c r="B50" s="28">
        <v>30</v>
      </c>
      <c r="C50" s="3"/>
    </row>
    <row r="51" spans="1:3">
      <c r="A51" s="28">
        <v>40</v>
      </c>
      <c r="B51" s="28">
        <v>20</v>
      </c>
      <c r="C51" s="3"/>
    </row>
    <row r="52" spans="1:3">
      <c r="A52" s="28">
        <v>41</v>
      </c>
      <c r="B52" s="28">
        <v>-40</v>
      </c>
      <c r="C52" s="3"/>
    </row>
    <row r="53" spans="1:3">
      <c r="A53" s="28">
        <v>42</v>
      </c>
      <c r="B53" s="28">
        <v>-40</v>
      </c>
      <c r="C53" s="3"/>
    </row>
    <row r="54" spans="1:3">
      <c r="A54" s="28">
        <v>43</v>
      </c>
      <c r="B54" s="28">
        <v>-40</v>
      </c>
      <c r="C54" s="3"/>
    </row>
    <row r="55" spans="1:3">
      <c r="A55" s="28">
        <v>44</v>
      </c>
      <c r="B55" s="28">
        <v>-30</v>
      </c>
      <c r="C55" s="3"/>
    </row>
    <row r="56" spans="1:3">
      <c r="A56" s="28">
        <v>45</v>
      </c>
      <c r="B56" s="28">
        <v>20</v>
      </c>
      <c r="C56" s="3"/>
    </row>
    <row r="57" spans="1:3">
      <c r="A57" s="28">
        <v>46</v>
      </c>
      <c r="B57" s="28">
        <v>-30</v>
      </c>
      <c r="C57" s="3"/>
    </row>
    <row r="58" spans="1:3">
      <c r="A58" s="28">
        <v>47</v>
      </c>
      <c r="B58" s="28">
        <v>-40</v>
      </c>
      <c r="C58" s="3"/>
    </row>
    <row r="59" spans="1:3">
      <c r="A59" s="28">
        <v>48</v>
      </c>
      <c r="B59" s="28">
        <v>-40</v>
      </c>
      <c r="C59" s="3"/>
    </row>
    <row r="60" spans="1:3">
      <c r="A60" s="28">
        <v>49</v>
      </c>
      <c r="B60" s="28">
        <v>-30</v>
      </c>
      <c r="C60" s="3"/>
    </row>
    <row r="61" spans="1:3">
      <c r="A61" s="28">
        <v>50</v>
      </c>
      <c r="B61" s="28">
        <v>-40</v>
      </c>
      <c r="C61" s="3"/>
    </row>
    <row r="62" spans="1:3">
      <c r="A62" s="28">
        <v>51</v>
      </c>
      <c r="B62" s="28">
        <v>20</v>
      </c>
      <c r="C62" s="3"/>
    </row>
    <row r="63" spans="1:3">
      <c r="A63" s="28">
        <v>52</v>
      </c>
      <c r="B63" s="28">
        <v>-30</v>
      </c>
      <c r="C63" s="3"/>
    </row>
    <row r="64" spans="1:3">
      <c r="A64" s="28">
        <v>53</v>
      </c>
      <c r="B64" s="28">
        <v>10</v>
      </c>
      <c r="C64" s="3"/>
    </row>
    <row r="65" spans="1:3">
      <c r="A65" s="28">
        <v>54</v>
      </c>
      <c r="B65" s="28">
        <v>30</v>
      </c>
      <c r="C65" s="3"/>
    </row>
    <row r="66" spans="1:3">
      <c r="A66" s="28">
        <v>55</v>
      </c>
      <c r="B66" s="28">
        <v>-40</v>
      </c>
      <c r="C66" s="3"/>
    </row>
    <row r="67" spans="1:3">
      <c r="A67" s="28">
        <v>56</v>
      </c>
      <c r="B67" s="28">
        <v>-40</v>
      </c>
      <c r="C67" s="3"/>
    </row>
    <row r="68" spans="1:3">
      <c r="A68" s="28">
        <v>57</v>
      </c>
      <c r="B68" s="28">
        <v>-40</v>
      </c>
      <c r="C68" s="3"/>
    </row>
    <row r="69" spans="1:3">
      <c r="A69" s="28">
        <v>58</v>
      </c>
      <c r="B69" s="28">
        <v>-50</v>
      </c>
      <c r="C69" s="3"/>
    </row>
    <row r="70" spans="1:3">
      <c r="A70" s="28">
        <v>59</v>
      </c>
      <c r="B70" s="28">
        <v>10</v>
      </c>
      <c r="C70" s="3"/>
    </row>
    <row r="71" spans="1:3">
      <c r="A71" s="28">
        <v>60</v>
      </c>
      <c r="B71" s="28">
        <v>-30</v>
      </c>
      <c r="C71" s="3"/>
    </row>
    <row r="72" spans="1:3">
      <c r="A72" s="28">
        <v>61</v>
      </c>
      <c r="B72" s="28">
        <v>20</v>
      </c>
      <c r="C72" s="3"/>
    </row>
    <row r="73" spans="1:3">
      <c r="A73" s="28">
        <v>62</v>
      </c>
      <c r="B73" s="28">
        <v>30</v>
      </c>
      <c r="C73" s="3"/>
    </row>
    <row r="74" spans="1:3">
      <c r="A74" s="28">
        <v>63</v>
      </c>
      <c r="B74" s="28">
        <v>20</v>
      </c>
      <c r="C74" s="3"/>
    </row>
    <row r="75" spans="1:3">
      <c r="A75" s="28">
        <v>64</v>
      </c>
      <c r="B75" s="28">
        <v>-40</v>
      </c>
      <c r="C75" s="3"/>
    </row>
    <row r="76" spans="1:3">
      <c r="A76" s="28">
        <v>65</v>
      </c>
      <c r="B76" s="28">
        <v>-30</v>
      </c>
      <c r="C76" s="3"/>
    </row>
    <row r="77" spans="1:3">
      <c r="A77" s="28">
        <v>66</v>
      </c>
      <c r="B77" s="28">
        <v>-40</v>
      </c>
      <c r="C77" s="3"/>
    </row>
    <row r="78" spans="1:3">
      <c r="A78" s="28">
        <v>67</v>
      </c>
      <c r="B78" s="28">
        <v>20</v>
      </c>
      <c r="C78" s="3"/>
    </row>
    <row r="79" spans="1:3">
      <c r="A79" s="28">
        <v>68</v>
      </c>
      <c r="B79" s="28">
        <v>10</v>
      </c>
      <c r="C79" s="3"/>
    </row>
    <row r="80" spans="1:3">
      <c r="A80" s="28">
        <v>69</v>
      </c>
      <c r="B80" s="28">
        <v>20</v>
      </c>
      <c r="C80" s="3"/>
    </row>
    <row r="81" spans="1:3">
      <c r="A81" s="28">
        <v>70</v>
      </c>
      <c r="B81" s="28">
        <v>-50</v>
      </c>
      <c r="C81" s="3"/>
    </row>
    <row r="82" spans="1:3">
      <c r="A82" s="28">
        <v>71</v>
      </c>
      <c r="B82" s="28">
        <v>20</v>
      </c>
      <c r="C82" s="3"/>
    </row>
    <row r="83" spans="1:3">
      <c r="A83" s="28">
        <v>72</v>
      </c>
      <c r="B83" s="28">
        <v>10</v>
      </c>
      <c r="C83" s="3"/>
    </row>
    <row r="84" spans="1:3">
      <c r="A84" s="28">
        <v>73</v>
      </c>
      <c r="B84" s="28">
        <v>20</v>
      </c>
      <c r="C84" s="3"/>
    </row>
    <row r="85" spans="1:3">
      <c r="A85" s="28">
        <v>74</v>
      </c>
      <c r="B85" s="28">
        <v>20</v>
      </c>
      <c r="C85" s="3"/>
    </row>
    <row r="86" spans="1:3">
      <c r="A86" s="28">
        <v>75</v>
      </c>
      <c r="B86" s="28">
        <v>-40</v>
      </c>
      <c r="C86" s="3"/>
    </row>
    <row r="87" spans="1:3">
      <c r="A87" s="28">
        <v>76</v>
      </c>
      <c r="B87" s="28">
        <v>-40</v>
      </c>
      <c r="C87" s="3"/>
    </row>
    <row r="88" spans="1:3">
      <c r="A88" s="28">
        <v>77</v>
      </c>
      <c r="B88" s="28">
        <v>-40</v>
      </c>
      <c r="C88" s="3"/>
    </row>
    <row r="89" spans="1:3">
      <c r="A89" s="28">
        <v>78</v>
      </c>
      <c r="B89" s="28">
        <v>-30</v>
      </c>
      <c r="C89" s="3"/>
    </row>
    <row r="90" spans="1:3">
      <c r="A90" s="28">
        <v>79</v>
      </c>
      <c r="B90" s="28">
        <v>10</v>
      </c>
      <c r="C90" s="3"/>
    </row>
    <row r="91" spans="1:3">
      <c r="A91" s="28">
        <v>80</v>
      </c>
      <c r="B91" s="28">
        <v>-40</v>
      </c>
      <c r="C91" s="3"/>
    </row>
    <row r="92" spans="1:3">
      <c r="A92" s="28">
        <v>81</v>
      </c>
      <c r="B92" s="28">
        <v>30</v>
      </c>
      <c r="C92" s="3"/>
    </row>
    <row r="93" spans="1:3">
      <c r="A93" s="28">
        <v>82</v>
      </c>
      <c r="B93" s="28">
        <v>-40</v>
      </c>
      <c r="C93" s="3"/>
    </row>
    <row r="94" spans="1:3">
      <c r="A94" s="28">
        <v>83</v>
      </c>
      <c r="B94" s="28">
        <v>-30</v>
      </c>
      <c r="C94" s="3"/>
    </row>
    <row r="95" spans="1:3">
      <c r="A95" s="28">
        <v>84</v>
      </c>
      <c r="B95" s="28">
        <v>-30</v>
      </c>
      <c r="C95" s="3"/>
    </row>
    <row r="96" spans="1:3">
      <c r="A96" s="28">
        <v>85</v>
      </c>
      <c r="B96" s="28">
        <v>-40</v>
      </c>
      <c r="C96" s="3"/>
    </row>
    <row r="97" spans="1:3">
      <c r="A97" s="28">
        <v>86</v>
      </c>
      <c r="B97" s="28">
        <v>-40</v>
      </c>
      <c r="C97" s="3"/>
    </row>
    <row r="98" spans="1:3">
      <c r="A98" s="28">
        <v>87</v>
      </c>
      <c r="B98" s="28">
        <v>-50</v>
      </c>
      <c r="C98" s="3"/>
    </row>
    <row r="99" spans="1:3">
      <c r="A99" s="28">
        <v>88</v>
      </c>
      <c r="B99" s="28">
        <v>-40</v>
      </c>
      <c r="C99" s="3"/>
    </row>
    <row r="100" spans="1:3">
      <c r="A100" s="28">
        <v>89</v>
      </c>
      <c r="B100" s="28">
        <v>30</v>
      </c>
      <c r="C100" s="3"/>
    </row>
    <row r="101" spans="1:3">
      <c r="A101" s="28">
        <v>90</v>
      </c>
      <c r="B101" s="28">
        <v>-50</v>
      </c>
      <c r="C101" s="3"/>
    </row>
    <row r="102" spans="1:3">
      <c r="A102" s="28">
        <v>91</v>
      </c>
      <c r="B102" s="28">
        <v>-40</v>
      </c>
      <c r="C102" s="3"/>
    </row>
    <row r="103" spans="1:3">
      <c r="A103" s="28">
        <v>92</v>
      </c>
      <c r="B103" s="28">
        <v>-50</v>
      </c>
      <c r="C103" s="3"/>
    </row>
    <row r="104" spans="1:3">
      <c r="A104" s="28">
        <v>93</v>
      </c>
      <c r="B104" s="28">
        <v>10</v>
      </c>
      <c r="C104" s="3"/>
    </row>
    <row r="105" spans="1:3">
      <c r="A105" s="28">
        <v>94</v>
      </c>
      <c r="B105" s="28">
        <v>-40</v>
      </c>
      <c r="C105" s="3"/>
    </row>
    <row r="106" spans="1:3">
      <c r="A106" s="28">
        <v>95</v>
      </c>
      <c r="B106" s="28">
        <v>-40</v>
      </c>
      <c r="C106" s="3"/>
    </row>
    <row r="107" spans="1:3">
      <c r="A107" s="28">
        <v>96</v>
      </c>
      <c r="B107" s="28">
        <v>-40</v>
      </c>
      <c r="C107" s="3"/>
    </row>
    <row r="108" spans="1:3">
      <c r="A108" s="28">
        <v>97</v>
      </c>
      <c r="B108" s="28">
        <v>-30</v>
      </c>
    </row>
    <row r="109" spans="1:3">
      <c r="A109" s="28">
        <v>98</v>
      </c>
      <c r="B109" s="28">
        <v>20</v>
      </c>
    </row>
    <row r="110" spans="1:3">
      <c r="A110" s="28">
        <v>99</v>
      </c>
      <c r="B110" s="28">
        <v>-40</v>
      </c>
    </row>
    <row r="111" spans="1:3">
      <c r="A111" s="28">
        <v>100</v>
      </c>
      <c r="B111" s="28">
        <v>-40</v>
      </c>
    </row>
    <row r="112" spans="1:3">
      <c r="A112" s="28">
        <v>101</v>
      </c>
      <c r="B112" s="28">
        <v>-40</v>
      </c>
    </row>
    <row r="113" spans="1:2">
      <c r="A113" s="28">
        <v>102</v>
      </c>
      <c r="B113" s="28">
        <v>20</v>
      </c>
    </row>
    <row r="114" spans="1:2">
      <c r="A114" s="28">
        <v>103</v>
      </c>
      <c r="B114" s="28">
        <v>30</v>
      </c>
    </row>
    <row r="115" spans="1:2">
      <c r="A115" s="28">
        <v>104</v>
      </c>
      <c r="B115" s="28">
        <v>20</v>
      </c>
    </row>
    <row r="116" spans="1:2">
      <c r="A116" s="28">
        <v>105</v>
      </c>
      <c r="B116" s="28">
        <v>10</v>
      </c>
    </row>
    <row r="117" spans="1:2">
      <c r="A117" s="28">
        <v>106</v>
      </c>
      <c r="B117" s="28">
        <v>-50</v>
      </c>
    </row>
    <row r="118" spans="1:2">
      <c r="A118" s="28">
        <v>107</v>
      </c>
      <c r="B118" s="28">
        <v>-50</v>
      </c>
    </row>
    <row r="119" spans="1:2">
      <c r="A119" s="28">
        <v>108</v>
      </c>
      <c r="B119" s="28">
        <v>10</v>
      </c>
    </row>
    <row r="120" spans="1:2">
      <c r="A120" s="28">
        <v>109</v>
      </c>
      <c r="B120" s="28">
        <v>10</v>
      </c>
    </row>
    <row r="121" spans="1:2">
      <c r="A121" s="28">
        <v>110</v>
      </c>
      <c r="B121" s="28">
        <v>-40</v>
      </c>
    </row>
    <row r="122" spans="1:2">
      <c r="A122" s="28">
        <v>111</v>
      </c>
      <c r="B122" s="28">
        <v>10</v>
      </c>
    </row>
    <row r="123" spans="1:2">
      <c r="A123" s="28">
        <v>112</v>
      </c>
      <c r="B123" s="28">
        <v>20</v>
      </c>
    </row>
    <row r="124" spans="1:2">
      <c r="A124" s="28">
        <v>113</v>
      </c>
      <c r="B124" s="28">
        <v>-40</v>
      </c>
    </row>
    <row r="125" spans="1:2">
      <c r="A125" s="28">
        <v>114</v>
      </c>
      <c r="B125" s="28">
        <v>20</v>
      </c>
    </row>
    <row r="126" spans="1:2">
      <c r="A126" s="28">
        <v>115</v>
      </c>
      <c r="B126" s="28">
        <v>-40</v>
      </c>
    </row>
    <row r="127" spans="1:2">
      <c r="A127" s="28">
        <v>116</v>
      </c>
      <c r="B127" s="28">
        <v>10</v>
      </c>
    </row>
    <row r="128" spans="1:2">
      <c r="A128" s="28">
        <v>117</v>
      </c>
      <c r="B128" s="28">
        <v>30</v>
      </c>
    </row>
    <row r="129" spans="1:2">
      <c r="A129" s="28">
        <v>118</v>
      </c>
      <c r="B129" s="28">
        <v>10</v>
      </c>
    </row>
    <row r="130" spans="1:2">
      <c r="A130" s="28">
        <v>119</v>
      </c>
      <c r="B130" s="28">
        <v>20</v>
      </c>
    </row>
    <row r="131" spans="1:2">
      <c r="A131" s="28">
        <v>120</v>
      </c>
      <c r="B131" s="28">
        <v>-50</v>
      </c>
    </row>
    <row r="132" spans="1:2">
      <c r="A132" s="28">
        <v>121</v>
      </c>
      <c r="B132" s="28">
        <v>-30</v>
      </c>
    </row>
    <row r="133" spans="1:2">
      <c r="A133" s="28">
        <v>122</v>
      </c>
      <c r="B133" s="28">
        <v>30</v>
      </c>
    </row>
    <row r="134" spans="1:2">
      <c r="A134" s="28">
        <v>123</v>
      </c>
      <c r="B134" s="28">
        <v>20</v>
      </c>
    </row>
    <row r="135" spans="1:2">
      <c r="A135" s="28">
        <v>124</v>
      </c>
      <c r="B135" s="28">
        <v>20</v>
      </c>
    </row>
    <row r="136" spans="1:2">
      <c r="A136" s="28">
        <v>125</v>
      </c>
      <c r="B136" s="28">
        <v>-30</v>
      </c>
    </row>
    <row r="137" spans="1:2">
      <c r="A137" s="28">
        <v>126</v>
      </c>
      <c r="B137" s="28">
        <v>20</v>
      </c>
    </row>
    <row r="138" spans="1:2">
      <c r="A138" s="28">
        <v>127</v>
      </c>
      <c r="B138" s="28">
        <v>-30</v>
      </c>
    </row>
    <row r="139" spans="1:2">
      <c r="A139" s="28">
        <v>128</v>
      </c>
      <c r="B139" s="28">
        <v>-30</v>
      </c>
    </row>
    <row r="140" spans="1:2">
      <c r="A140" s="28">
        <v>129</v>
      </c>
      <c r="B140" s="28">
        <v>20</v>
      </c>
    </row>
    <row r="141" spans="1:2">
      <c r="A141" s="28">
        <v>130</v>
      </c>
      <c r="B141" s="28">
        <v>30</v>
      </c>
    </row>
    <row r="142" spans="1:2">
      <c r="A142" s="28">
        <v>131</v>
      </c>
      <c r="B142" s="28">
        <v>30</v>
      </c>
    </row>
    <row r="143" spans="1:2">
      <c r="A143" s="28">
        <v>132</v>
      </c>
      <c r="B143" s="28">
        <v>-40</v>
      </c>
    </row>
    <row r="144" spans="1:2">
      <c r="A144" s="28">
        <v>133</v>
      </c>
      <c r="B144" s="28">
        <v>-50</v>
      </c>
    </row>
    <row r="145" spans="1:2">
      <c r="A145" s="28">
        <v>134</v>
      </c>
      <c r="B145" s="28">
        <v>10</v>
      </c>
    </row>
    <row r="146" spans="1:2">
      <c r="A146" s="28">
        <v>135</v>
      </c>
      <c r="B146" s="28">
        <v>30</v>
      </c>
    </row>
    <row r="147" spans="1:2">
      <c r="A147" s="28">
        <v>136</v>
      </c>
      <c r="B147" s="28">
        <v>-50</v>
      </c>
    </row>
    <row r="148" spans="1:2">
      <c r="A148" s="28">
        <v>137</v>
      </c>
      <c r="B148" s="28">
        <v>10</v>
      </c>
    </row>
    <row r="149" spans="1:2">
      <c r="A149" s="28">
        <v>138</v>
      </c>
      <c r="B149" s="28">
        <v>-50</v>
      </c>
    </row>
    <row r="150" spans="1:2">
      <c r="A150" s="28">
        <v>139</v>
      </c>
      <c r="B150" s="28">
        <v>30</v>
      </c>
    </row>
    <row r="151" spans="1:2">
      <c r="A151" s="28">
        <v>140</v>
      </c>
      <c r="B151" s="28">
        <v>20</v>
      </c>
    </row>
    <row r="152" spans="1:2">
      <c r="A152" s="28">
        <v>141</v>
      </c>
      <c r="B152" s="28">
        <v>20</v>
      </c>
    </row>
    <row r="153" spans="1:2">
      <c r="A153" s="28">
        <v>142</v>
      </c>
      <c r="B153" s="28">
        <v>-30</v>
      </c>
    </row>
    <row r="154" spans="1:2">
      <c r="A154" s="28">
        <v>143</v>
      </c>
      <c r="B154" s="28">
        <v>20</v>
      </c>
    </row>
    <row r="155" spans="1:2">
      <c r="A155" s="28">
        <v>144</v>
      </c>
      <c r="B155" s="28">
        <v>10</v>
      </c>
    </row>
    <row r="156" spans="1:2">
      <c r="A156" s="28">
        <v>145</v>
      </c>
      <c r="B156" s="28">
        <v>-50</v>
      </c>
    </row>
    <row r="157" spans="1:2">
      <c r="A157" s="28">
        <v>146</v>
      </c>
      <c r="B157" s="28">
        <v>-30</v>
      </c>
    </row>
    <row r="158" spans="1:2">
      <c r="A158" s="28">
        <v>147</v>
      </c>
      <c r="B158" s="28">
        <v>20</v>
      </c>
    </row>
    <row r="159" spans="1:2">
      <c r="A159" s="28">
        <v>148</v>
      </c>
      <c r="B159" s="28">
        <v>20</v>
      </c>
    </row>
    <row r="160" spans="1:2">
      <c r="A160" s="28">
        <v>149</v>
      </c>
      <c r="B160" s="28">
        <v>20</v>
      </c>
    </row>
    <row r="161" spans="1:2">
      <c r="A161" s="28">
        <v>150</v>
      </c>
      <c r="B161" s="28">
        <v>-30</v>
      </c>
    </row>
    <row r="162" spans="1:2">
      <c r="A162" s="28">
        <v>151</v>
      </c>
      <c r="B162" s="28">
        <v>-40</v>
      </c>
    </row>
    <row r="163" spans="1:2">
      <c r="A163" s="28">
        <v>152</v>
      </c>
      <c r="B163" s="28">
        <v>10</v>
      </c>
    </row>
    <row r="164" spans="1:2">
      <c r="A164" s="28">
        <v>153</v>
      </c>
      <c r="B164" s="28">
        <v>20</v>
      </c>
    </row>
    <row r="165" spans="1:2">
      <c r="A165" s="28">
        <v>154</v>
      </c>
      <c r="B165" s="28">
        <v>-40</v>
      </c>
    </row>
    <row r="166" spans="1:2">
      <c r="A166" s="28">
        <v>155</v>
      </c>
      <c r="B166" s="28">
        <v>-40</v>
      </c>
    </row>
    <row r="167" spans="1:2">
      <c r="A167" s="28">
        <v>156</v>
      </c>
      <c r="B167" s="28">
        <v>-40</v>
      </c>
    </row>
    <row r="168" spans="1:2">
      <c r="A168" s="28">
        <v>157</v>
      </c>
      <c r="B168" s="28">
        <v>-40</v>
      </c>
    </row>
    <row r="169" spans="1:2">
      <c r="A169" s="28">
        <v>158</v>
      </c>
      <c r="B169" s="28">
        <v>-30</v>
      </c>
    </row>
    <row r="170" spans="1:2">
      <c r="A170" s="28">
        <v>159</v>
      </c>
      <c r="B170" s="28">
        <v>20</v>
      </c>
    </row>
    <row r="171" spans="1:2">
      <c r="A171" s="28">
        <v>160</v>
      </c>
      <c r="B171" s="28">
        <v>10</v>
      </c>
    </row>
    <row r="172" spans="1:2">
      <c r="A172" s="28">
        <v>161</v>
      </c>
      <c r="B172" s="28">
        <v>30</v>
      </c>
    </row>
    <row r="173" spans="1:2">
      <c r="A173" s="28">
        <v>162</v>
      </c>
      <c r="B173" s="28">
        <v>-50</v>
      </c>
    </row>
    <row r="174" spans="1:2">
      <c r="A174" s="28">
        <v>163</v>
      </c>
      <c r="B174" s="28">
        <v>20</v>
      </c>
    </row>
    <row r="175" spans="1:2">
      <c r="A175" s="28">
        <v>164</v>
      </c>
      <c r="B175" s="28">
        <v>30</v>
      </c>
    </row>
    <row r="176" spans="1:2">
      <c r="A176" s="28">
        <v>165</v>
      </c>
      <c r="B176" s="28">
        <v>-40</v>
      </c>
    </row>
    <row r="177" spans="1:2">
      <c r="A177" s="28">
        <v>166</v>
      </c>
      <c r="B177" s="28">
        <v>-40</v>
      </c>
    </row>
    <row r="178" spans="1:2">
      <c r="A178" s="28">
        <v>167</v>
      </c>
      <c r="B178" s="28">
        <v>20</v>
      </c>
    </row>
    <row r="179" spans="1:2">
      <c r="A179" s="28">
        <v>168</v>
      </c>
      <c r="B179" s="28">
        <v>20</v>
      </c>
    </row>
    <row r="180" spans="1:2">
      <c r="A180" s="28">
        <v>169</v>
      </c>
      <c r="B180" s="28">
        <v>-50</v>
      </c>
    </row>
    <row r="181" spans="1:2">
      <c r="A181" s="28">
        <v>170</v>
      </c>
      <c r="B181" s="28">
        <v>30</v>
      </c>
    </row>
    <row r="182" spans="1:2">
      <c r="A182" s="28">
        <v>171</v>
      </c>
      <c r="B182" s="28">
        <v>20</v>
      </c>
    </row>
    <row r="183" spans="1:2">
      <c r="A183" s="28">
        <v>172</v>
      </c>
      <c r="B183" s="28">
        <v>-30</v>
      </c>
    </row>
    <row r="184" spans="1:2">
      <c r="A184" s="28">
        <v>173</v>
      </c>
      <c r="B184" s="28">
        <v>-40</v>
      </c>
    </row>
    <row r="185" spans="1:2">
      <c r="A185" s="28">
        <v>174</v>
      </c>
      <c r="B185" s="28">
        <v>-40</v>
      </c>
    </row>
    <row r="186" spans="1:2">
      <c r="A186" s="28">
        <v>175</v>
      </c>
      <c r="B186" s="28">
        <v>10</v>
      </c>
    </row>
    <row r="187" spans="1:2">
      <c r="A187" s="28">
        <v>176</v>
      </c>
      <c r="B187" s="28">
        <v>-40</v>
      </c>
    </row>
    <row r="188" spans="1:2">
      <c r="A188" s="28">
        <v>177</v>
      </c>
      <c r="B188" s="28">
        <v>20</v>
      </c>
    </row>
    <row r="189" spans="1:2">
      <c r="A189" s="28">
        <v>178</v>
      </c>
      <c r="B189" s="28">
        <v>-30</v>
      </c>
    </row>
    <row r="190" spans="1:2">
      <c r="A190" s="28">
        <v>179</v>
      </c>
      <c r="B190" s="28">
        <v>-50</v>
      </c>
    </row>
    <row r="191" spans="1:2">
      <c r="A191" s="28">
        <v>180</v>
      </c>
      <c r="B191" s="28">
        <v>20</v>
      </c>
    </row>
    <row r="192" spans="1:2">
      <c r="A192" s="28">
        <v>181</v>
      </c>
      <c r="B192" s="28">
        <v>10</v>
      </c>
    </row>
    <row r="193" spans="1:2">
      <c r="A193" s="28">
        <v>182</v>
      </c>
      <c r="B193" s="28">
        <v>-50</v>
      </c>
    </row>
    <row r="194" spans="1:2">
      <c r="A194" s="28">
        <v>183</v>
      </c>
      <c r="B194" s="28">
        <v>-40</v>
      </c>
    </row>
    <row r="195" spans="1:2">
      <c r="A195" s="28">
        <v>184</v>
      </c>
      <c r="B195" s="28">
        <v>-40</v>
      </c>
    </row>
    <row r="196" spans="1:2">
      <c r="A196" s="28">
        <v>185</v>
      </c>
      <c r="B196" s="28">
        <v>-40</v>
      </c>
    </row>
    <row r="197" spans="1:2">
      <c r="A197" s="28">
        <v>186</v>
      </c>
      <c r="B197" s="28">
        <v>-50</v>
      </c>
    </row>
    <row r="198" spans="1:2">
      <c r="A198" s="28">
        <v>187</v>
      </c>
      <c r="B198" s="28">
        <v>30</v>
      </c>
    </row>
    <row r="199" spans="1:2">
      <c r="A199" s="28">
        <v>188</v>
      </c>
      <c r="B199" s="28">
        <v>20</v>
      </c>
    </row>
    <row r="200" spans="1:2">
      <c r="A200" s="28">
        <v>189</v>
      </c>
      <c r="B200" s="28">
        <v>10</v>
      </c>
    </row>
    <row r="201" spans="1:2">
      <c r="A201" s="28">
        <v>190</v>
      </c>
      <c r="B201" s="28">
        <v>-40</v>
      </c>
    </row>
    <row r="202" spans="1:2">
      <c r="A202" s="28">
        <v>191</v>
      </c>
      <c r="B202" s="28">
        <v>-40</v>
      </c>
    </row>
    <row r="203" spans="1:2">
      <c r="A203" s="28">
        <v>192</v>
      </c>
      <c r="B203" s="28">
        <v>10</v>
      </c>
    </row>
    <row r="204" spans="1:2">
      <c r="A204" s="28">
        <v>193</v>
      </c>
      <c r="B204" s="28">
        <v>20</v>
      </c>
    </row>
    <row r="205" spans="1:2">
      <c r="A205" s="28">
        <v>194</v>
      </c>
      <c r="B205" s="28">
        <v>20</v>
      </c>
    </row>
    <row r="206" spans="1:2">
      <c r="A206" s="28">
        <v>195</v>
      </c>
      <c r="B206" s="28">
        <v>10</v>
      </c>
    </row>
    <row r="207" spans="1:2">
      <c r="A207" s="28">
        <v>196</v>
      </c>
      <c r="B207" s="28">
        <v>20</v>
      </c>
    </row>
    <row r="208" spans="1:2">
      <c r="A208" s="28">
        <v>197</v>
      </c>
      <c r="B208" s="28">
        <v>20</v>
      </c>
    </row>
    <row r="209" spans="1:2">
      <c r="A209" s="28">
        <v>198</v>
      </c>
      <c r="B209" s="28">
        <v>-40</v>
      </c>
    </row>
    <row r="210" spans="1:2">
      <c r="A210" s="28">
        <v>199</v>
      </c>
      <c r="B210" s="28">
        <v>30</v>
      </c>
    </row>
    <row r="211" spans="1:2">
      <c r="A211" s="28">
        <v>200</v>
      </c>
      <c r="B211" s="28">
        <v>-40</v>
      </c>
    </row>
    <row r="212" spans="1:2">
      <c r="A212" s="28">
        <v>201</v>
      </c>
      <c r="B212" s="28">
        <v>20</v>
      </c>
    </row>
    <row r="213" spans="1:2">
      <c r="A213" s="28">
        <v>202</v>
      </c>
      <c r="B213" s="28">
        <v>-40</v>
      </c>
    </row>
    <row r="214" spans="1:2">
      <c r="A214" s="28">
        <v>203</v>
      </c>
      <c r="B214" s="28">
        <v>-30</v>
      </c>
    </row>
    <row r="215" spans="1:2">
      <c r="A215" s="28">
        <v>204</v>
      </c>
      <c r="B215" s="28">
        <v>-40</v>
      </c>
    </row>
    <row r="216" spans="1:2">
      <c r="A216" s="28">
        <v>205</v>
      </c>
      <c r="B216" s="28">
        <v>-50</v>
      </c>
    </row>
    <row r="217" spans="1:2">
      <c r="A217" s="28">
        <v>206</v>
      </c>
      <c r="B217" s="28">
        <v>20</v>
      </c>
    </row>
    <row r="218" spans="1:2">
      <c r="A218" s="28">
        <v>207</v>
      </c>
      <c r="B218" s="28">
        <v>-50</v>
      </c>
    </row>
    <row r="219" spans="1:2">
      <c r="A219" s="28">
        <v>208</v>
      </c>
      <c r="B219" s="28">
        <v>10</v>
      </c>
    </row>
    <row r="220" spans="1:2">
      <c r="A220" s="28">
        <v>209</v>
      </c>
      <c r="B220" s="28">
        <v>10</v>
      </c>
    </row>
    <row r="221" spans="1:2">
      <c r="A221" s="28">
        <v>210</v>
      </c>
      <c r="B221" s="28">
        <v>30</v>
      </c>
    </row>
    <row r="222" spans="1:2">
      <c r="A222" s="28">
        <v>211</v>
      </c>
      <c r="B222" s="28">
        <v>-50</v>
      </c>
    </row>
    <row r="223" spans="1:2">
      <c r="A223" s="28">
        <v>212</v>
      </c>
      <c r="B223" s="28">
        <v>-50</v>
      </c>
    </row>
    <row r="224" spans="1:2">
      <c r="A224" s="28">
        <v>213</v>
      </c>
      <c r="B224" s="28">
        <v>-50</v>
      </c>
    </row>
    <row r="225" spans="1:2">
      <c r="A225" s="28">
        <v>214</v>
      </c>
      <c r="B225" s="28">
        <v>-30</v>
      </c>
    </row>
    <row r="226" spans="1:2">
      <c r="A226" s="28">
        <v>215</v>
      </c>
      <c r="B226" s="28">
        <v>-50</v>
      </c>
    </row>
    <row r="227" spans="1:2">
      <c r="A227" s="28">
        <v>216</v>
      </c>
      <c r="B227" s="28">
        <v>-40</v>
      </c>
    </row>
    <row r="228" spans="1:2">
      <c r="A228" s="28">
        <v>217</v>
      </c>
      <c r="B228" s="28">
        <v>20</v>
      </c>
    </row>
    <row r="229" spans="1:2">
      <c r="A229" s="28">
        <v>218</v>
      </c>
      <c r="B229" s="28">
        <v>-30</v>
      </c>
    </row>
    <row r="230" spans="1:2">
      <c r="A230" s="28">
        <v>219</v>
      </c>
      <c r="B230" s="28">
        <v>10</v>
      </c>
    </row>
    <row r="231" spans="1:2">
      <c r="A231" s="28">
        <v>220</v>
      </c>
      <c r="B231" s="28">
        <v>-30</v>
      </c>
    </row>
    <row r="232" spans="1:2">
      <c r="A232" s="28">
        <v>221</v>
      </c>
      <c r="B232" s="28">
        <v>20</v>
      </c>
    </row>
    <row r="233" spans="1:2">
      <c r="A233" s="28">
        <v>222</v>
      </c>
      <c r="B233" s="28">
        <v>30</v>
      </c>
    </row>
    <row r="234" spans="1:2">
      <c r="A234" s="28">
        <v>223</v>
      </c>
      <c r="B234" s="28">
        <v>30</v>
      </c>
    </row>
    <row r="235" spans="1:2">
      <c r="A235" s="28">
        <v>224</v>
      </c>
      <c r="B235" s="28">
        <v>-50</v>
      </c>
    </row>
    <row r="236" spans="1:2">
      <c r="A236" s="28">
        <v>225</v>
      </c>
      <c r="B236" s="28">
        <v>20</v>
      </c>
    </row>
    <row r="237" spans="1:2">
      <c r="A237" s="28">
        <v>226</v>
      </c>
      <c r="B237" s="28">
        <v>30</v>
      </c>
    </row>
    <row r="238" spans="1:2">
      <c r="A238" s="28">
        <v>227</v>
      </c>
      <c r="B238" s="28">
        <v>20</v>
      </c>
    </row>
    <row r="239" spans="1:2">
      <c r="A239" s="28">
        <v>228</v>
      </c>
      <c r="B239" s="28">
        <v>-50</v>
      </c>
    </row>
    <row r="240" spans="1:2">
      <c r="A240" s="28">
        <v>229</v>
      </c>
      <c r="B240" s="28">
        <v>-50</v>
      </c>
    </row>
    <row r="241" spans="1:2">
      <c r="A241" s="28">
        <v>230</v>
      </c>
      <c r="B241" s="28">
        <v>20</v>
      </c>
    </row>
    <row r="242" spans="1:2">
      <c r="A242" s="28">
        <v>231</v>
      </c>
      <c r="B242" s="28">
        <v>20</v>
      </c>
    </row>
    <row r="243" spans="1:2">
      <c r="A243" s="28">
        <v>232</v>
      </c>
      <c r="B243" s="28">
        <v>10</v>
      </c>
    </row>
    <row r="244" spans="1:2">
      <c r="A244" s="28">
        <v>233</v>
      </c>
      <c r="B244" s="28">
        <v>30</v>
      </c>
    </row>
    <row r="245" spans="1:2">
      <c r="A245" s="28">
        <v>234</v>
      </c>
      <c r="B245" s="28">
        <v>20</v>
      </c>
    </row>
    <row r="246" spans="1:2">
      <c r="A246" s="28">
        <v>235</v>
      </c>
      <c r="B246" s="28">
        <v>-40</v>
      </c>
    </row>
    <row r="247" spans="1:2">
      <c r="A247" s="28">
        <v>236</v>
      </c>
      <c r="B247" s="28">
        <v>-30</v>
      </c>
    </row>
    <row r="248" spans="1:2">
      <c r="A248" s="28">
        <v>237</v>
      </c>
      <c r="B248" s="28">
        <v>30</v>
      </c>
    </row>
    <row r="249" spans="1:2">
      <c r="A249" s="28">
        <v>238</v>
      </c>
      <c r="B249" s="28">
        <v>20</v>
      </c>
    </row>
    <row r="250" spans="1:2">
      <c r="A250" s="28">
        <v>239</v>
      </c>
      <c r="B250" s="28">
        <v>20</v>
      </c>
    </row>
    <row r="251" spans="1:2">
      <c r="A251" s="28">
        <v>240</v>
      </c>
      <c r="B251" s="28">
        <v>20</v>
      </c>
    </row>
    <row r="252" spans="1:2">
      <c r="A252" s="28">
        <v>241</v>
      </c>
      <c r="B252" s="28">
        <v>-40</v>
      </c>
    </row>
    <row r="253" spans="1:2">
      <c r="A253" s="28">
        <v>242</v>
      </c>
      <c r="B253" s="28">
        <v>-30</v>
      </c>
    </row>
    <row r="254" spans="1:2">
      <c r="A254" s="28">
        <v>243</v>
      </c>
      <c r="B254" s="28">
        <v>20</v>
      </c>
    </row>
    <row r="255" spans="1:2">
      <c r="A255" s="28">
        <v>244</v>
      </c>
      <c r="B255" s="28">
        <v>-30</v>
      </c>
    </row>
    <row r="256" spans="1:2">
      <c r="A256" s="28">
        <v>245</v>
      </c>
      <c r="B256" s="28">
        <v>-40</v>
      </c>
    </row>
    <row r="257" spans="1:2">
      <c r="A257" s="28">
        <v>246</v>
      </c>
      <c r="B257" s="28">
        <v>-30</v>
      </c>
    </row>
    <row r="258" spans="1:2">
      <c r="A258" s="28">
        <v>247</v>
      </c>
      <c r="B258" s="28">
        <v>10</v>
      </c>
    </row>
    <row r="259" spans="1:2">
      <c r="A259" s="28">
        <v>248</v>
      </c>
      <c r="B259" s="28">
        <v>10</v>
      </c>
    </row>
    <row r="260" spans="1:2">
      <c r="A260" s="28">
        <v>249</v>
      </c>
      <c r="B260" s="28">
        <v>30</v>
      </c>
    </row>
    <row r="261" spans="1:2">
      <c r="A261" s="28">
        <v>250</v>
      </c>
      <c r="B261" s="28">
        <v>-40</v>
      </c>
    </row>
    <row r="262" spans="1:2">
      <c r="A262" s="28">
        <v>251</v>
      </c>
      <c r="B262" s="28">
        <v>10</v>
      </c>
    </row>
    <row r="263" spans="1:2">
      <c r="A263" s="28">
        <v>252</v>
      </c>
      <c r="B263" s="28">
        <v>-50</v>
      </c>
    </row>
    <row r="264" spans="1:2">
      <c r="A264" s="28">
        <v>253</v>
      </c>
      <c r="B264" s="28">
        <v>-40</v>
      </c>
    </row>
    <row r="265" spans="1:2">
      <c r="A265" s="28">
        <v>254</v>
      </c>
      <c r="B265" s="28">
        <v>20</v>
      </c>
    </row>
    <row r="266" spans="1:2">
      <c r="A266" s="28">
        <v>255</v>
      </c>
      <c r="B266" s="28">
        <v>30</v>
      </c>
    </row>
    <row r="267" spans="1:2">
      <c r="A267" s="28">
        <v>256</v>
      </c>
      <c r="B267" s="28">
        <v>30</v>
      </c>
    </row>
    <row r="268" spans="1:2">
      <c r="A268" s="28">
        <v>257</v>
      </c>
      <c r="B268" s="28">
        <v>-40</v>
      </c>
    </row>
    <row r="269" spans="1:2">
      <c r="A269" s="28">
        <v>258</v>
      </c>
      <c r="B269" s="28">
        <v>-30</v>
      </c>
    </row>
    <row r="270" spans="1:2">
      <c r="A270" s="28">
        <v>259</v>
      </c>
      <c r="B270" s="28">
        <v>20</v>
      </c>
    </row>
    <row r="271" spans="1:2">
      <c r="A271" s="28">
        <v>260</v>
      </c>
      <c r="B271" s="28">
        <v>-40</v>
      </c>
    </row>
    <row r="272" spans="1:2">
      <c r="A272" s="28">
        <v>261</v>
      </c>
      <c r="B272" s="28">
        <v>-50</v>
      </c>
    </row>
    <row r="273" spans="1:2">
      <c r="A273" s="28">
        <v>262</v>
      </c>
      <c r="B273" s="28">
        <v>10</v>
      </c>
    </row>
    <row r="274" spans="1:2">
      <c r="A274" s="28">
        <v>263</v>
      </c>
      <c r="B274" s="28">
        <v>-40</v>
      </c>
    </row>
    <row r="275" spans="1:2">
      <c r="A275" s="28">
        <v>264</v>
      </c>
      <c r="B275" s="28">
        <v>10</v>
      </c>
    </row>
    <row r="276" spans="1:2">
      <c r="A276" s="28">
        <v>265</v>
      </c>
      <c r="B276" s="28">
        <v>10</v>
      </c>
    </row>
    <row r="277" spans="1:2">
      <c r="A277" s="28">
        <v>266</v>
      </c>
      <c r="B277" s="28">
        <v>-40</v>
      </c>
    </row>
    <row r="278" spans="1:2">
      <c r="A278" s="28">
        <v>267</v>
      </c>
      <c r="B278" s="28">
        <v>-30</v>
      </c>
    </row>
    <row r="279" spans="1:2">
      <c r="A279" s="28">
        <v>268</v>
      </c>
      <c r="B279" s="28">
        <v>-50</v>
      </c>
    </row>
    <row r="280" spans="1:2">
      <c r="A280" s="28">
        <v>269</v>
      </c>
      <c r="B280" s="28">
        <v>-50</v>
      </c>
    </row>
    <row r="281" spans="1:2">
      <c r="A281" s="28">
        <v>270</v>
      </c>
      <c r="B281" s="28">
        <v>-50</v>
      </c>
    </row>
    <row r="282" spans="1:2">
      <c r="A282" s="28">
        <v>271</v>
      </c>
      <c r="B282" s="28">
        <v>20</v>
      </c>
    </row>
    <row r="283" spans="1:2">
      <c r="A283" s="28">
        <v>272</v>
      </c>
      <c r="B283" s="28">
        <v>-30</v>
      </c>
    </row>
    <row r="284" spans="1:2">
      <c r="A284" s="28">
        <v>273</v>
      </c>
      <c r="B284" s="28">
        <v>-30</v>
      </c>
    </row>
    <row r="285" spans="1:2">
      <c r="A285" s="28">
        <v>274</v>
      </c>
      <c r="B285" s="28">
        <v>-40</v>
      </c>
    </row>
    <row r="286" spans="1:2">
      <c r="A286" s="28">
        <v>275</v>
      </c>
      <c r="B286" s="28">
        <v>-30</v>
      </c>
    </row>
    <row r="287" spans="1:2">
      <c r="A287" s="28">
        <v>276</v>
      </c>
      <c r="B287" s="28">
        <v>30</v>
      </c>
    </row>
    <row r="288" spans="1:2">
      <c r="A288" s="28">
        <v>277</v>
      </c>
      <c r="B288" s="28">
        <v>-50</v>
      </c>
    </row>
    <row r="289" spans="1:2">
      <c r="A289" s="28">
        <v>278</v>
      </c>
      <c r="B289" s="28">
        <v>-40</v>
      </c>
    </row>
    <row r="290" spans="1:2">
      <c r="A290" s="28">
        <v>279</v>
      </c>
      <c r="B290" s="28">
        <v>20</v>
      </c>
    </row>
    <row r="291" spans="1:2">
      <c r="A291" s="28">
        <v>280</v>
      </c>
      <c r="B291" s="28">
        <v>-40</v>
      </c>
    </row>
    <row r="292" spans="1:2">
      <c r="A292" s="28">
        <v>281</v>
      </c>
      <c r="B292" s="28">
        <v>20</v>
      </c>
    </row>
    <row r="293" spans="1:2">
      <c r="A293" s="28">
        <v>282</v>
      </c>
      <c r="B293" s="28">
        <v>-40</v>
      </c>
    </row>
    <row r="294" spans="1:2">
      <c r="A294" s="28">
        <v>283</v>
      </c>
      <c r="B294" s="28">
        <v>20</v>
      </c>
    </row>
    <row r="295" spans="1:2">
      <c r="A295" s="28">
        <v>284</v>
      </c>
      <c r="B295" s="28">
        <v>-40</v>
      </c>
    </row>
    <row r="296" spans="1:2">
      <c r="A296" s="28">
        <v>285</v>
      </c>
      <c r="B296" s="28">
        <v>-50</v>
      </c>
    </row>
    <row r="297" spans="1:2">
      <c r="A297" s="28">
        <v>286</v>
      </c>
      <c r="B297" s="28">
        <v>-30</v>
      </c>
    </row>
    <row r="298" spans="1:2">
      <c r="A298" s="28">
        <v>287</v>
      </c>
      <c r="B298" s="28">
        <v>-30</v>
      </c>
    </row>
    <row r="299" spans="1:2">
      <c r="A299" s="28">
        <v>288</v>
      </c>
      <c r="B299" s="28">
        <v>20</v>
      </c>
    </row>
    <row r="300" spans="1:2">
      <c r="A300" s="28">
        <v>289</v>
      </c>
      <c r="B300" s="28">
        <v>20</v>
      </c>
    </row>
    <row r="301" spans="1:2">
      <c r="A301" s="28">
        <v>290</v>
      </c>
      <c r="B301" s="28">
        <v>20</v>
      </c>
    </row>
    <row r="302" spans="1:2">
      <c r="A302" s="28">
        <v>291</v>
      </c>
      <c r="B302" s="28">
        <v>20</v>
      </c>
    </row>
    <row r="303" spans="1:2">
      <c r="A303" s="28">
        <v>292</v>
      </c>
      <c r="B303" s="28">
        <v>20</v>
      </c>
    </row>
    <row r="304" spans="1:2">
      <c r="A304" s="28">
        <v>293</v>
      </c>
      <c r="B304" s="28">
        <v>30</v>
      </c>
    </row>
    <row r="305" spans="1:2">
      <c r="A305" s="28">
        <v>294</v>
      </c>
      <c r="B305" s="28">
        <v>-40</v>
      </c>
    </row>
    <row r="306" spans="1:2">
      <c r="A306" s="28">
        <v>295</v>
      </c>
      <c r="B306" s="28">
        <v>-40</v>
      </c>
    </row>
    <row r="307" spans="1:2">
      <c r="A307" s="28">
        <v>296</v>
      </c>
      <c r="B307" s="28">
        <v>20</v>
      </c>
    </row>
    <row r="308" spans="1:2">
      <c r="A308" s="28">
        <v>297</v>
      </c>
      <c r="B308" s="28">
        <v>-40</v>
      </c>
    </row>
    <row r="309" spans="1:2">
      <c r="A309" s="28">
        <v>298</v>
      </c>
      <c r="B309" s="28">
        <v>-40</v>
      </c>
    </row>
    <row r="310" spans="1:2">
      <c r="A310" s="28">
        <v>299</v>
      </c>
      <c r="B310" s="28">
        <v>-40</v>
      </c>
    </row>
    <row r="311" spans="1:2">
      <c r="A311" s="28">
        <v>300</v>
      </c>
      <c r="B311" s="28">
        <v>10</v>
      </c>
    </row>
    <row r="312" spans="1:2">
      <c r="A312" s="28">
        <v>301</v>
      </c>
      <c r="B312" s="28">
        <v>20</v>
      </c>
    </row>
    <row r="313" spans="1:2">
      <c r="A313" s="28">
        <v>302</v>
      </c>
      <c r="B313" s="28">
        <v>20</v>
      </c>
    </row>
    <row r="314" spans="1:2">
      <c r="A314" s="28">
        <v>303</v>
      </c>
      <c r="B314" s="28">
        <v>10</v>
      </c>
    </row>
    <row r="315" spans="1:2">
      <c r="A315" s="28">
        <v>304</v>
      </c>
      <c r="B315" s="28">
        <v>20</v>
      </c>
    </row>
    <row r="316" spans="1:2">
      <c r="A316" s="28">
        <v>305</v>
      </c>
      <c r="B316" s="28">
        <v>-30</v>
      </c>
    </row>
    <row r="317" spans="1:2">
      <c r="A317" s="28">
        <v>306</v>
      </c>
      <c r="B317" s="28">
        <v>20</v>
      </c>
    </row>
    <row r="318" spans="1:2">
      <c r="A318" s="28">
        <v>307</v>
      </c>
      <c r="B318" s="28">
        <v>-40</v>
      </c>
    </row>
    <row r="319" spans="1:2">
      <c r="A319" s="28">
        <v>308</v>
      </c>
      <c r="B319" s="28">
        <v>-40</v>
      </c>
    </row>
    <row r="320" spans="1:2">
      <c r="A320" s="28">
        <v>309</v>
      </c>
      <c r="B320" s="28">
        <v>10</v>
      </c>
    </row>
    <row r="321" spans="1:2">
      <c r="A321" s="28">
        <v>310</v>
      </c>
      <c r="B321" s="28">
        <v>-40</v>
      </c>
    </row>
    <row r="322" spans="1:2">
      <c r="A322" s="28">
        <v>311</v>
      </c>
      <c r="B322" s="28">
        <v>-50</v>
      </c>
    </row>
    <row r="323" spans="1:2">
      <c r="A323" s="28">
        <v>312</v>
      </c>
      <c r="B323" s="28">
        <v>30</v>
      </c>
    </row>
    <row r="324" spans="1:2">
      <c r="A324" s="28">
        <v>313</v>
      </c>
      <c r="B324" s="28">
        <v>-40</v>
      </c>
    </row>
    <row r="325" spans="1:2">
      <c r="A325" s="28">
        <v>314</v>
      </c>
      <c r="B325" s="28">
        <v>-40</v>
      </c>
    </row>
    <row r="326" spans="1:2">
      <c r="A326" s="28">
        <v>315</v>
      </c>
      <c r="B326" s="28">
        <v>10</v>
      </c>
    </row>
    <row r="327" spans="1:2">
      <c r="A327" s="28">
        <v>316</v>
      </c>
      <c r="B327" s="28">
        <v>-40</v>
      </c>
    </row>
    <row r="328" spans="1:2">
      <c r="A328" s="28">
        <v>317</v>
      </c>
      <c r="B328" s="28">
        <v>10</v>
      </c>
    </row>
    <row r="329" spans="1:2">
      <c r="A329" s="28">
        <v>318</v>
      </c>
      <c r="B329" s="28">
        <v>-50</v>
      </c>
    </row>
    <row r="330" spans="1:2">
      <c r="A330" s="28">
        <v>319</v>
      </c>
      <c r="B330" s="28">
        <v>-40</v>
      </c>
    </row>
    <row r="331" spans="1:2">
      <c r="A331" s="28">
        <v>320</v>
      </c>
      <c r="B331" s="28">
        <v>10</v>
      </c>
    </row>
    <row r="332" spans="1:2">
      <c r="A332" s="28">
        <v>321</v>
      </c>
      <c r="B332" s="28">
        <v>30</v>
      </c>
    </row>
    <row r="333" spans="1:2">
      <c r="A333" s="28">
        <v>322</v>
      </c>
      <c r="B333" s="28">
        <v>20</v>
      </c>
    </row>
    <row r="334" spans="1:2">
      <c r="A334" s="28">
        <v>323</v>
      </c>
      <c r="B334" s="28">
        <v>-40</v>
      </c>
    </row>
    <row r="335" spans="1:2">
      <c r="A335" s="28">
        <v>324</v>
      </c>
      <c r="B335" s="28">
        <v>-50</v>
      </c>
    </row>
    <row r="336" spans="1:2">
      <c r="A336" s="28">
        <v>325</v>
      </c>
      <c r="B336" s="28">
        <v>20</v>
      </c>
    </row>
    <row r="337" spans="1:2">
      <c r="A337" s="28">
        <v>326</v>
      </c>
      <c r="B337" s="28">
        <v>10</v>
      </c>
    </row>
    <row r="338" spans="1:2">
      <c r="A338" s="28">
        <v>327</v>
      </c>
      <c r="B338" s="28">
        <v>-30</v>
      </c>
    </row>
    <row r="339" spans="1:2">
      <c r="A339" s="28">
        <v>328</v>
      </c>
      <c r="B339" s="28">
        <v>-50</v>
      </c>
    </row>
    <row r="340" spans="1:2">
      <c r="A340" s="28">
        <v>329</v>
      </c>
      <c r="B340" s="28">
        <v>-50</v>
      </c>
    </row>
    <row r="341" spans="1:2">
      <c r="A341" s="28">
        <v>330</v>
      </c>
      <c r="B341" s="28">
        <v>10</v>
      </c>
    </row>
    <row r="342" spans="1:2">
      <c r="A342" s="28">
        <v>331</v>
      </c>
      <c r="B342" s="28">
        <v>-30</v>
      </c>
    </row>
    <row r="343" spans="1:2">
      <c r="A343" s="28">
        <v>332</v>
      </c>
      <c r="B343" s="28">
        <v>-40</v>
      </c>
    </row>
    <row r="344" spans="1:2">
      <c r="A344" s="28">
        <v>333</v>
      </c>
      <c r="B344" s="28">
        <v>10</v>
      </c>
    </row>
    <row r="345" spans="1:2">
      <c r="A345" s="28">
        <v>334</v>
      </c>
      <c r="B345" s="28">
        <v>-50</v>
      </c>
    </row>
    <row r="346" spans="1:2">
      <c r="A346" s="28">
        <v>335</v>
      </c>
      <c r="B346" s="28">
        <v>-50</v>
      </c>
    </row>
    <row r="347" spans="1:2">
      <c r="A347" s="28">
        <v>336</v>
      </c>
      <c r="B347" s="28">
        <v>-40</v>
      </c>
    </row>
    <row r="348" spans="1:2">
      <c r="A348" s="28">
        <v>337</v>
      </c>
      <c r="B348" s="28">
        <v>10</v>
      </c>
    </row>
    <row r="349" spans="1:2">
      <c r="A349" s="28">
        <v>338</v>
      </c>
      <c r="B349" s="28">
        <v>20</v>
      </c>
    </row>
    <row r="350" spans="1:2">
      <c r="A350" s="28">
        <v>339</v>
      </c>
      <c r="B350" s="28">
        <v>30</v>
      </c>
    </row>
    <row r="351" spans="1:2">
      <c r="A351" s="28">
        <v>340</v>
      </c>
      <c r="B351" s="28">
        <v>20</v>
      </c>
    </row>
    <row r="352" spans="1:2">
      <c r="A352" s="28">
        <v>341</v>
      </c>
      <c r="B352" s="28">
        <v>-50</v>
      </c>
    </row>
    <row r="353" spans="1:2">
      <c r="A353" s="28">
        <v>342</v>
      </c>
      <c r="B353" s="28">
        <v>20</v>
      </c>
    </row>
    <row r="354" spans="1:2">
      <c r="A354" s="28">
        <v>343</v>
      </c>
      <c r="B354" s="28">
        <v>-40</v>
      </c>
    </row>
    <row r="355" spans="1:2">
      <c r="A355" s="28">
        <v>344</v>
      </c>
      <c r="B355" s="28">
        <v>-40</v>
      </c>
    </row>
    <row r="356" spans="1:2">
      <c r="A356" s="28">
        <v>345</v>
      </c>
      <c r="B356" s="28">
        <v>20</v>
      </c>
    </row>
    <row r="357" spans="1:2">
      <c r="A357" s="28">
        <v>346</v>
      </c>
      <c r="B357" s="28">
        <v>20</v>
      </c>
    </row>
    <row r="358" spans="1:2">
      <c r="A358" s="28">
        <v>347</v>
      </c>
      <c r="B358" s="28">
        <v>20</v>
      </c>
    </row>
    <row r="359" spans="1:2">
      <c r="A359" s="28">
        <v>348</v>
      </c>
      <c r="B359" s="28">
        <v>-40</v>
      </c>
    </row>
    <row r="360" spans="1:2">
      <c r="A360" s="28">
        <v>349</v>
      </c>
      <c r="B360" s="28">
        <v>-40</v>
      </c>
    </row>
    <row r="361" spans="1:2">
      <c r="A361" s="28">
        <v>350</v>
      </c>
      <c r="B361" s="28">
        <v>20</v>
      </c>
    </row>
    <row r="362" spans="1:2">
      <c r="A362" s="28">
        <v>351</v>
      </c>
      <c r="B362" s="28">
        <v>20</v>
      </c>
    </row>
    <row r="363" spans="1:2">
      <c r="A363" s="28">
        <v>352</v>
      </c>
      <c r="B363" s="28">
        <v>10</v>
      </c>
    </row>
    <row r="364" spans="1:2">
      <c r="A364" s="28">
        <v>353</v>
      </c>
      <c r="B364" s="28">
        <v>20</v>
      </c>
    </row>
    <row r="365" spans="1:2">
      <c r="A365" s="28">
        <v>354</v>
      </c>
      <c r="B365" s="28">
        <v>-40</v>
      </c>
    </row>
    <row r="366" spans="1:2">
      <c r="A366" s="28">
        <v>355</v>
      </c>
      <c r="B366" s="28">
        <v>20</v>
      </c>
    </row>
    <row r="367" spans="1:2">
      <c r="A367" s="28">
        <v>356</v>
      </c>
      <c r="B367" s="28">
        <v>20</v>
      </c>
    </row>
    <row r="368" spans="1:2">
      <c r="A368" s="28">
        <v>357</v>
      </c>
      <c r="B368" s="28">
        <v>20</v>
      </c>
    </row>
    <row r="369" spans="1:2">
      <c r="A369" s="28">
        <v>358</v>
      </c>
      <c r="B369" s="28">
        <v>20</v>
      </c>
    </row>
    <row r="370" spans="1:2">
      <c r="A370" s="28">
        <v>359</v>
      </c>
      <c r="B370" s="28">
        <v>10</v>
      </c>
    </row>
    <row r="371" spans="1:2">
      <c r="A371" s="28">
        <v>360</v>
      </c>
      <c r="B371" s="28">
        <v>30</v>
      </c>
    </row>
    <row r="372" spans="1:2">
      <c r="A372" s="28">
        <v>361</v>
      </c>
      <c r="B372" s="28">
        <v>30</v>
      </c>
    </row>
    <row r="373" spans="1:2">
      <c r="A373" s="28">
        <v>362</v>
      </c>
      <c r="B373" s="28">
        <v>10</v>
      </c>
    </row>
    <row r="374" spans="1:2">
      <c r="A374" s="28">
        <v>363</v>
      </c>
      <c r="B374" s="28">
        <v>-40</v>
      </c>
    </row>
    <row r="375" spans="1:2">
      <c r="A375" s="28">
        <v>364</v>
      </c>
      <c r="B375" s="28">
        <v>20</v>
      </c>
    </row>
    <row r="376" spans="1:2">
      <c r="A376" s="28">
        <v>365</v>
      </c>
      <c r="B376" s="28">
        <v>-40</v>
      </c>
    </row>
    <row r="377" spans="1:2">
      <c r="A377" s="28">
        <v>366</v>
      </c>
      <c r="B377" s="28">
        <v>20</v>
      </c>
    </row>
    <row r="378" spans="1:2">
      <c r="A378" s="28">
        <v>367</v>
      </c>
      <c r="B378" s="28">
        <v>-40</v>
      </c>
    </row>
    <row r="379" spans="1:2">
      <c r="A379" s="28">
        <v>368</v>
      </c>
      <c r="B379" s="28">
        <v>10</v>
      </c>
    </row>
    <row r="380" spans="1:2">
      <c r="A380" s="28">
        <v>369</v>
      </c>
      <c r="B380" s="28">
        <v>-30</v>
      </c>
    </row>
    <row r="381" spans="1:2">
      <c r="A381" s="28">
        <v>370</v>
      </c>
      <c r="B381" s="28">
        <v>-30</v>
      </c>
    </row>
    <row r="382" spans="1:2">
      <c r="A382" s="28">
        <v>371</v>
      </c>
      <c r="B382" s="28">
        <v>30</v>
      </c>
    </row>
    <row r="383" spans="1:2">
      <c r="A383" s="28">
        <v>372</v>
      </c>
      <c r="B383" s="28">
        <v>-50</v>
      </c>
    </row>
    <row r="384" spans="1:2">
      <c r="A384" s="28">
        <v>373</v>
      </c>
      <c r="B384" s="28">
        <v>30</v>
      </c>
    </row>
    <row r="385" spans="1:2">
      <c r="A385" s="28">
        <v>374</v>
      </c>
      <c r="B385" s="28">
        <v>30</v>
      </c>
    </row>
    <row r="386" spans="1:2">
      <c r="A386" s="28">
        <v>375</v>
      </c>
      <c r="B386" s="28">
        <v>20</v>
      </c>
    </row>
    <row r="387" spans="1:2">
      <c r="A387" s="28">
        <v>376</v>
      </c>
      <c r="B387" s="28">
        <v>20</v>
      </c>
    </row>
    <row r="388" spans="1:2">
      <c r="A388" s="28">
        <v>377</v>
      </c>
      <c r="B388" s="28">
        <v>30</v>
      </c>
    </row>
    <row r="389" spans="1:2">
      <c r="A389" s="28">
        <v>378</v>
      </c>
      <c r="B389" s="28">
        <v>30</v>
      </c>
    </row>
    <row r="390" spans="1:2">
      <c r="A390" s="28">
        <v>379</v>
      </c>
      <c r="B390" s="28">
        <v>-40</v>
      </c>
    </row>
    <row r="391" spans="1:2">
      <c r="A391" s="28">
        <v>380</v>
      </c>
      <c r="B391" s="28">
        <v>30</v>
      </c>
    </row>
    <row r="392" spans="1:2">
      <c r="A392" s="28">
        <v>381</v>
      </c>
      <c r="B392" s="28">
        <v>30</v>
      </c>
    </row>
    <row r="393" spans="1:2">
      <c r="A393" s="28">
        <v>382</v>
      </c>
      <c r="B393" s="28">
        <v>-40</v>
      </c>
    </row>
    <row r="394" spans="1:2">
      <c r="A394" s="28">
        <v>383</v>
      </c>
      <c r="B394" s="28">
        <v>-40</v>
      </c>
    </row>
    <row r="395" spans="1:2">
      <c r="A395" s="28">
        <v>384</v>
      </c>
      <c r="B395" s="28">
        <v>-40</v>
      </c>
    </row>
    <row r="396" spans="1:2">
      <c r="A396" s="28">
        <v>385</v>
      </c>
      <c r="B396" s="28">
        <v>20</v>
      </c>
    </row>
    <row r="397" spans="1:2">
      <c r="A397" s="28">
        <v>386</v>
      </c>
      <c r="B397" s="28">
        <v>20</v>
      </c>
    </row>
    <row r="398" spans="1:2">
      <c r="A398" s="28">
        <v>387</v>
      </c>
      <c r="B398" s="28">
        <v>-30</v>
      </c>
    </row>
    <row r="399" spans="1:2">
      <c r="A399" s="28">
        <v>388</v>
      </c>
      <c r="B399" s="28">
        <v>30</v>
      </c>
    </row>
    <row r="400" spans="1:2">
      <c r="A400" s="28">
        <v>389</v>
      </c>
      <c r="B400" s="28">
        <v>-50</v>
      </c>
    </row>
    <row r="401" spans="1:2">
      <c r="A401" s="28">
        <v>390</v>
      </c>
      <c r="B401" s="28">
        <v>20</v>
      </c>
    </row>
    <row r="402" spans="1:2">
      <c r="A402" s="28">
        <v>391</v>
      </c>
      <c r="B402" s="28">
        <v>-50</v>
      </c>
    </row>
    <row r="403" spans="1:2">
      <c r="A403" s="28">
        <v>392</v>
      </c>
      <c r="B403" s="28">
        <v>-30</v>
      </c>
    </row>
    <row r="404" spans="1:2">
      <c r="A404" s="28">
        <v>393</v>
      </c>
      <c r="B404" s="28">
        <v>10</v>
      </c>
    </row>
    <row r="405" spans="1:2">
      <c r="A405" s="28">
        <v>394</v>
      </c>
      <c r="B405" s="28">
        <v>20</v>
      </c>
    </row>
    <row r="406" spans="1:2">
      <c r="A406" s="28">
        <v>395</v>
      </c>
      <c r="B406" s="28">
        <v>30</v>
      </c>
    </row>
    <row r="407" spans="1:2">
      <c r="A407" s="28">
        <v>396</v>
      </c>
      <c r="B407" s="28">
        <v>-50</v>
      </c>
    </row>
    <row r="408" spans="1:2">
      <c r="A408" s="28">
        <v>397</v>
      </c>
      <c r="B408" s="28">
        <v>-30</v>
      </c>
    </row>
    <row r="409" spans="1:2">
      <c r="A409" s="28">
        <v>398</v>
      </c>
      <c r="B409" s="28">
        <v>-30</v>
      </c>
    </row>
    <row r="410" spans="1:2">
      <c r="A410" s="28">
        <v>399</v>
      </c>
      <c r="B410" s="28">
        <v>20</v>
      </c>
    </row>
    <row r="411" spans="1:2">
      <c r="A411" s="28">
        <v>400</v>
      </c>
      <c r="B411" s="28">
        <v>20</v>
      </c>
    </row>
    <row r="412" spans="1:2">
      <c r="A412" s="28">
        <v>401</v>
      </c>
      <c r="B412" s="28">
        <v>-40</v>
      </c>
    </row>
    <row r="413" spans="1:2">
      <c r="A413" s="28">
        <v>402</v>
      </c>
      <c r="B413" s="28">
        <v>-30</v>
      </c>
    </row>
    <row r="414" spans="1:2">
      <c r="A414" s="28">
        <v>403</v>
      </c>
      <c r="B414" s="28">
        <v>-50</v>
      </c>
    </row>
    <row r="415" spans="1:2">
      <c r="A415" s="28">
        <v>404</v>
      </c>
      <c r="B415" s="28">
        <v>-50</v>
      </c>
    </row>
    <row r="416" spans="1:2">
      <c r="A416" s="28">
        <v>405</v>
      </c>
      <c r="B416" s="28">
        <v>-40</v>
      </c>
    </row>
    <row r="417" spans="1:2">
      <c r="A417" s="28">
        <v>406</v>
      </c>
      <c r="B417" s="28">
        <v>10</v>
      </c>
    </row>
    <row r="418" spans="1:2">
      <c r="A418" s="28">
        <v>407</v>
      </c>
      <c r="B418" s="28">
        <v>20</v>
      </c>
    </row>
    <row r="419" spans="1:2">
      <c r="A419" s="28">
        <v>408</v>
      </c>
      <c r="B419" s="28">
        <v>-30</v>
      </c>
    </row>
    <row r="420" spans="1:2">
      <c r="A420" s="28">
        <v>409</v>
      </c>
      <c r="B420" s="28">
        <v>20</v>
      </c>
    </row>
    <row r="421" spans="1:2">
      <c r="A421" s="28">
        <v>410</v>
      </c>
      <c r="B421" s="28">
        <v>20</v>
      </c>
    </row>
    <row r="422" spans="1:2">
      <c r="A422" s="28">
        <v>411</v>
      </c>
      <c r="B422" s="28">
        <v>20</v>
      </c>
    </row>
    <row r="423" spans="1:2">
      <c r="A423" s="28">
        <v>412</v>
      </c>
      <c r="B423" s="28">
        <v>-50</v>
      </c>
    </row>
    <row r="424" spans="1:2">
      <c r="A424" s="28">
        <v>413</v>
      </c>
      <c r="B424" s="28">
        <v>10</v>
      </c>
    </row>
    <row r="425" spans="1:2">
      <c r="A425" s="28">
        <v>414</v>
      </c>
      <c r="B425" s="28">
        <v>-40</v>
      </c>
    </row>
    <row r="426" spans="1:2">
      <c r="A426" s="28">
        <v>415</v>
      </c>
      <c r="B426" s="28">
        <v>20</v>
      </c>
    </row>
    <row r="427" spans="1:2">
      <c r="A427" s="28">
        <v>416</v>
      </c>
      <c r="B427" s="28">
        <v>-40</v>
      </c>
    </row>
    <row r="428" spans="1:2">
      <c r="A428" s="28">
        <v>417</v>
      </c>
      <c r="B428" s="28">
        <v>20</v>
      </c>
    </row>
    <row r="429" spans="1:2">
      <c r="A429" s="28">
        <v>418</v>
      </c>
      <c r="B429" s="28">
        <v>10</v>
      </c>
    </row>
    <row r="430" spans="1:2">
      <c r="A430" s="28">
        <v>419</v>
      </c>
      <c r="B430" s="28">
        <v>10</v>
      </c>
    </row>
    <row r="431" spans="1:2">
      <c r="A431" s="28">
        <v>420</v>
      </c>
      <c r="B431" s="28">
        <v>30</v>
      </c>
    </row>
    <row r="432" spans="1:2">
      <c r="A432" s="28">
        <v>421</v>
      </c>
      <c r="B432" s="28">
        <v>20</v>
      </c>
    </row>
    <row r="433" spans="1:2">
      <c r="A433" s="28">
        <v>422</v>
      </c>
      <c r="B433" s="28">
        <v>-40</v>
      </c>
    </row>
    <row r="434" spans="1:2">
      <c r="A434" s="28">
        <v>423</v>
      </c>
      <c r="B434" s="28">
        <v>-50</v>
      </c>
    </row>
    <row r="435" spans="1:2">
      <c r="A435" s="28">
        <v>424</v>
      </c>
      <c r="B435" s="28">
        <v>-40</v>
      </c>
    </row>
    <row r="436" spans="1:2">
      <c r="A436" s="28">
        <v>425</v>
      </c>
      <c r="B436" s="28">
        <v>-40</v>
      </c>
    </row>
    <row r="437" spans="1:2">
      <c r="A437" s="28">
        <v>426</v>
      </c>
      <c r="B437" s="28">
        <v>30</v>
      </c>
    </row>
    <row r="438" spans="1:2">
      <c r="A438" s="28">
        <v>427</v>
      </c>
      <c r="B438" s="28">
        <v>10</v>
      </c>
    </row>
    <row r="439" spans="1:2">
      <c r="A439" s="28">
        <v>428</v>
      </c>
      <c r="B439" s="28">
        <v>30</v>
      </c>
    </row>
    <row r="440" spans="1:2">
      <c r="A440" s="28">
        <v>429</v>
      </c>
      <c r="B440" s="28">
        <v>20</v>
      </c>
    </row>
    <row r="441" spans="1:2">
      <c r="A441" s="28">
        <v>430</v>
      </c>
      <c r="B441" s="28">
        <v>-40</v>
      </c>
    </row>
    <row r="442" spans="1:2">
      <c r="A442" s="28">
        <v>431</v>
      </c>
      <c r="B442" s="28">
        <v>10</v>
      </c>
    </row>
    <row r="443" spans="1:2">
      <c r="A443" s="28">
        <v>432</v>
      </c>
      <c r="B443" s="28">
        <v>-50</v>
      </c>
    </row>
    <row r="444" spans="1:2">
      <c r="A444" s="28">
        <v>433</v>
      </c>
      <c r="B444" s="28">
        <v>20</v>
      </c>
    </row>
    <row r="445" spans="1:2">
      <c r="A445" s="28">
        <v>434</v>
      </c>
      <c r="B445" s="28">
        <v>-40</v>
      </c>
    </row>
    <row r="446" spans="1:2">
      <c r="A446" s="28">
        <v>435</v>
      </c>
      <c r="B446" s="28">
        <v>20</v>
      </c>
    </row>
    <row r="447" spans="1:2">
      <c r="A447" s="28">
        <v>436</v>
      </c>
      <c r="B447" s="28">
        <v>30</v>
      </c>
    </row>
    <row r="448" spans="1:2">
      <c r="A448" s="28">
        <v>437</v>
      </c>
      <c r="B448" s="28">
        <v>-40</v>
      </c>
    </row>
    <row r="449" spans="1:2">
      <c r="A449" s="28">
        <v>438</v>
      </c>
      <c r="B449" s="28">
        <v>-40</v>
      </c>
    </row>
    <row r="450" spans="1:2">
      <c r="A450" s="28">
        <v>439</v>
      </c>
      <c r="B450" s="28">
        <v>20</v>
      </c>
    </row>
    <row r="451" spans="1:2">
      <c r="A451" s="28">
        <v>440</v>
      </c>
      <c r="B451" s="28">
        <v>-50</v>
      </c>
    </row>
    <row r="452" spans="1:2">
      <c r="A452" s="28">
        <v>441</v>
      </c>
      <c r="B452" s="28">
        <v>30</v>
      </c>
    </row>
    <row r="453" spans="1:2">
      <c r="A453" s="28">
        <v>442</v>
      </c>
      <c r="B453" s="28">
        <v>20</v>
      </c>
    </row>
    <row r="454" spans="1:2">
      <c r="A454" s="28">
        <v>443</v>
      </c>
      <c r="B454" s="28">
        <v>-40</v>
      </c>
    </row>
    <row r="455" spans="1:2">
      <c r="A455" s="28">
        <v>444</v>
      </c>
      <c r="B455" s="28">
        <v>30</v>
      </c>
    </row>
    <row r="456" spans="1:2">
      <c r="A456" s="28">
        <v>445</v>
      </c>
      <c r="B456" s="28">
        <v>-40</v>
      </c>
    </row>
    <row r="457" spans="1:2">
      <c r="A457" s="28">
        <v>446</v>
      </c>
      <c r="B457" s="28">
        <v>20</v>
      </c>
    </row>
    <row r="458" spans="1:2">
      <c r="A458" s="28">
        <v>447</v>
      </c>
      <c r="B458" s="28">
        <v>-40</v>
      </c>
    </row>
    <row r="459" spans="1:2">
      <c r="A459" s="28">
        <v>448</v>
      </c>
      <c r="B459" s="28">
        <v>-40</v>
      </c>
    </row>
    <row r="460" spans="1:2">
      <c r="A460" s="28">
        <v>449</v>
      </c>
      <c r="B460" s="28">
        <v>20</v>
      </c>
    </row>
    <row r="461" spans="1:2">
      <c r="A461" s="28">
        <v>450</v>
      </c>
      <c r="B461" s="28">
        <v>-40</v>
      </c>
    </row>
    <row r="462" spans="1:2">
      <c r="A462" s="28">
        <v>451</v>
      </c>
      <c r="B462" s="28">
        <v>20</v>
      </c>
    </row>
    <row r="463" spans="1:2">
      <c r="A463" s="28">
        <v>452</v>
      </c>
      <c r="B463" s="28">
        <v>10</v>
      </c>
    </row>
    <row r="464" spans="1:2">
      <c r="A464" s="28">
        <v>453</v>
      </c>
      <c r="B464" s="28">
        <v>-50</v>
      </c>
    </row>
    <row r="465" spans="1:2">
      <c r="A465" s="28">
        <v>454</v>
      </c>
      <c r="B465" s="28">
        <v>-40</v>
      </c>
    </row>
    <row r="466" spans="1:2">
      <c r="A466" s="28">
        <v>455</v>
      </c>
      <c r="B466" s="28">
        <v>10</v>
      </c>
    </row>
    <row r="467" spans="1:2">
      <c r="A467" s="28">
        <v>456</v>
      </c>
      <c r="B467" s="28">
        <v>-40</v>
      </c>
    </row>
    <row r="468" spans="1:2">
      <c r="A468" s="28">
        <v>457</v>
      </c>
      <c r="B468" s="28">
        <v>-40</v>
      </c>
    </row>
    <row r="469" spans="1:2">
      <c r="A469" s="28">
        <v>458</v>
      </c>
      <c r="B469" s="28">
        <v>-50</v>
      </c>
    </row>
    <row r="470" spans="1:2">
      <c r="A470" s="28">
        <v>459</v>
      </c>
      <c r="B470" s="28">
        <v>30</v>
      </c>
    </row>
    <row r="471" spans="1:2">
      <c r="A471" s="28">
        <v>460</v>
      </c>
      <c r="B471" s="28">
        <v>-40</v>
      </c>
    </row>
    <row r="472" spans="1:2">
      <c r="A472" s="28">
        <v>461</v>
      </c>
      <c r="B472" s="28">
        <v>10</v>
      </c>
    </row>
    <row r="473" spans="1:2">
      <c r="A473" s="28">
        <v>462</v>
      </c>
      <c r="B473" s="28">
        <v>-40</v>
      </c>
    </row>
    <row r="474" spans="1:2">
      <c r="A474" s="28">
        <v>463</v>
      </c>
      <c r="B474" s="28">
        <v>20</v>
      </c>
    </row>
    <row r="475" spans="1:2">
      <c r="A475" s="28">
        <v>464</v>
      </c>
      <c r="B475" s="28">
        <v>-40</v>
      </c>
    </row>
    <row r="476" spans="1:2">
      <c r="A476" s="28">
        <v>465</v>
      </c>
      <c r="B476" s="28">
        <v>-40</v>
      </c>
    </row>
    <row r="477" spans="1:2">
      <c r="A477" s="28">
        <v>466</v>
      </c>
      <c r="B477" s="28">
        <v>-30</v>
      </c>
    </row>
    <row r="478" spans="1:2">
      <c r="A478" s="28">
        <v>467</v>
      </c>
      <c r="B478" s="28">
        <v>-30</v>
      </c>
    </row>
    <row r="479" spans="1:2">
      <c r="A479" s="28">
        <v>468</v>
      </c>
      <c r="B479" s="28">
        <v>20</v>
      </c>
    </row>
    <row r="480" spans="1:2">
      <c r="A480" s="28">
        <v>469</v>
      </c>
      <c r="B480" s="28">
        <v>10</v>
      </c>
    </row>
    <row r="481" spans="1:2">
      <c r="A481" s="28">
        <v>470</v>
      </c>
      <c r="B481" s="28">
        <v>-40</v>
      </c>
    </row>
    <row r="482" spans="1:2">
      <c r="A482" s="28">
        <v>471</v>
      </c>
      <c r="B482" s="28">
        <v>-30</v>
      </c>
    </row>
    <row r="483" spans="1:2">
      <c r="A483" s="28">
        <v>472</v>
      </c>
      <c r="B483" s="28">
        <v>-30</v>
      </c>
    </row>
    <row r="484" spans="1:2">
      <c r="A484" s="28">
        <v>473</v>
      </c>
      <c r="B484" s="28">
        <v>-30</v>
      </c>
    </row>
    <row r="485" spans="1:2">
      <c r="A485" s="28">
        <v>474</v>
      </c>
      <c r="B485" s="28">
        <v>-40</v>
      </c>
    </row>
    <row r="486" spans="1:2">
      <c r="A486" s="28">
        <v>475</v>
      </c>
      <c r="B486" s="28">
        <v>20</v>
      </c>
    </row>
    <row r="487" spans="1:2">
      <c r="A487" s="28">
        <v>476</v>
      </c>
      <c r="B487" s="28">
        <v>20</v>
      </c>
    </row>
    <row r="488" spans="1:2">
      <c r="A488" s="28">
        <v>477</v>
      </c>
      <c r="B488" s="28">
        <v>-30</v>
      </c>
    </row>
    <row r="489" spans="1:2">
      <c r="A489" s="28">
        <v>478</v>
      </c>
      <c r="B489" s="28">
        <v>-50</v>
      </c>
    </row>
    <row r="490" spans="1:2">
      <c r="A490" s="28">
        <v>479</v>
      </c>
      <c r="B490" s="28">
        <v>20</v>
      </c>
    </row>
    <row r="491" spans="1:2">
      <c r="A491" s="28">
        <v>480</v>
      </c>
      <c r="B491" s="28">
        <v>-50</v>
      </c>
    </row>
    <row r="492" spans="1:2">
      <c r="A492" s="28">
        <v>481</v>
      </c>
      <c r="B492" s="28">
        <v>20</v>
      </c>
    </row>
    <row r="493" spans="1:2">
      <c r="A493" s="28">
        <v>482</v>
      </c>
      <c r="B493" s="28">
        <v>10</v>
      </c>
    </row>
    <row r="494" spans="1:2">
      <c r="A494" s="28">
        <v>483</v>
      </c>
      <c r="B494" s="28">
        <v>10</v>
      </c>
    </row>
    <row r="495" spans="1:2">
      <c r="A495" s="28">
        <v>484</v>
      </c>
      <c r="B495" s="28">
        <v>30</v>
      </c>
    </row>
    <row r="496" spans="1:2">
      <c r="A496" s="28">
        <v>485</v>
      </c>
      <c r="B496" s="28">
        <v>30</v>
      </c>
    </row>
    <row r="497" spans="1:2">
      <c r="A497" s="28">
        <v>486</v>
      </c>
      <c r="B497" s="28">
        <v>-30</v>
      </c>
    </row>
    <row r="498" spans="1:2">
      <c r="A498" s="28">
        <v>487</v>
      </c>
      <c r="B498" s="28">
        <v>20</v>
      </c>
    </row>
    <row r="499" spans="1:2">
      <c r="A499" s="28">
        <v>488</v>
      </c>
      <c r="B499" s="28">
        <v>30</v>
      </c>
    </row>
    <row r="500" spans="1:2">
      <c r="A500" s="28">
        <v>489</v>
      </c>
      <c r="B500" s="28">
        <v>20</v>
      </c>
    </row>
    <row r="501" spans="1:2">
      <c r="A501" s="28">
        <v>490</v>
      </c>
      <c r="B501" s="28">
        <v>-40</v>
      </c>
    </row>
    <row r="502" spans="1:2">
      <c r="A502" s="28">
        <v>491</v>
      </c>
      <c r="B502" s="28">
        <v>20</v>
      </c>
    </row>
    <row r="503" spans="1:2">
      <c r="A503" s="28">
        <v>492</v>
      </c>
      <c r="B503" s="28">
        <v>-40</v>
      </c>
    </row>
    <row r="504" spans="1:2">
      <c r="A504" s="28">
        <v>493</v>
      </c>
      <c r="B504" s="28">
        <v>-50</v>
      </c>
    </row>
    <row r="505" spans="1:2">
      <c r="A505" s="28">
        <v>494</v>
      </c>
      <c r="B505" s="28">
        <v>-50</v>
      </c>
    </row>
    <row r="506" spans="1:2">
      <c r="A506" s="28">
        <v>495</v>
      </c>
      <c r="B506" s="28">
        <v>-40</v>
      </c>
    </row>
    <row r="507" spans="1:2">
      <c r="A507" s="28">
        <v>496</v>
      </c>
      <c r="B507" s="28">
        <v>20</v>
      </c>
    </row>
    <row r="508" spans="1:2">
      <c r="A508" s="28">
        <v>497</v>
      </c>
      <c r="B508" s="28">
        <v>-30</v>
      </c>
    </row>
    <row r="509" spans="1:2">
      <c r="A509" s="28">
        <v>498</v>
      </c>
      <c r="B509" s="28">
        <v>10</v>
      </c>
    </row>
    <row r="510" spans="1:2">
      <c r="A510" s="28">
        <v>499</v>
      </c>
      <c r="B510" s="28">
        <v>30</v>
      </c>
    </row>
    <row r="511" spans="1:2">
      <c r="A511" s="28">
        <v>500</v>
      </c>
      <c r="B511" s="28">
        <v>20</v>
      </c>
    </row>
  </sheetData>
  <mergeCells count="5">
    <mergeCell ref="A9:B9"/>
    <mergeCell ref="D13:G13"/>
    <mergeCell ref="D16:G16"/>
    <mergeCell ref="D15:G15"/>
    <mergeCell ref="D14:G1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Coin toss</vt:lpstr>
      <vt:lpstr>Ball drawing</vt:lpstr>
      <vt:lpstr>Coin drawing</vt:lpstr>
      <vt:lpstr>Coin drawing 2</vt:lpstr>
      <vt:lpstr>Coin drawing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2026-04-22T11:04:05Z</dcterms:created>
  <dcterms:modified xsi:type="dcterms:W3CDTF">2026-04-22T11:04:20Z</dcterms:modified>
</cp:coreProperties>
</file>